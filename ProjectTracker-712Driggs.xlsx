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Team" sheetId="2" r:id="rId6"/>
    <sheet state="visible" name="TasksToDo" sheetId="3" r:id="rId7"/>
    <sheet state="visible" name="Budget" sheetId="4" r:id="rId8"/>
    <sheet state="visible" name="Project Plan" sheetId="5" r:id="rId9"/>
    <sheet state="visible" name="Expenses" sheetId="6" r:id="rId10"/>
    <sheet state="visible" name="Contracts" sheetId="7" r:id="rId11"/>
    <sheet state="visible" name="Insurances &amp; Permits" sheetId="8" r:id="rId12"/>
    <sheet state="visible" name="Lookup" sheetId="9" r:id="rId13"/>
  </sheets>
  <definedNames>
    <definedName hidden="1" localSheetId="3" name="_xlnm._FilterDatabase">Budget!$A$1:$F$65</definedName>
  </definedNames>
  <calcPr/>
  <pivotCaches>
    <pivotCache cacheId="0" r:id="rId14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tc={0bab30cb-6739-4fc1-be22-341521a43166}</author>
    <author>tc={5b6419cd-b643-4751-8864-3b7623c4f345}</author>
    <author>tc={debf66aa-4591-4865-9aa7-1b6f9646f3bc}</author>
  </authors>
  <commentList>
    <comment authorId="0" xr:uid="{0bab30cb-6739-4fc1-be22-341521a43166}" ref="C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add sheetrock separately
</t>
      </text>
    </comment>
    <comment authorId="1" xr:uid="{5b6419cd-b643-4751-8864-3b7623c4f345}" ref="C4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Order 5-8 months in advance
</t>
      </text>
    </comment>
    <comment authorId="2" xr:uid="{debf66aa-4591-4865-9aa7-1b6f9646f3bc}" ref="C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potentially need access agreements, confirm with Frankie.
</t>
      </text>
    </comment>
  </commentList>
</comments>
</file>

<file path=xl/sharedStrings.xml><?xml version="1.0" encoding="utf-8"?>
<sst xmlns="http://schemas.openxmlformats.org/spreadsheetml/2006/main" count="610" uniqueCount="295">
  <si>
    <t>Project Name</t>
  </si>
  <si>
    <t>219 Driggs Street</t>
  </si>
  <si>
    <t>Address</t>
  </si>
  <si>
    <t>Project Size</t>
  </si>
  <si>
    <t>Project Budget</t>
  </si>
  <si>
    <t>SUM of Amount</t>
  </si>
  <si>
    <t>Status</t>
  </si>
  <si>
    <t>Type</t>
  </si>
  <si>
    <t>Fixed</t>
  </si>
  <si>
    <t>Open</t>
  </si>
  <si>
    <t>Grand Total</t>
  </si>
  <si>
    <t>Hard Costs</t>
  </si>
  <si>
    <t>Land Costs</t>
  </si>
  <si>
    <t>Soft Costs</t>
  </si>
  <si>
    <t>Contact</t>
  </si>
  <si>
    <t>Company</t>
  </si>
  <si>
    <t>Email</t>
  </si>
  <si>
    <t>Open Tasks</t>
  </si>
  <si>
    <t>In Progress Tasks</t>
  </si>
  <si>
    <t>Completed Tasks</t>
  </si>
  <si>
    <t>Total Tasks</t>
  </si>
  <si>
    <t>Middleton Environmental | Thomas R. Tompkins</t>
  </si>
  <si>
    <t>International Office of Architects | Murat Mutlu</t>
  </si>
  <si>
    <t>Stroh Engineering Services  | Jeff Roberts</t>
  </si>
  <si>
    <t>Boyd Consulting | Andrea Boyd</t>
  </si>
  <si>
    <t>5 Borough Mapping NY | Raj Kumar</t>
  </si>
  <si>
    <t>Preferred Bank | Sylvia Tseng</t>
  </si>
  <si>
    <t>DGM CPA | George Mataev</t>
  </si>
  <si>
    <t>Marcus Attorneys PLLC | Guillermo Santiago</t>
  </si>
  <si>
    <t>MCAI Construction Services | Noel G Muir</t>
  </si>
  <si>
    <t>Exterior Design Renterings | Andrew Melnikov</t>
  </si>
  <si>
    <t>Yaker Engineering | Alex Yaker</t>
  </si>
  <si>
    <t>WJY MEP Consulting Services, Inc | Wei Wang</t>
  </si>
  <si>
    <t>Task #</t>
  </si>
  <si>
    <t>Task Description</t>
  </si>
  <si>
    <t>Owner</t>
  </si>
  <si>
    <t>Start Date</t>
  </si>
  <si>
    <t>Completed On</t>
  </si>
  <si>
    <t>Duration</t>
  </si>
  <si>
    <t>Notes</t>
  </si>
  <si>
    <t>Category</t>
  </si>
  <si>
    <t>Sub-Category</t>
  </si>
  <si>
    <t>Amount</t>
  </si>
  <si>
    <t>PSF</t>
  </si>
  <si>
    <t>General Condition</t>
  </si>
  <si>
    <t>Temp. Facility, Safety, Garbage</t>
  </si>
  <si>
    <t>Sidewalk Shed and Scaffolding</t>
  </si>
  <si>
    <t>Direct Labor</t>
  </si>
  <si>
    <t>Foundation Site Work</t>
  </si>
  <si>
    <t>Demolition</t>
  </si>
  <si>
    <t>Shoring</t>
  </si>
  <si>
    <t>Excavation &amp; Soil Disposal</t>
  </si>
  <si>
    <t>Excavation (Existing Foundation)</t>
  </si>
  <si>
    <t>Footings, foundation Walls</t>
  </si>
  <si>
    <t>Superstructure</t>
  </si>
  <si>
    <t>Concrete Superstructure</t>
  </si>
  <si>
    <t>Foundation Walls</t>
  </si>
  <si>
    <t>Foundation Slab</t>
  </si>
  <si>
    <t>Carpentry</t>
  </si>
  <si>
    <t>Exterior and Rough Framing</t>
  </si>
  <si>
    <t>Interior Carpentry</t>
  </si>
  <si>
    <t>Doors</t>
  </si>
  <si>
    <t>Tile</t>
  </si>
  <si>
    <t>Molding</t>
  </si>
  <si>
    <t>Installation of Cabinets</t>
  </si>
  <si>
    <t>Bathroom Accessory Installation</t>
  </si>
  <si>
    <t>Taping &amp; Painting</t>
  </si>
  <si>
    <t>Hardwood</t>
  </si>
  <si>
    <t>Lobby finishes</t>
  </si>
  <si>
    <t>Closet Shelves, Woodwork and Etc.</t>
  </si>
  <si>
    <t>Windows and Storefront</t>
  </si>
  <si>
    <t>Windows &amp; Exterior Doors</t>
  </si>
  <si>
    <t>Storefront</t>
  </si>
  <si>
    <t>Masonry and Stucco</t>
  </si>
  <si>
    <t>Block and Brick</t>
  </si>
  <si>
    <t>Metal Paneling</t>
  </si>
  <si>
    <t>Insulation</t>
  </si>
  <si>
    <t>Stucco</t>
  </si>
  <si>
    <t>Roof</t>
  </si>
  <si>
    <t>Green roof</t>
  </si>
  <si>
    <t>Roof Pavers</t>
  </si>
  <si>
    <t>Coping/Cornice</t>
  </si>
  <si>
    <t>Elevator</t>
  </si>
  <si>
    <t>Controls, Microprocessor, etc.</t>
  </si>
  <si>
    <t>Entrances, Cabs and Other Materials</t>
  </si>
  <si>
    <t>Plumbing and Sprinkler</t>
  </si>
  <si>
    <t>Water and Sewer Main</t>
  </si>
  <si>
    <t>Plumbing Underground and Risers</t>
  </si>
  <si>
    <t>Gas Risers</t>
  </si>
  <si>
    <t>Bathroom Fixtures</t>
  </si>
  <si>
    <t>Installation of Fixtures</t>
  </si>
  <si>
    <t>Pumps</t>
  </si>
  <si>
    <t>Sprinkler</t>
  </si>
  <si>
    <t>HVAC</t>
  </si>
  <si>
    <t>HVAC Equipment</t>
  </si>
  <si>
    <t>Ductwork and Distribution</t>
  </si>
  <si>
    <t>Electric</t>
  </si>
  <si>
    <t>Underground, Temporary, Deckwork</t>
  </si>
  <si>
    <t>Common Area</t>
  </si>
  <si>
    <t>Service Work and Risers</t>
  </si>
  <si>
    <t>Apartment Branch, Panels and Feeders</t>
  </si>
  <si>
    <t>Light Fixtures</t>
  </si>
  <si>
    <t>Fire Alarm</t>
  </si>
  <si>
    <t>Low Voltage</t>
  </si>
  <si>
    <t>Miscellaneous Site Work</t>
  </si>
  <si>
    <t>Flatwork</t>
  </si>
  <si>
    <t>Landscaping</t>
  </si>
  <si>
    <t>Rear Yard</t>
  </si>
  <si>
    <t>Equipment and Miscellaneous</t>
  </si>
  <si>
    <t>Trash Compactor and Chutes</t>
  </si>
  <si>
    <t>Balconies</t>
  </si>
  <si>
    <t>Kitchen, Bathrooms and Fixtures</t>
  </si>
  <si>
    <t>Cabinets, Countertops, Sinks &amp; Faucets</t>
  </si>
  <si>
    <t>Kitchen Appliances</t>
  </si>
  <si>
    <t>Shower Doors</t>
  </si>
  <si>
    <t>Overhead &amp; Profit</t>
  </si>
  <si>
    <t>Contingencies</t>
  </si>
  <si>
    <t>Miscellaneous</t>
  </si>
  <si>
    <t>Interest Reserve</t>
  </si>
  <si>
    <t>Loan Fee</t>
  </si>
  <si>
    <t>Project Ghant Chart</t>
  </si>
  <si>
    <t xml:space="preserve"> </t>
  </si>
  <si>
    <t>PROJECT TITLE</t>
  </si>
  <si>
    <t>GENERAL CONTRACTOR</t>
  </si>
  <si>
    <t>Renovation Group</t>
  </si>
  <si>
    <t>PROJECT START DATE</t>
  </si>
  <si>
    <t>WBS NUMBER</t>
  </si>
  <si>
    <t>TASK TITLE</t>
  </si>
  <si>
    <t>TASK OWNER</t>
  </si>
  <si>
    <t>START DATE</t>
  </si>
  <si>
    <t>DUE DATE</t>
  </si>
  <si>
    <t>DURATION (DAYS)</t>
  </si>
  <si>
    <t>PCT OF TASK COMPLETE</t>
  </si>
  <si>
    <t>Planning</t>
  </si>
  <si>
    <t>Contract Execution</t>
  </si>
  <si>
    <t>Survey</t>
  </si>
  <si>
    <t>Environmental</t>
  </si>
  <si>
    <t>Architectural Engineering Planning</t>
  </si>
  <si>
    <t>Architectural Plans</t>
  </si>
  <si>
    <t>Structural Plans</t>
  </si>
  <si>
    <t>Fire Protection Plans (Sprinklers)</t>
  </si>
  <si>
    <t>MEP Plans</t>
  </si>
  <si>
    <t>Plumbing Plans</t>
  </si>
  <si>
    <t>SD1 and SD2</t>
  </si>
  <si>
    <t>Soil Borings</t>
  </si>
  <si>
    <t>Demolition Plans</t>
  </si>
  <si>
    <t>Aquisition Financing</t>
  </si>
  <si>
    <t>Secure Equity</t>
  </si>
  <si>
    <t>Construction Loan</t>
  </si>
  <si>
    <t>DOB Approvals</t>
  </si>
  <si>
    <t>Fire Protection Plans</t>
  </si>
  <si>
    <t>DOB Permits (BIN: 3811217)</t>
  </si>
  <si>
    <t>Fence Permit</t>
  </si>
  <si>
    <t>Demolition Permit</t>
  </si>
  <si>
    <t>New Building Permit</t>
  </si>
  <si>
    <t>Plumbing Permit</t>
  </si>
  <si>
    <t>Electrical Permit</t>
  </si>
  <si>
    <t>Access Agreements</t>
  </si>
  <si>
    <t>Project Definition and Planning</t>
  </si>
  <si>
    <t>Excavation / Shoring / Foundation</t>
  </si>
  <si>
    <t>Water Proofing &amp; Concrete Insulation</t>
  </si>
  <si>
    <t>Super Structure</t>
  </si>
  <si>
    <t>CMU</t>
  </si>
  <si>
    <t>Exterior Framing</t>
  </si>
  <si>
    <t>Water Proofing Facade</t>
  </si>
  <si>
    <t>Installation Exterior Doors / Windows</t>
  </si>
  <si>
    <t>Masonry Work Brick</t>
  </si>
  <si>
    <t>Roofing</t>
  </si>
  <si>
    <t>Interior Framing</t>
  </si>
  <si>
    <t>Plumbing</t>
  </si>
  <si>
    <t>Electrical</t>
  </si>
  <si>
    <t>AC</t>
  </si>
  <si>
    <t>Sheetrock</t>
  </si>
  <si>
    <t>Plaster &amp; Primer</t>
  </si>
  <si>
    <t>Tiles</t>
  </si>
  <si>
    <t>Floors</t>
  </si>
  <si>
    <t>Interior Doors</t>
  </si>
  <si>
    <t>Kitchen Cabinetry</t>
  </si>
  <si>
    <t>Paintinng</t>
  </si>
  <si>
    <t>Sidewalk and Asphalt for BPP</t>
  </si>
  <si>
    <t>Sign Off / Misc / Touch ups</t>
  </si>
  <si>
    <t>Date</t>
  </si>
  <si>
    <t>Vendor</t>
  </si>
  <si>
    <t>Memo</t>
  </si>
  <si>
    <t>Debit</t>
  </si>
  <si>
    <t>Credit</t>
  </si>
  <si>
    <t>Balance</t>
  </si>
  <si>
    <t>3/10/1023</t>
  </si>
  <si>
    <t>Deposit</t>
  </si>
  <si>
    <t>Shiraz Contribution</t>
  </si>
  <si>
    <t>CHK</t>
  </si>
  <si>
    <t>Contract Deposit</t>
  </si>
  <si>
    <t>NYC Cleaning Contribution</t>
  </si>
  <si>
    <t>Zelle</t>
  </si>
  <si>
    <t>5 Borough Mapping NY</t>
  </si>
  <si>
    <t>Wire</t>
  </si>
  <si>
    <t>International Office of Architects</t>
  </si>
  <si>
    <t>Deposit to Architect</t>
  </si>
  <si>
    <t>ACH</t>
  </si>
  <si>
    <t>Preferred Bank</t>
  </si>
  <si>
    <t>Deposit for Aquisition Loan</t>
  </si>
  <si>
    <t>Middleton Environmental</t>
  </si>
  <si>
    <t>Phase 1</t>
  </si>
  <si>
    <t xml:space="preserve">Stroh Engineering Services </t>
  </si>
  <si>
    <t>DGM CPA</t>
  </si>
  <si>
    <t>LLC Creation</t>
  </si>
  <si>
    <t>Boyd Consulting</t>
  </si>
  <si>
    <t>Reimbursed Investmates for payment to Expeditor for Demo</t>
  </si>
  <si>
    <t>Marcus Attorneys PLLC</t>
  </si>
  <si>
    <t>Review of Operating Agreement</t>
  </si>
  <si>
    <t>Good Faith Deposit</t>
  </si>
  <si>
    <t>Exterior Design Renterings</t>
  </si>
  <si>
    <t>Payment for Exterior Rendering</t>
  </si>
  <si>
    <t>Second Payment to Architect</t>
  </si>
  <si>
    <t>Yaker Engineering</t>
  </si>
  <si>
    <t>Deposit for Structural and SSP</t>
  </si>
  <si>
    <t>WJY MEP Consulting Services, Inc</t>
  </si>
  <si>
    <t>Deposit for MEP</t>
  </si>
  <si>
    <t>30% Payment for Design Documents</t>
  </si>
  <si>
    <t>Morgan Stanley Interest Income</t>
  </si>
  <si>
    <t>Interest Payment to Solomon Isakov</t>
  </si>
  <si>
    <t>Third Payment</t>
  </si>
  <si>
    <t>Contract Total</t>
  </si>
  <si>
    <t>Total Paid</t>
  </si>
  <si>
    <t>Total Remaining</t>
  </si>
  <si>
    <t>Insurances &amp; Contracts</t>
  </si>
  <si>
    <t>Subcontractor</t>
  </si>
  <si>
    <t>Contract Signed</t>
  </si>
  <si>
    <t>Subcontractor Rider</t>
  </si>
  <si>
    <t>Additional Insured</t>
  </si>
  <si>
    <t>Workers Comp</t>
  </si>
  <si>
    <t>General Liability</t>
  </si>
  <si>
    <t>Workers Comp Expiration</t>
  </si>
  <si>
    <t>Workers Comp Expiration (d)</t>
  </si>
  <si>
    <t>General Liability Expiration</t>
  </si>
  <si>
    <t>General Liability Expiration(d)</t>
  </si>
  <si>
    <t>Trysler</t>
  </si>
  <si>
    <t>Mason</t>
  </si>
  <si>
    <t>YES</t>
  </si>
  <si>
    <t>State Farm Fire &amp; Casulty</t>
  </si>
  <si>
    <t>First Choice Pl</t>
  </si>
  <si>
    <t>Sewer</t>
  </si>
  <si>
    <t>NO</t>
  </si>
  <si>
    <t>Greenstar Electrical</t>
  </si>
  <si>
    <t>Electrician</t>
  </si>
  <si>
    <t>Trisura Specialty Insurance Company</t>
  </si>
  <si>
    <t>Otis Elevator</t>
  </si>
  <si>
    <t>Raymond Plumber</t>
  </si>
  <si>
    <t>Plumber</t>
  </si>
  <si>
    <t>Capri Construction Corp</t>
  </si>
  <si>
    <t>Foundation</t>
  </si>
  <si>
    <t>Accredited Surety and Casualty Company, Inc.</t>
  </si>
  <si>
    <t>Permits</t>
  </si>
  <si>
    <t>Permit Type</t>
  </si>
  <si>
    <t>Agency</t>
  </si>
  <si>
    <t>Permit Number</t>
  </si>
  <si>
    <t>Contractor</t>
  </si>
  <si>
    <t>Superintendent</t>
  </si>
  <si>
    <t>Expiration</t>
  </si>
  <si>
    <t>Number of Days Left</t>
  </si>
  <si>
    <t>74-76 Congress Street</t>
  </si>
  <si>
    <t>Fence</t>
  </si>
  <si>
    <t>DOB</t>
  </si>
  <si>
    <t>B00340452-I1-FN</t>
  </si>
  <si>
    <t>GIRON CONTRACTING INC</t>
  </si>
  <si>
    <t>718-690-1370</t>
  </si>
  <si>
    <t>Structural</t>
  </si>
  <si>
    <t>B00340502-I1-ST</t>
  </si>
  <si>
    <t>Sidewalk Shed &amp; Wiring and Lights</t>
  </si>
  <si>
    <t>B00542874-I1-EL</t>
  </si>
  <si>
    <t>V.VASS ELECTRIC CORP</t>
  </si>
  <si>
    <t>347-662-4896</t>
  </si>
  <si>
    <t>Temporary Pipe Scaffold Per Plan</t>
  </si>
  <si>
    <t>B00542374-I1-SF</t>
  </si>
  <si>
    <t>CORE SCAFFOLD SYSTEMS INC</t>
  </si>
  <si>
    <t>Temporary Sidewalk Shed</t>
  </si>
  <si>
    <t>B00542355-I1-SH</t>
  </si>
  <si>
    <t>Temporary Electrical on Job site</t>
  </si>
  <si>
    <t>B00705224-I1-EL</t>
  </si>
  <si>
    <t>GREEN STAR ELECTRICAL</t>
  </si>
  <si>
    <t>347-683-9222</t>
  </si>
  <si>
    <t>0132 - INSTALL FENCE</t>
  </si>
  <si>
    <t>DOT</t>
  </si>
  <si>
    <t>B01-2022059-A00</t>
  </si>
  <si>
    <t>0201 - PLACE MATERIAL ON STREET</t>
  </si>
  <si>
    <t>B02-2022059-A00</t>
  </si>
  <si>
    <t>0202 - CROSSING SIDEWALK</t>
  </si>
  <si>
    <t>B02-2022059-A01</t>
  </si>
  <si>
    <t>0215 - OCCUPANCY OF SIDEWALK AS STIPULATED</t>
  </si>
  <si>
    <t>B02-2022059-A02</t>
  </si>
  <si>
    <t>0221 - TEMP. CONST. SIGNS/MARKINGS</t>
  </si>
  <si>
    <t>B02-2022147-D00</t>
  </si>
  <si>
    <t>0204 - PLACE EQUIPMENT OTHER THAN CRANE OR</t>
  </si>
  <si>
    <t>B02-2022059-A04</t>
  </si>
  <si>
    <t>Company |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</si>
</sst>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&quot;$&quot;#,##0"/>
    <numFmt numFmtId="166" formatCode="m/d/yyyy"/>
    <numFmt numFmtId="167" formatCode="mm/dd/yyyy"/>
    <numFmt numFmtId="168" formatCode="d&quot;-&quot;mmm&quot;-&quot;yy"/>
    <numFmt numFmtId="169" formatCode="m/d/yy"/>
  </numFmts>
  <fonts count="25">
    <font>
      <sz val="10.0"/>
      <color rgb="FF000000"/>
      <name val="Arial"/>
      <scheme val="minor"/>
    </font>
    <font>
      <color theme="1"/>
      <name val="Lato"/>
    </font>
    <font>
      <b/>
      <color theme="1"/>
      <name val="Lato"/>
    </font>
    <font>
      <b/>
      <sz val="9.0"/>
      <color theme="1"/>
      <name val="Lato"/>
    </font>
    <font>
      <sz val="9.0"/>
      <color theme="1"/>
      <name val="Lato"/>
    </font>
    <font>
      <sz val="8.0"/>
      <color theme="1"/>
      <name val="Lato"/>
    </font>
    <font>
      <b/>
      <sz val="8.0"/>
      <color rgb="FF0B5394"/>
      <name val="Lato"/>
    </font>
    <font>
      <sz val="8.0"/>
      <color rgb="FF000000"/>
      <name val="Lato"/>
    </font>
    <font>
      <u/>
      <sz val="8.0"/>
      <color rgb="FF000000"/>
      <name val="Lato"/>
    </font>
    <font>
      <sz val="8.0"/>
      <color rgb="FFFFFFFF"/>
      <name val="Lato"/>
    </font>
    <font>
      <b/>
      <sz val="8.0"/>
      <color rgb="FFFFFFFF"/>
      <name val="Lato"/>
    </font>
    <font/>
    <font>
      <b/>
      <sz val="8.0"/>
      <color rgb="FF000000"/>
      <name val="Lato"/>
    </font>
    <font>
      <b/>
      <color theme="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rgb="FF000000"/>
      <name val="Lato"/>
    </font>
    <font>
      <b/>
      <sz val="11.0"/>
      <color rgb="FFFFFFFF"/>
      <name val="Calibri"/>
    </font>
    <font>
      <sz val="11.0"/>
      <color rgb="FFFFFFFF"/>
      <name val="Calibri"/>
    </font>
    <font>
      <sz val="11.0"/>
      <color rgb="FF000000"/>
      <name val="Lato"/>
    </font>
    <font>
      <b/>
      <sz val="11.0"/>
      <color rgb="FFFFFFFF"/>
      <name val="Lato"/>
    </font>
    <font>
      <u/>
      <sz val="11.0"/>
      <color rgb="FF0000FF"/>
      <name val="Lato"/>
    </font>
  </fonts>
  <fills count="13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FFFF"/>
        <bgColor rgb="FFFFFFFF"/>
      </patternFill>
    </fill>
    <fill>
      <patternFill patternType="solid">
        <fgColor rgb="FFDDF2F0"/>
        <bgColor rgb="FFDDF2F0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16365C"/>
        <bgColor rgb="FF16365C"/>
      </patternFill>
    </fill>
    <fill>
      <patternFill patternType="solid">
        <fgColor rgb="FF78909C"/>
        <bgColor rgb="FF78909C"/>
      </patternFill>
    </fill>
    <fill>
      <patternFill patternType="solid">
        <fgColor rgb="FFEBEFF1"/>
        <bgColor rgb="FFEBEFF1"/>
      </patternFill>
    </fill>
  </fills>
  <borders count="13">
    <border/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000000"/>
      </bottom>
    </border>
    <border>
      <right style="thin">
        <color rgb="FF999999"/>
      </right>
      <top style="thin">
        <color rgb="FF999999"/>
      </top>
      <bottom style="thin">
        <color rgb="FF000000"/>
      </bottom>
    </border>
    <border>
      <top style="thin">
        <color rgb="FF000000"/>
      </top>
      <bottom style="thin">
        <color rgb="FF999999"/>
      </bottom>
    </border>
    <border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BFBF"/>
      </left>
      <bottom style="double">
        <color rgb="FFBFBFBF"/>
      </bottom>
    </border>
    <border>
      <left style="thin">
        <color rgb="FFBFBFBF"/>
      </left>
      <right style="thin">
        <color rgb="FFBFBFBF"/>
      </right>
      <bottom style="double">
        <color rgb="FFBFBFBF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3" fontId="4" numFmtId="0" xfId="0" applyAlignment="1" applyFill="1" applyFont="1">
      <alignment readingOrder="0" shrinkToFit="0" vertical="bottom" wrapText="0"/>
    </xf>
    <xf borderId="0" fillId="3" fontId="4" numFmtId="164" xfId="0" applyAlignment="1" applyFont="1" applyNumberFormat="1">
      <alignment horizontal="right" readingOrder="0" vertical="bottom"/>
    </xf>
    <xf borderId="0" fillId="3" fontId="4" numFmtId="164" xfId="0" applyAlignment="1" applyFont="1" applyNumberFormat="1">
      <alignment horizontal="right" vertical="bottom"/>
    </xf>
    <xf borderId="0" fillId="3" fontId="4" numFmtId="0" xfId="0" applyAlignment="1" applyFont="1">
      <alignment horizontal="right" readingOrder="0" vertical="bottom"/>
    </xf>
    <xf borderId="0" fillId="4" fontId="4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vertical="bottom"/>
    </xf>
    <xf borderId="0" fillId="4" fontId="4" numFmtId="164" xfId="0" applyAlignment="1" applyFont="1" applyNumberFormat="1">
      <alignment horizontal="right" readingOrder="0" vertical="bottom"/>
    </xf>
    <xf borderId="0" fillId="4" fontId="4" numFmtId="164" xfId="0" applyAlignment="1" applyFont="1" applyNumberFormat="1">
      <alignment horizontal="right" vertical="bottom"/>
    </xf>
    <xf borderId="0" fillId="4" fontId="4" numFmtId="0" xfId="0" applyAlignment="1" applyFont="1">
      <alignment horizontal="right" readingOrder="0" vertical="bottom"/>
    </xf>
    <xf borderId="0" fillId="3" fontId="4" numFmtId="0" xfId="0" applyAlignment="1" applyFont="1">
      <alignment readingOrder="0" vertical="bottom"/>
    </xf>
    <xf borderId="0" fillId="3" fontId="4" numFmtId="0" xfId="0" applyAlignment="1" applyFont="1">
      <alignment readingOrder="0"/>
    </xf>
    <xf borderId="0" fillId="4" fontId="4" numFmtId="0" xfId="0" applyAlignment="1" applyFont="1">
      <alignment readingOrder="0"/>
    </xf>
    <xf borderId="0" fillId="4" fontId="4" numFmtId="164" xfId="0" applyAlignment="1" applyFont="1" applyNumberFormat="1">
      <alignment readingOrder="0" vertical="bottom"/>
    </xf>
    <xf borderId="0" fillId="3" fontId="4" numFmtId="165" xfId="0" applyAlignment="1" applyFont="1" applyNumberFormat="1">
      <alignment readingOrder="0"/>
    </xf>
    <xf borderId="0" fillId="4" fontId="4" numFmtId="165" xfId="0" applyAlignment="1" applyFont="1" applyNumberFormat="1">
      <alignment readingOrder="0"/>
    </xf>
    <xf borderId="0" fillId="3" fontId="1" numFmtId="0" xfId="0" applyFont="1"/>
    <xf borderId="0" fillId="4" fontId="1" numFmtId="0" xfId="0" applyFont="1"/>
    <xf borderId="0" fillId="0" fontId="5" numFmtId="0" xfId="0" applyFont="1"/>
    <xf borderId="0" fillId="3" fontId="6" numFmtId="0" xfId="0" applyAlignment="1" applyFont="1">
      <alignment readingOrder="0" shrinkToFit="0" vertical="bottom" wrapText="0"/>
    </xf>
    <xf borderId="0" fillId="3" fontId="6" numFmtId="0" xfId="0" applyAlignment="1" applyFont="1">
      <alignment horizontal="center" readingOrder="0" shrinkToFit="0" vertical="bottom" wrapText="0"/>
    </xf>
    <xf borderId="0" fillId="3" fontId="7" numFmtId="0" xfId="0" applyAlignment="1" applyFont="1">
      <alignment horizontal="center" shrinkToFit="0" vertical="bottom" wrapText="0"/>
    </xf>
    <xf borderId="0" fillId="3" fontId="7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top" wrapText="0"/>
    </xf>
    <xf borderId="0" fillId="3" fontId="7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/>
    </xf>
    <xf borderId="1" fillId="5" fontId="10" numFmtId="0" xfId="0" applyAlignment="1" applyBorder="1" applyFill="1" applyFont="1">
      <alignment horizontal="left" readingOrder="0" shrinkToFit="0" vertical="bottom" wrapText="0"/>
    </xf>
    <xf borderId="2" fillId="0" fontId="11" numFmtId="0" xfId="0" applyBorder="1" applyFont="1"/>
    <xf borderId="3" fillId="3" fontId="7" numFmtId="0" xfId="0" applyAlignment="1" applyBorder="1" applyFont="1">
      <alignment readingOrder="0" shrinkToFit="0" vertical="bottom" wrapText="0"/>
    </xf>
    <xf borderId="3" fillId="0" fontId="11" numFmtId="0" xfId="0" applyBorder="1" applyFont="1"/>
    <xf borderId="4" fillId="0" fontId="11" numFmtId="0" xfId="0" applyBorder="1" applyFont="1"/>
    <xf borderId="5" fillId="3" fontId="7" numFmtId="0" xfId="0" applyAlignment="1" applyBorder="1" applyFont="1">
      <alignment readingOrder="0" shrinkToFit="0" vertical="bottom" wrapText="0"/>
    </xf>
    <xf borderId="5" fillId="0" fontId="11" numFmtId="0" xfId="0" applyBorder="1" applyFont="1"/>
    <xf borderId="6" fillId="0" fontId="11" numFmtId="0" xfId="0" applyBorder="1" applyFont="1"/>
    <xf borderId="3" fillId="3" fontId="7" numFmtId="166" xfId="0" applyAlignment="1" applyBorder="1" applyFont="1" applyNumberFormat="1">
      <alignment readingOrder="0" shrinkToFit="0" vertical="bottom" wrapText="0"/>
    </xf>
    <xf borderId="7" fillId="0" fontId="7" numFmtId="168" xfId="0" applyAlignment="1" applyBorder="1" applyFont="1" applyNumberFormat="1">
      <alignment horizontal="center" readingOrder="0" shrinkToFit="0" textRotation="45" vertical="bottom" wrapText="1"/>
    </xf>
    <xf borderId="8" fillId="6" fontId="12" numFmtId="0" xfId="0" applyAlignment="1" applyBorder="1" applyFill="1" applyFont="1">
      <alignment horizontal="center" readingOrder="0" shrinkToFit="0" vertical="center" wrapText="1"/>
    </xf>
    <xf borderId="9" fillId="6" fontId="12" numFmtId="0" xfId="0" applyAlignment="1" applyBorder="1" applyFont="1">
      <alignment horizontal="center" readingOrder="0" shrinkToFit="0" vertical="center" wrapText="1"/>
    </xf>
    <xf borderId="2" fillId="7" fontId="10" numFmtId="0" xfId="0" applyAlignment="1" applyBorder="1" applyFill="1" applyFont="1">
      <alignment horizontal="center" readingOrder="0" shrinkToFit="0" vertical="bottom" wrapText="0"/>
    </xf>
    <xf borderId="10" fillId="7" fontId="10" numFmtId="0" xfId="0" applyAlignment="1" applyBorder="1" applyFont="1">
      <alignment horizontal="center" readingOrder="0" shrinkToFit="0" vertical="bottom" wrapText="0"/>
    </xf>
    <xf borderId="11" fillId="0" fontId="11" numFmtId="0" xfId="0" applyBorder="1" applyFont="1"/>
    <xf borderId="12" fillId="0" fontId="11" numFmtId="0" xfId="0" applyBorder="1" applyFont="1"/>
    <xf borderId="7" fillId="8" fontId="12" numFmtId="3" xfId="0" applyAlignment="1" applyBorder="1" applyFill="1" applyFont="1" applyNumberFormat="1">
      <alignment horizontal="center" readingOrder="0" shrinkToFit="0" vertical="bottom" wrapText="0"/>
    </xf>
    <xf borderId="7" fillId="9" fontId="7" numFmtId="0" xfId="0" applyAlignment="1" applyBorder="1" applyFill="1" applyFont="1">
      <alignment horizontal="left" readingOrder="0" shrinkToFit="0" vertical="bottom" wrapText="1"/>
    </xf>
    <xf borderId="7" fillId="6" fontId="12" numFmtId="0" xfId="0" applyAlignment="1" applyBorder="1" applyFont="1">
      <alignment readingOrder="0" shrinkToFit="0" vertical="bottom" wrapText="1"/>
    </xf>
    <xf borderId="7" fillId="6" fontId="7" numFmtId="0" xfId="0" applyAlignment="1" applyBorder="1" applyFont="1">
      <alignment shrinkToFit="0" vertical="bottom" wrapText="1"/>
    </xf>
    <xf borderId="7" fillId="6" fontId="7" numFmtId="166" xfId="0" applyAlignment="1" applyBorder="1" applyFont="1" applyNumberFormat="1">
      <alignment horizontal="center" readingOrder="0" shrinkToFit="0" vertical="bottom" wrapText="1"/>
    </xf>
    <xf borderId="7" fillId="6" fontId="7" numFmtId="169" xfId="0" applyAlignment="1" applyBorder="1" applyFont="1" applyNumberFormat="1">
      <alignment horizontal="center" shrinkToFit="0" vertical="bottom" wrapText="1"/>
    </xf>
    <xf borderId="7" fillId="6" fontId="7" numFmtId="0" xfId="0" applyAlignment="1" applyBorder="1" applyFont="1">
      <alignment horizontal="center" shrinkToFit="0" vertical="bottom" wrapText="1"/>
    </xf>
    <xf borderId="7" fillId="6" fontId="12" numFmtId="0" xfId="0" applyAlignment="1" applyBorder="1" applyFont="1">
      <alignment horizontal="center" shrinkToFit="0" vertical="bottom" wrapText="0"/>
    </xf>
    <xf borderId="7" fillId="6" fontId="12" numFmtId="164" xfId="0" applyAlignment="1" applyBorder="1" applyFont="1" applyNumberFormat="1">
      <alignment horizontal="center" shrinkToFit="0" vertical="bottom" wrapText="0"/>
    </xf>
    <xf borderId="7" fillId="6" fontId="12" numFmtId="3" xfId="0" applyAlignment="1" applyBorder="1" applyFont="1" applyNumberFormat="1">
      <alignment horizontal="center" shrinkToFit="0" vertical="bottom" wrapText="0"/>
    </xf>
    <xf borderId="7" fillId="6" fontId="12" numFmtId="0" xfId="0" applyAlignment="1" applyBorder="1" applyFont="1">
      <alignment horizontal="center" shrinkToFit="0" vertical="bottom" wrapText="0"/>
    </xf>
    <xf borderId="7" fillId="0" fontId="7" numFmtId="0" xfId="0" applyAlignment="1" applyBorder="1" applyFont="1">
      <alignment readingOrder="0" shrinkToFit="0" vertical="bottom" wrapText="1"/>
    </xf>
    <xf borderId="7" fillId="0" fontId="7" numFmtId="166" xfId="0" applyAlignment="1" applyBorder="1" applyFont="1" applyNumberFormat="1">
      <alignment horizontal="center" readingOrder="0" shrinkToFit="0" vertical="bottom" wrapText="1"/>
    </xf>
    <xf borderId="7" fillId="0" fontId="7" numFmtId="169" xfId="0" applyAlignment="1" applyBorder="1" applyFont="1" applyNumberFormat="1">
      <alignment horizontal="center" readingOrder="0" shrinkToFit="0" vertical="bottom" wrapText="1"/>
    </xf>
    <xf borderId="7" fillId="0" fontId="7" numFmtId="0" xfId="0" applyAlignment="1" applyBorder="1" applyFont="1">
      <alignment horizontal="center" readingOrder="0" shrinkToFit="0" vertical="bottom" wrapText="1"/>
    </xf>
    <xf borderId="7" fillId="0" fontId="7" numFmtId="9" xfId="0" applyAlignment="1" applyBorder="1" applyFont="1" applyNumberFormat="1">
      <alignment horizontal="center" readingOrder="0" shrinkToFit="0" vertical="bottom" wrapText="1"/>
    </xf>
    <xf borderId="7" fillId="0" fontId="12" numFmtId="0" xfId="0" applyAlignment="1" applyBorder="1" applyFont="1">
      <alignment horizontal="center" readingOrder="0" shrinkToFit="0" vertical="bottom" wrapText="0"/>
    </xf>
    <xf borderId="7" fillId="0" fontId="12" numFmtId="0" xfId="0" applyAlignment="1" applyBorder="1" applyFont="1">
      <alignment readingOrder="0" shrinkToFit="0" vertical="bottom" wrapText="1"/>
    </xf>
    <xf borderId="7" fillId="0" fontId="7" numFmtId="49" xfId="0" applyAlignment="1" applyBorder="1" applyFont="1" applyNumberFormat="1">
      <alignment readingOrder="0" shrinkToFit="0" vertical="bottom" wrapText="1"/>
    </xf>
    <xf borderId="7" fillId="0" fontId="12" numFmtId="0" xfId="0" applyAlignment="1" applyBorder="1" applyFont="1">
      <alignment horizontal="center" shrinkToFit="0" vertical="bottom" wrapText="0"/>
    </xf>
    <xf borderId="7" fillId="6" fontId="7" numFmtId="0" xfId="0" applyAlignment="1" applyBorder="1" applyFont="1">
      <alignment shrinkToFit="0" vertical="bottom" wrapText="1"/>
    </xf>
    <xf borderId="7" fillId="6" fontId="7" numFmtId="0" xfId="0" applyAlignment="1" applyBorder="1" applyFont="1">
      <alignment horizontal="center" shrinkToFit="0" vertical="bottom" wrapText="1"/>
    </xf>
    <xf borderId="7" fillId="6" fontId="12" numFmtId="9" xfId="0" applyAlignment="1" applyBorder="1" applyFont="1" applyNumberFormat="1">
      <alignment horizontal="center" shrinkToFit="0" vertical="bottom" wrapText="0"/>
    </xf>
    <xf borderId="7" fillId="6" fontId="7" numFmtId="0" xfId="0" applyAlignment="1" applyBorder="1" applyFont="1">
      <alignment readingOrder="0" shrinkToFit="0" vertical="bottom" wrapText="1"/>
    </xf>
    <xf borderId="7" fillId="0" fontId="7" numFmtId="0" xfId="0" applyAlignment="1" applyBorder="1" applyFont="1">
      <alignment horizontal="center" shrinkToFit="0" vertical="bottom" wrapText="1"/>
    </xf>
    <xf borderId="7" fillId="0" fontId="7" numFmtId="0" xfId="0" applyAlignment="1" applyBorder="1" applyFont="1">
      <alignment horizontal="center" shrinkToFit="0" vertical="bottom" wrapText="1"/>
    </xf>
    <xf borderId="7" fillId="6" fontId="7" numFmtId="0" xfId="0" applyAlignment="1" applyBorder="1" applyFont="1">
      <alignment horizontal="center" readingOrder="0" shrinkToFit="0" vertical="bottom" wrapText="1"/>
    </xf>
    <xf borderId="7" fillId="0" fontId="12" numFmtId="9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/>
    </xf>
    <xf borderId="0" fillId="0" fontId="13" numFmtId="0" xfId="0" applyAlignment="1" applyFont="1">
      <alignment readingOrder="0"/>
    </xf>
    <xf borderId="0" fillId="0" fontId="14" numFmtId="164" xfId="0" applyAlignment="1" applyFont="1" applyNumberFormat="1">
      <alignment readingOrder="0"/>
    </xf>
    <xf borderId="0" fillId="0" fontId="14" numFmtId="0" xfId="0" applyAlignment="1" applyFont="1">
      <alignment readingOrder="0"/>
    </xf>
    <xf borderId="0" fillId="0" fontId="15" numFmtId="166" xfId="0" applyAlignment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164" xfId="0" applyAlignment="1" applyFont="1" applyNumberFormat="1">
      <alignment readingOrder="0"/>
    </xf>
    <xf borderId="0" fillId="0" fontId="15" numFmtId="0" xfId="0" applyFont="1"/>
    <xf borderId="0" fillId="0" fontId="15" numFmtId="164" xfId="0" applyFont="1" applyNumberFormat="1"/>
    <xf borderId="0" fillId="0" fontId="15" numFmtId="0" xfId="0" applyAlignment="1" applyFont="1">
      <alignment readingOrder="0"/>
    </xf>
    <xf borderId="0" fillId="0" fontId="15" numFmtId="0" xfId="0" applyFont="1"/>
    <xf borderId="0" fillId="0" fontId="15" numFmtId="164" xfId="0" applyFont="1" applyNumberFormat="1"/>
    <xf borderId="0" fillId="0" fontId="16" numFmtId="0" xfId="0" applyAlignment="1" applyFont="1">
      <alignment horizontal="right" readingOrder="0"/>
    </xf>
    <xf borderId="0" fillId="0" fontId="16" numFmtId="0" xfId="0" applyAlignment="1" applyFont="1">
      <alignment readingOrder="0"/>
    </xf>
    <xf borderId="0" fillId="0" fontId="16" numFmtId="164" xfId="0" applyAlignment="1" applyFont="1" applyNumberFormat="1">
      <alignment horizontal="right" readingOrder="0"/>
    </xf>
    <xf borderId="0" fillId="0" fontId="17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readingOrder="0" shrinkToFit="0" vertical="bottom" wrapText="0"/>
    </xf>
    <xf borderId="0" fillId="10" fontId="20" numFmtId="0" xfId="0" applyAlignment="1" applyFill="1" applyFont="1">
      <alignment horizontal="center" readingOrder="0" shrinkToFit="0" wrapText="0"/>
    </xf>
    <xf borderId="0" fillId="10" fontId="20" numFmtId="0" xfId="0" applyAlignment="1" applyFont="1">
      <alignment horizontal="center" readingOrder="0"/>
    </xf>
    <xf borderId="0" fillId="10" fontId="21" numFmtId="0" xfId="0" applyAlignment="1" applyFont="1">
      <alignment horizontal="center" readingOrder="0"/>
    </xf>
    <xf borderId="0" fillId="0" fontId="22" numFmtId="0" xfId="0" applyAlignment="1" applyFont="1">
      <alignment readingOrder="0" shrinkToFit="0" vertical="bottom" wrapText="0"/>
    </xf>
    <xf borderId="0" fillId="0" fontId="22" numFmtId="0" xfId="0" applyAlignment="1" applyFont="1">
      <alignment horizontal="center" readingOrder="0" shrinkToFit="0" vertical="bottom" wrapText="0"/>
    </xf>
    <xf borderId="0" fillId="0" fontId="22" numFmtId="0" xfId="0" applyAlignment="1" applyFont="1">
      <alignment horizontal="left" readingOrder="0" shrinkToFit="0" vertical="bottom" wrapText="0"/>
    </xf>
    <xf borderId="0" fillId="0" fontId="22" numFmtId="166" xfId="0" applyAlignment="1" applyFont="1" applyNumberFormat="1">
      <alignment horizontal="right" readingOrder="0" shrinkToFit="0" vertical="bottom" wrapText="0"/>
    </xf>
    <xf borderId="0" fillId="0" fontId="22" numFmtId="0" xfId="0" applyAlignment="1" applyFont="1">
      <alignment horizontal="right" readingOrder="0" shrinkToFit="0" vertical="bottom" wrapText="0"/>
    </xf>
    <xf borderId="0" fillId="0" fontId="22" numFmtId="0" xfId="0" applyAlignment="1" applyFont="1">
      <alignment horizontal="left" shrinkToFit="0" vertical="bottom" wrapText="0"/>
    </xf>
    <xf borderId="0" fillId="0" fontId="22" numFmtId="0" xfId="0" applyAlignment="1" applyFont="1">
      <alignment shrinkToFit="0" vertical="bottom" wrapText="0"/>
    </xf>
    <xf borderId="0" fillId="0" fontId="22" numFmtId="0" xfId="0" applyAlignment="1" applyFont="1">
      <alignment horizontal="center" shrinkToFit="0" vertical="bottom" wrapText="0"/>
    </xf>
    <xf borderId="0" fillId="11" fontId="23" numFmtId="0" xfId="0" applyAlignment="1" applyFill="1" applyFont="1">
      <alignment horizontal="center" readingOrder="0" shrinkToFit="0" wrapText="0"/>
    </xf>
    <xf borderId="0" fillId="11" fontId="23" numFmtId="0" xfId="0" applyAlignment="1" applyFont="1">
      <alignment horizontal="center" readingOrder="0"/>
    </xf>
    <xf borderId="0" fillId="12" fontId="22" numFmtId="0" xfId="0" applyAlignment="1" applyFill="1" applyFont="1">
      <alignment readingOrder="0" shrinkToFit="0" vertical="bottom" wrapText="0"/>
    </xf>
    <xf borderId="0" fillId="12" fontId="24" numFmtId="0" xfId="0" applyAlignment="1" applyFont="1">
      <alignment readingOrder="0" shrinkToFit="0" vertical="bottom" wrapText="0"/>
    </xf>
    <xf borderId="0" fillId="12" fontId="22" numFmtId="166" xfId="0" applyAlignment="1" applyFont="1" applyNumberFormat="1">
      <alignment horizontal="right" readingOrder="0" shrinkToFit="0" vertical="bottom" wrapText="0"/>
    </xf>
    <xf borderId="0" fillId="12" fontId="22" numFmtId="0" xfId="0" applyAlignment="1" applyFont="1">
      <alignment horizontal="right" readingOrder="0" shrinkToFit="0" vertical="bottom" wrapText="0"/>
    </xf>
    <xf borderId="0" fillId="3" fontId="22" numFmtId="0" xfId="0" applyAlignment="1" applyFont="1">
      <alignment readingOrder="0" shrinkToFit="0" vertical="bottom" wrapText="0"/>
    </xf>
    <xf borderId="0" fillId="3" fontId="22" numFmtId="166" xfId="0" applyAlignment="1" applyFont="1" applyNumberFormat="1">
      <alignment horizontal="right" readingOrder="0" shrinkToFit="0" vertical="bottom" wrapText="0"/>
    </xf>
    <xf borderId="0" fillId="3" fontId="2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16">
    <dxf>
      <font/>
      <fill>
        <patternFill patternType="none"/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5B9BD5"/>
          <bgColor rgb="FF5B9BD5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>
        <color rgb="FF0000FF"/>
      </font>
      <fill>
        <patternFill patternType="none"/>
      </fill>
      <border/>
    </dxf>
    <dxf>
      <font/>
      <fill>
        <patternFill patternType="solid">
          <fgColor rgb="FF85200C"/>
          <bgColor rgb="FF85200C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78909C"/>
          <bgColor rgb="FF78909C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  <tableStyles count="5">
    <tableStyle count="3" pivot="0" name="Team-style">
      <tableStyleElement dxfId="1" type="headerRow"/>
      <tableStyleElement dxfId="2" type="firstRowStripe"/>
      <tableStyleElement dxfId="3" type="secondRowStripe"/>
    </tableStyle>
    <tableStyle count="3" pivot="0" name="TasksToDo-style">
      <tableStyleElement dxfId="4" type="headerRow"/>
      <tableStyleElement dxfId="2" type="firstRowStripe"/>
      <tableStyleElement dxfId="5" type="secondRowStripe"/>
    </tableStyle>
    <tableStyle count="3" pivot="0" name="Expenses-style">
      <tableStyleElement dxfId="9" type="headerRow"/>
      <tableStyleElement dxfId="2" type="firstRowStripe"/>
      <tableStyleElement dxfId="10" type="secondRowStripe"/>
    </tableStyle>
    <tableStyle count="3" pivot="0" name="Contracts-style">
      <tableStyleElement dxfId="1" type="headerRow"/>
      <tableStyleElement dxfId="2" type="firstRowStripe"/>
      <tableStyleElement dxfId="3" type="secondRowStripe"/>
    </tableStyle>
    <tableStyle count="3" pivot="0" name="Insurances &amp; Permits-style">
      <tableStyleElement dxfId="11" type="headerRow"/>
      <tableStyleElement dxfId="2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bert Aranbaev" id="{964aff3d-65b6-46da-a3bf-95de580b12d6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5" sheet="Budget"/>
  </cacheSource>
  <cacheFields>
    <cacheField name="Type" numFmtId="0">
      <sharedItems>
        <s v="Hard Costs"/>
        <s v="Land Costs"/>
        <s v="Soft Costs"/>
      </sharedItems>
    </cacheField>
    <cacheField name="Category" numFmtId="0">
      <sharedItems>
        <s v="General Condition"/>
        <s v="Foundation Site Work"/>
        <s v="Superstructure"/>
        <s v="Carpentry"/>
        <s v="Windows and Storefront"/>
        <s v="Masonry and Stucco"/>
        <s v="Roof"/>
        <s v="Elevator"/>
        <s v="Plumbing and Sprinkler"/>
        <s v="HVAC"/>
        <s v="Electric"/>
        <s v="Miscellaneous Site Work"/>
        <s v="Equipment and Miscellaneous"/>
        <s v="Kitchen, Bathrooms and Fixtures"/>
        <s v="Overhead &amp; Profit"/>
        <s v="Contingencies"/>
        <s v="Land Costs"/>
        <s v="Soft Costs"/>
      </sharedItems>
    </cacheField>
    <cacheField name="Sub-Category" numFmtId="0">
      <sharedItems>
        <s v="Temp. Facility, Safety, Garbage"/>
        <s v="Sidewalk Shed and Scaffolding"/>
        <s v="Direct Labor"/>
        <s v="Demolition"/>
        <s v="Shoring"/>
        <s v="Excavation &amp; Soil Disposal"/>
        <s v="Excavation (Existing Foundation)"/>
        <s v="Footings, foundation Walls"/>
        <s v="Concrete Superstructure"/>
        <s v="Foundation Walls"/>
        <s v="Foundation Slab"/>
        <s v="Exterior and Rough Framing"/>
        <s v="Interior Carpentry"/>
        <s v="Doors"/>
        <s v="Tile"/>
        <s v="Molding"/>
        <s v="Installation of Cabinets"/>
        <s v="Bathroom Accessory Installation"/>
        <s v="Taping &amp; Painting"/>
        <s v="Hardwood"/>
        <s v="Lobby finishes"/>
        <s v="Closet Shelves, Woodwork and Etc."/>
        <s v="Windows &amp; Exterior Doors"/>
        <s v="Storefront"/>
        <s v="Block and Brick"/>
        <s v="Metal Paneling"/>
        <s v="Insulation"/>
        <s v="Stucco"/>
        <s v="Roof"/>
        <s v="Green roof"/>
        <s v="Roof Pavers"/>
        <s v="Coping/Cornice"/>
        <s v="Controls, Microprocessor, etc."/>
        <s v="Entrances, Cabs and Other Materials"/>
        <s v="Water and Sewer Main"/>
        <s v="Plumbing Underground and Risers"/>
        <s v="Gas Risers"/>
        <s v="Bathroom Fixtures"/>
        <s v="Installation of Fixtures"/>
        <s v="Pumps"/>
        <s v="Sprinkler"/>
        <s v="HVAC Equipment"/>
        <s v="Ductwork and Distribution"/>
        <s v="Underground, Temporary, Deckwork"/>
        <s v="Common Area"/>
        <s v="Service Work and Risers"/>
        <s v="Apartment Branch, Panels and Feeders"/>
        <s v="Light Fixtures"/>
        <s v="Fire Alarm"/>
        <s v="Low Voltage"/>
        <s v="Flatwork"/>
        <s v="Landscaping"/>
        <s v="Rear Yard"/>
        <s v="Trash Compactor and Chutes"/>
        <s v="Balconies"/>
        <s v="Cabinets, Countertops, Sinks &amp; Faucets"/>
        <s v="Kitchen Appliances"/>
        <s v="Shower Doors"/>
        <s v="Overhead &amp; Profit"/>
        <s v="Miscellaneous"/>
        <s v="Land Costs"/>
        <s v="Soft Costs"/>
        <s v="Interest Reserve"/>
        <s v="Loan Fee"/>
      </sharedItems>
    </cacheField>
    <cacheField name="Amount" numFmtId="164">
      <sharedItems containsSemiMixedTypes="0" containsString="0" containsNumber="1" containsInteger="1">
        <n v="134000.0"/>
        <n v="120000.0"/>
        <n v="200000.0"/>
        <n v="225000.0"/>
        <n v="190000.0"/>
        <n v="220000.0"/>
        <n v="0.0"/>
        <n v="265000.0"/>
        <n v="935000.0"/>
        <n v="50000.0"/>
        <n v="213000.0"/>
        <n v="400000.0"/>
        <n v="90000.0"/>
        <n v="100000.0"/>
        <n v="25000.0"/>
        <n v="30000.0"/>
        <n v="5000.0"/>
        <n v="129000.0"/>
        <n v="154000.0"/>
        <n v="20000.0"/>
        <n v="150000.0"/>
        <n v="140000.0"/>
        <n v="40000.0"/>
        <n v="60000.0"/>
        <n v="180000.0"/>
        <n v="56000.0"/>
        <n v="71000.0"/>
        <n v="21000.0"/>
        <n v="10000.0"/>
        <n v="41000.0"/>
        <n v="28000.0"/>
        <n v="450000.0"/>
        <n v="319350.0"/>
        <n v="5800000.0"/>
        <n v="1605134.0"/>
        <n v="757743.0"/>
        <n v="21500.0"/>
      </sharedItems>
    </cacheField>
    <cacheField name="PSF" numFmtId="164">
      <sharedItems containsSemiMixedTypes="0" containsString="0" containsNumber="1">
        <n v="13.4"/>
        <n v="12.0"/>
        <n v="20.0"/>
        <n v="22.5"/>
        <n v="19.0"/>
        <n v="22.0"/>
        <n v="0.0"/>
        <n v="26.5"/>
        <n v="93.5"/>
        <n v="5.0"/>
        <n v="21.3"/>
        <n v="40.0"/>
        <n v="9.0"/>
        <n v="10.0"/>
        <n v="2.5"/>
        <n v="3.0"/>
        <n v="0.5"/>
        <n v="12.9"/>
        <n v="15.4"/>
        <n v="2.0"/>
        <n v="15.0"/>
        <n v="14.0"/>
        <n v="4.0"/>
        <n v="6.0"/>
        <n v="18.0"/>
        <n v="5.6"/>
        <n v="7.1"/>
        <n v="2.1"/>
        <n v="1.0"/>
        <n v="4.1"/>
        <n v="2.8"/>
        <n v="45.0"/>
        <n v="31.935"/>
        <n v="580.0"/>
        <n v="160.5134"/>
        <n v="75.7743"/>
        <n v="2.15"/>
      </sharedItems>
    </cacheField>
    <cacheField name="Status" numFmtId="0">
      <sharedItems>
        <s v="Open"/>
        <s v="Fix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shboard" cacheId="0" dataCaption="" compact="0" compactData="0">
  <location ref="B8:E13" firstHeaderRow="0" firstDataRow="1" firstDataCol="1"/>
  <pivotFields>
    <pivotField name="Type" axis="axisRow" compact="0" outline="0" multipleItemSelectionAllowed="1" showAll="0" sortType="ascending">
      <items>
        <item sd="0" x="0"/>
        <item sd="0" x="1"/>
        <item sd="0" x="2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Sub-Catego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Amount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PSF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t="default"/>
      </items>
    </pivotField>
    <pivotField name="Status" axis="axisCol" compact="0" outline="0" multipleItemSelectionAllowed="1" showAll="0" sortType="ascending">
      <items>
        <item x="1"/>
        <item x="0"/>
        <item t="default"/>
      </items>
    </pivotField>
  </pivotFields>
  <rowFields>
    <field x="0"/>
  </rowFields>
  <colFields>
    <field x="5"/>
  </colFields>
  <dataFields>
    <dataField name="SUM of Amount" fld="3" baseField="0"/>
  </dataFields>
</pivotTableDefinition>
</file>

<file path=xl/tables/table1.xml><?xml version="1.0" encoding="utf-8"?>
<table xmlns="http://schemas.openxmlformats.org/spreadsheetml/2006/main" ref="A1:G1000" displayName="Table_1" name="Table_1" id="1">
  <tableColumns count="7">
    <tableColumn name="Contact" id="1"/>
    <tableColumn name="Company" id="2"/>
    <tableColumn name="Email" id="3"/>
    <tableColumn name="Open Tasks" id="4"/>
    <tableColumn name="In Progress Tasks" id="5"/>
    <tableColumn name="Completed Tasks" id="6"/>
    <tableColumn name="Total Tasks" id="7"/>
  </tableColumns>
  <tableStyleInfo name="Team-style" showColumnStripes="0" showFirstColumn="1" showLastColumn="1" showRowStripes="1"/>
</table>
</file>

<file path=xl/tables/table2.xml><?xml version="1.0" encoding="utf-8"?>
<table xmlns="http://schemas.openxmlformats.org/spreadsheetml/2006/main" ref="A1:H1000" displayName="Table_2" name="Table_2" id="2">
  <tableColumns count="8">
    <tableColumn name="Task #" id="1"/>
    <tableColumn name="Task Description" id="2"/>
    <tableColumn name="Owner" id="3"/>
    <tableColumn name="Start Date" id="4"/>
    <tableColumn name="Completed On" id="5"/>
    <tableColumn name="Duration" id="6"/>
    <tableColumn name="Status" id="7"/>
    <tableColumn name="Notes" id="8"/>
  </tableColumns>
  <tableStyleInfo name="TasksToDo-style" showColumnStripes="0" showFirstColumn="1" showLastColumn="1" showRowStripes="1"/>
</table>
</file>

<file path=xl/tables/table3.xml><?xml version="1.0" encoding="utf-8"?>
<table xmlns="http://schemas.openxmlformats.org/spreadsheetml/2006/main" ref="A1:H26" displayName="Table_3" name="Table_3" id="3">
  <tableColumns count="8">
    <tableColumn name="Date" id="1"/>
    <tableColumn name="Type" id="2"/>
    <tableColumn name="Category" id="3"/>
    <tableColumn name="Vendor" id="4"/>
    <tableColumn name="Memo" id="5"/>
    <tableColumn name="Debit" id="6"/>
    <tableColumn name="Credit" id="7"/>
    <tableColumn name="Balance" id="8"/>
  </tableColumns>
  <tableStyleInfo name="Expenses-style" showColumnStripes="0" showFirstColumn="1" showLastColumn="1" showRowStripes="1"/>
</table>
</file>

<file path=xl/tables/table4.xml><?xml version="1.0" encoding="utf-8"?>
<table xmlns="http://schemas.openxmlformats.org/spreadsheetml/2006/main" ref="A1:E5" displayName="Table_4" name="Table_4" id="4">
  <tableColumns count="5">
    <tableColumn name="Date" id="1"/>
    <tableColumn name="Vendor" id="2"/>
    <tableColumn name="Contract Total" id="3"/>
    <tableColumn name="Total Paid" id="4"/>
    <tableColumn name="Total Remaining" id="5"/>
  </tableColumns>
  <tableStyleInfo name="Contracts-style" showColumnStripes="0" showFirstColumn="1" showLastColumn="1" showRowStripes="1"/>
</table>
</file>

<file path=xl/tables/table5.xml><?xml version="1.0" encoding="utf-8"?>
<table xmlns="http://schemas.openxmlformats.org/spreadsheetml/2006/main" ref="A3:K9" displayName="Table_5" name="Table_5" id="5">
  <tableColumns count="11">
    <tableColumn name="Company" id="1"/>
    <tableColumn name="Subcontractor" id="2"/>
    <tableColumn name="Contract Signed" id="3"/>
    <tableColumn name="Subcontractor Rider" id="4"/>
    <tableColumn name="Additional Insured" id="5"/>
    <tableColumn name="Workers Comp" id="6"/>
    <tableColumn name="General Liability" id="7"/>
    <tableColumn name="Workers Comp Expiration" id="8"/>
    <tableColumn name="Workers Comp Expiration (d)" id="9"/>
    <tableColumn name="General Liability Expiration" id="10"/>
    <tableColumn name="General Liability Expiration(d)" id="11"/>
  </tableColumns>
  <tableStyleInfo name="Insurances &amp; Permi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6" dT="2024-07-02T18:24:22.00" personId="{964aff3d-65b6-46da-a3bf-95de580b12d6}" id="{debf66aa-4591-4865-9aa7-1b6f9646f3bc}" done="0">
    <x18tc:text xml:space="preserve">may potentially need access agreements, confirm with Frankie.</x18tc:text>
  </x18tc:threadedComment>
  <x18tc:threadedComment ref="C46" dT="2024-07-02T18:31:45.00" personId="{964aff3d-65b6-46da-a3bf-95de580b12d6}" id="{5b6419cd-b643-4751-8864-3b7623c4f345}" done="0">
    <x18tc:text xml:space="preserve">Order 5-8 months in advance</x18tc:text>
  </x18tc:threadedComment>
  <x18tc:threadedComment ref="C49" dT="2024-07-02T18:34:31.00" personId="{964aff3d-65b6-46da-a3bf-95de580b12d6}" id="{0bab30cb-6739-4fc1-be22-341521a43166}" done="1">
    <x18tc:text xml:space="preserve">add sheetrock separately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www.smartsheet.com/?trp=8539&amp;lx=evuPAIpWo3g7Gy4DYUPbsw&amp;lpa=top-pm-excel-project-tracker&amp;utm_source=integrated+content&amp;utm_campaign=top+project+management+excel+templates&amp;utm_medium=project+tracker+excel+template" TargetMode="External"/><Relationship Id="rId5" Type="http://schemas.openxmlformats.org/officeDocument/2006/relationships/drawing" Target="../drawings/drawing5.xml"/><Relationship Id="rId6" Type="http://schemas.openxmlformats.org/officeDocument/2006/relationships/vmlDrawing" Target="../drawings/vmlDrawing1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3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4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5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25.1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3</v>
      </c>
      <c r="B3" s="3">
        <v>10000.0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4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6524"/>
    <outlinePr summaryBelow="0" summaryRight="0"/>
  </sheetPr>
  <sheetViews>
    <sheetView workbookViewId="0"/>
  </sheetViews>
  <sheetFormatPr customHeight="1" defaultColWidth="12.63" defaultRowHeight="15.75"/>
  <cols>
    <col customWidth="1" min="1" max="1" width="40.13"/>
    <col customWidth="1" min="2" max="2" width="26.0"/>
    <col customWidth="1" min="3" max="3" width="24.38"/>
    <col customWidth="1" min="5" max="5" width="15.25"/>
    <col customWidth="1" min="6" max="6" width="14.63"/>
  </cols>
  <sheetData>
    <row r="1">
      <c r="A1" s="7" t="s">
        <v>14</v>
      </c>
      <c r="B1" s="7" t="s">
        <v>15</v>
      </c>
      <c r="C1" s="7" t="s">
        <v>16</v>
      </c>
      <c r="D1" s="7" t="s">
        <v>17</v>
      </c>
      <c r="E1" s="7" t="s">
        <v>18</v>
      </c>
      <c r="F1" s="7" t="s">
        <v>19</v>
      </c>
      <c r="G1" s="7" t="s">
        <v>20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8" t="s">
        <v>21</v>
      </c>
      <c r="B2" s="9" t="str">
        <f>if(len(A2)&gt;0, VLOOKUP(A2,Lookup!$A$2:$F1000,3,FALSE),"")</f>
        <v>Middleton Environmental</v>
      </c>
      <c r="C2" s="9" t="str">
        <f>if(len(A2)&gt;0, VLOOKUP(A2,Lookup!$A$2:$F1000,6,FALSE),"")</f>
        <v>info@midenv.com</v>
      </c>
      <c r="D2" s="9">
        <f>countifs(TasksToDo!$C$2:$C1000,$A2,TasksToDo!$G$2:$G1000,"Pending")</f>
        <v>0</v>
      </c>
      <c r="E2" s="9">
        <f>countifs(TasksToDo!$C$2:$C1000,$A2,TasksToDo!$G$2:$G1000,"In Progress")</f>
        <v>0</v>
      </c>
      <c r="F2" s="9">
        <f>countifs(TasksToDo!$C$2:$C1000,$A2,TasksToDo!$G$2:$G1000,"Completed")</f>
        <v>0</v>
      </c>
      <c r="G2" s="9">
        <f t="shared" ref="G2:G13" si="1">SUM(D2:F2)</f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8" t="s">
        <v>22</v>
      </c>
      <c r="B3" s="9" t="str">
        <f>if(len(A3)&gt;0, VLOOKUP(A3,Lookup!$A$2:$F1000,3,FALSE),"")</f>
        <v>International Office of Architects</v>
      </c>
      <c r="C3" s="9" t="str">
        <f>if(len(A3)&gt;0, VLOOKUP(A3,Lookup!$A$2:$F1000,6,FALSE),"")</f>
        <v>murat@in-oa.com</v>
      </c>
      <c r="D3" s="9">
        <f>countifs(TasksToDo!$C$2:$C1000,$A3,TasksToDo!$G$2:$G1000,"Pending")</f>
        <v>0</v>
      </c>
      <c r="E3" s="9">
        <f>countifs(TasksToDo!$C$2:$C1000,$A3,TasksToDo!$G$2:$G1000,"In Progress")</f>
        <v>0</v>
      </c>
      <c r="F3" s="9">
        <f>countifs(TasksToDo!$C$2:$C1000,$A3,TasksToDo!$G$2:$G1000,"Completed")</f>
        <v>0</v>
      </c>
      <c r="G3" s="9">
        <f t="shared" si="1"/>
        <v>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8" t="s">
        <v>23</v>
      </c>
      <c r="B4" s="9" t="str">
        <f>if(len(A4)&gt;0, VLOOKUP(A4,Lookup!$A$2:$F1000,3,FALSE),"")</f>
        <v>Stroh Engineering Services </v>
      </c>
      <c r="C4" s="9" t="str">
        <f>if(len(A4)&gt;0, VLOOKUP(A4,Lookup!$A$2:$F1000,6,FALSE),"")</f>
        <v>jeff@strohengineering.com</v>
      </c>
      <c r="D4" s="9">
        <f>countifs(TasksToDo!$C$2:$C1000,$A4,TasksToDo!$G$2:$G1000,"Pending")</f>
        <v>0</v>
      </c>
      <c r="E4" s="9">
        <f>countifs(TasksToDo!$C$2:$C1000,$A4,TasksToDo!$G$2:$G1000,"In Progress")</f>
        <v>0</v>
      </c>
      <c r="F4" s="9">
        <f>countifs(TasksToDo!$C$2:$C1000,$A4,TasksToDo!$G$2:$G1000,"Completed")</f>
        <v>0</v>
      </c>
      <c r="G4" s="9">
        <f t="shared" si="1"/>
        <v>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8" t="s">
        <v>24</v>
      </c>
      <c r="B5" s="9" t="str">
        <f>if(len(A5)&gt;0, VLOOKUP(A5,Lookup!$A$2:$F1000,3,FALSE),"")</f>
        <v>Boyd Consulting</v>
      </c>
      <c r="C5" s="9" t="str">
        <f>if(len(A5)&gt;0, VLOOKUP(A5,Lookup!$A$2:$F1000,6,FALSE),"")</f>
        <v>andrea@boydconsult.com</v>
      </c>
      <c r="D5" s="9">
        <f>countifs(TasksToDo!$C$2:$C1000,$A5,TasksToDo!$G$2:$G1000,"Pending")</f>
        <v>0</v>
      </c>
      <c r="E5" s="9">
        <f>countifs(TasksToDo!$C$2:$C1000,$A5,TasksToDo!$G$2:$G1000,"In Progress")</f>
        <v>0</v>
      </c>
      <c r="F5" s="9">
        <f>countifs(TasksToDo!$C$2:$C1000,$A5,TasksToDo!$G$2:$G1000,"Completed")</f>
        <v>0</v>
      </c>
      <c r="G5" s="9">
        <f t="shared" si="1"/>
        <v>0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8" t="s">
        <v>25</v>
      </c>
      <c r="B6" s="9" t="str">
        <f>if(len(A6)&gt;0, VLOOKUP(A6,Lookup!$A$2:$F1000,3,FALSE),"")</f>
        <v>5 Borough Mapping NY</v>
      </c>
      <c r="C6" s="9" t="str">
        <f>if(len(A6)&gt;0, VLOOKUP(A6,Lookup!$A$2:$F1000,6,FALSE),"")</f>
        <v>5boromapping@gmail.com</v>
      </c>
      <c r="D6" s="9">
        <f>countifs(TasksToDo!$C$2:$C1000,$A6,TasksToDo!$G$2:$G1000,"Pending")</f>
        <v>0</v>
      </c>
      <c r="E6" s="9">
        <f>countifs(TasksToDo!$C$2:$C1000,$A6,TasksToDo!$G$2:$G1000,"In Progress")</f>
        <v>0</v>
      </c>
      <c r="F6" s="9">
        <f>countifs(TasksToDo!$C$2:$C1000,$A6,TasksToDo!$G$2:$G1000,"Completed")</f>
        <v>0</v>
      </c>
      <c r="G6" s="9">
        <f t="shared" si="1"/>
        <v>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8" t="s">
        <v>26</v>
      </c>
      <c r="B7" s="9" t="str">
        <f>if(len(A7)&gt;0, VLOOKUP(A7,Lookup!$A$2:$F1000,3,FALSE),"")</f>
        <v>Preferred Bank</v>
      </c>
      <c r="C7" s="9" t="str">
        <f>if(len(A7)&gt;0, VLOOKUP(A7,Lookup!$A$2:$F1000,6,FALSE),"")</f>
        <v>Sylvia.Tseng@PreferredBank.com</v>
      </c>
      <c r="D7" s="9">
        <f>countifs(TasksToDo!$C$2:$C1000,$A7,TasksToDo!$G$2:$G1000,"Pending")</f>
        <v>0</v>
      </c>
      <c r="E7" s="9">
        <f>countifs(TasksToDo!$C$2:$C1000,$A7,TasksToDo!$G$2:$G1000,"In Progress")</f>
        <v>0</v>
      </c>
      <c r="F7" s="9">
        <f>countifs(TasksToDo!$C$2:$C1000,$A7,TasksToDo!$G$2:$G1000,"Completed")</f>
        <v>0</v>
      </c>
      <c r="G7" s="9">
        <f t="shared" si="1"/>
        <v>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8" t="s">
        <v>27</v>
      </c>
      <c r="B8" s="9" t="str">
        <f>if(len(A8)&gt;0, VLOOKUP(A8,Lookup!$A$2:$F1000,3,FALSE),"")</f>
        <v>DGM CPA</v>
      </c>
      <c r="C8" s="9" t="str">
        <f>if(len(A8)&gt;0, VLOOKUP(A8,Lookup!$A$2:$F1000,6,FALSE),"")</f>
        <v>george@dgmcpany.com</v>
      </c>
      <c r="D8" s="9">
        <f>countifs(TasksToDo!$C$2:$C1000,$A8,TasksToDo!$G$2:$G1000,"Pending")</f>
        <v>0</v>
      </c>
      <c r="E8" s="9">
        <f>countifs(TasksToDo!$C$2:$C1000,$A8,TasksToDo!$G$2:$G1000,"In Progress")</f>
        <v>0</v>
      </c>
      <c r="F8" s="9">
        <f>countifs(TasksToDo!$C$2:$C1000,$A8,TasksToDo!$G$2:$G1000,"Completed")</f>
        <v>0</v>
      </c>
      <c r="G8" s="9">
        <f t="shared" si="1"/>
        <v>0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8" t="s">
        <v>28</v>
      </c>
      <c r="B9" s="9" t="str">
        <f>if(len(A9)&gt;0, VLOOKUP(A9,Lookup!$A$2:$F1000,3,FALSE),"")</f>
        <v>Marcus Attorneys PLLC</v>
      </c>
      <c r="C9" s="9" t="str">
        <f>if(len(A9)&gt;0, VLOOKUP(A9,Lookup!$A$2:$F1000,6,FALSE),"")</f>
        <v>santiago@marcusattorneys.com</v>
      </c>
      <c r="D9" s="9">
        <f>countifs(TasksToDo!$C$2:$C1000,$A9,TasksToDo!$G$2:$G1000,"Pending")</f>
        <v>0</v>
      </c>
      <c r="E9" s="9">
        <f>countifs(TasksToDo!$C$2:$C1000,$A9,TasksToDo!$G$2:$G1000,"In Progress")</f>
        <v>0</v>
      </c>
      <c r="F9" s="9">
        <f>countifs(TasksToDo!$C$2:$C1000,$A9,TasksToDo!$G$2:$G1000,"Completed")</f>
        <v>0</v>
      </c>
      <c r="G9" s="9">
        <f t="shared" si="1"/>
        <v>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8" t="s">
        <v>29</v>
      </c>
      <c r="B10" s="9" t="str">
        <f>if(len(A10)&gt;0, VLOOKUP(A10,Lookup!$A$2:$F1000,3,FALSE),"")</f>
        <v>MCAI Construction Services</v>
      </c>
      <c r="C10" s="9" t="str">
        <f>if(len(A10)&gt;0, VLOOKUP(A10,Lookup!$A$2:$F1000,6,FALSE),"")</f>
        <v>mcai079@aol.com</v>
      </c>
      <c r="D10" s="9">
        <f>countifs(TasksToDo!$C$2:$C1000,$A10,TasksToDo!$G$2:$G1000,"Pending")</f>
        <v>0</v>
      </c>
      <c r="E10" s="9">
        <f>countifs(TasksToDo!$C$2:$C1000,$A10,TasksToDo!$G$2:$G1000,"In Progress")</f>
        <v>0</v>
      </c>
      <c r="F10" s="9">
        <f>countifs(TasksToDo!$C$2:$C1000,$A10,TasksToDo!$G$2:$G1000,"Completed")</f>
        <v>0</v>
      </c>
      <c r="G10" s="9">
        <f t="shared" si="1"/>
        <v>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" t="s">
        <v>30</v>
      </c>
      <c r="B11" s="9" t="str">
        <f>if(len(A11)&gt;0, VLOOKUP(A11,Lookup!$A$2:$F1000,3,FALSE),"")</f>
        <v>Exterior Design Renterings</v>
      </c>
      <c r="C11" s="9" t="str">
        <f>if(len(A11)&gt;0, VLOOKUP(A11,Lookup!$A$2:$F1000,6,FALSE),"")</f>
        <v/>
      </c>
      <c r="D11" s="9">
        <f>countifs(TasksToDo!$C$2:$C1000,$A11,TasksToDo!$G$2:$G1000,"Pending")</f>
        <v>0</v>
      </c>
      <c r="E11" s="9">
        <f>countifs(TasksToDo!$C$2:$C1000,$A11,TasksToDo!$G$2:$G1000,"In Progress")</f>
        <v>0</v>
      </c>
      <c r="F11" s="9">
        <f>countifs(TasksToDo!$C$2:$C1000,$A11,TasksToDo!$G$2:$G1000,"Completed")</f>
        <v>0</v>
      </c>
      <c r="G11" s="9">
        <f t="shared" si="1"/>
        <v>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8" t="s">
        <v>31</v>
      </c>
      <c r="B12" s="9" t="str">
        <f>if(len(A12)&gt;0, VLOOKUP(A12,Lookup!$A$2:$F1000,3,FALSE),"")</f>
        <v>Yaker Engineering</v>
      </c>
      <c r="C12" s="9" t="str">
        <f>if(len(A12)&gt;0, VLOOKUP(A12,Lookup!$A$2:$F1000,6,FALSE),"")</f>
        <v>ayaker@yakereng.com</v>
      </c>
      <c r="D12" s="9">
        <f>countifs(TasksToDo!$C$2:$C1000,$A12,TasksToDo!$G$2:$G1000,"Pending")</f>
        <v>0</v>
      </c>
      <c r="E12" s="9">
        <f>countifs(TasksToDo!$C$2:$C1000,$A12,TasksToDo!$G$2:$G1000,"In Progress")</f>
        <v>0</v>
      </c>
      <c r="F12" s="9">
        <f>countifs(TasksToDo!$C$2:$C1000,$A12,TasksToDo!$G$2:$G1000,"Completed")</f>
        <v>0</v>
      </c>
      <c r="G12" s="9">
        <f t="shared" si="1"/>
        <v>0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" t="s">
        <v>32</v>
      </c>
      <c r="B13" s="9" t="str">
        <f>if(len(A13)&gt;0, VLOOKUP(A13,Lookup!$A$2:$F1000,3,FALSE),"")</f>
        <v>WJY MEP Consulting Services, Inc</v>
      </c>
      <c r="C13" s="9" t="str">
        <f>if(len(A13)&gt;0, VLOOKUP(A13,Lookup!$A$2:$F1000,6,FALSE),"")</f>
        <v>weiwilliamworld@yahoo.com</v>
      </c>
      <c r="D13" s="9">
        <f>countifs(TasksToDo!$C$2:$C1000,$A13,TasksToDo!$G$2:$G1000,"Pending")</f>
        <v>0</v>
      </c>
      <c r="E13" s="9">
        <f>countifs(TasksToDo!$C$2:$C1000,$A13,TasksToDo!$G$2:$G1000,"In Progress")</f>
        <v>0</v>
      </c>
      <c r="F13" s="9">
        <f>countifs(TasksToDo!$C$2:$C1000,$A13,TasksToDo!$G$2:$G1000,"Completed")</f>
        <v>0</v>
      </c>
      <c r="G13" s="9">
        <f t="shared" si="1"/>
        <v>0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9"/>
      <c r="B14" s="9" t="str">
        <f>if(len(A14)&gt;0, VLOOKUP(A14,Lookup!$A$2:$F1000,3,FALSE),"")</f>
        <v/>
      </c>
      <c r="C14" s="9" t="str">
        <f>if(len(A14)&gt;0, VLOOKUP(A14,Lookup!$A$2:$F1000,6,FALSE),"")</f>
        <v/>
      </c>
      <c r="D14" s="9"/>
      <c r="E14" s="9"/>
      <c r="F14" s="9"/>
      <c r="G14" s="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9"/>
      <c r="B15" s="9"/>
      <c r="C15" s="9" t="str">
        <f>if(len(A15)&gt;0, VLOOKUP(A15,Lookup!$A$2:$F1000,6,FALSE),"")</f>
        <v/>
      </c>
      <c r="D15" s="9"/>
      <c r="E15" s="9"/>
      <c r="F15" s="9"/>
      <c r="G15" s="9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9"/>
      <c r="B16" s="9"/>
      <c r="C16" s="9" t="str">
        <f>if(len(A16)&gt;0, VLOOKUP(A16,Lookup!$A$2:$F1000,6,FALSE),"")</f>
        <v/>
      </c>
      <c r="D16" s="9"/>
      <c r="E16" s="9"/>
      <c r="F16" s="9"/>
      <c r="G16" s="9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9"/>
      <c r="B17" s="9"/>
      <c r="C17" s="9" t="str">
        <f>if(len(A17)&gt;0, VLOOKUP(A17,Lookup!$A$2:$F1000,6,FALSE),"")</f>
        <v/>
      </c>
      <c r="D17" s="9"/>
      <c r="E17" s="9"/>
      <c r="F17" s="9"/>
      <c r="G17" s="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9"/>
      <c r="B18" s="9"/>
      <c r="C18" s="9" t="str">
        <f>if(len(A18)&gt;0, VLOOKUP(A18,Lookup!$A$2:$F1000,6,FALSE),"")</f>
        <v/>
      </c>
      <c r="D18" s="9"/>
      <c r="E18" s="9"/>
      <c r="F18" s="9"/>
      <c r="G18" s="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9"/>
      <c r="B19" s="9"/>
      <c r="C19" s="9" t="str">
        <f>if(len(A19)&gt;0, VLOOKUP(A19,Lookup!$A$2:$F1000,6,FALSE),"")</f>
        <v/>
      </c>
      <c r="D19" s="9"/>
      <c r="E19" s="9"/>
      <c r="F19" s="9"/>
      <c r="G19" s="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9"/>
      <c r="B20" s="9"/>
      <c r="C20" s="9" t="str">
        <f>if(len(A20)&gt;0, VLOOKUP(A20,Lookup!$A$2:$F1000,6,FALSE),"")</f>
        <v/>
      </c>
      <c r="D20" s="9"/>
      <c r="E20" s="9"/>
      <c r="F20" s="9"/>
      <c r="G20" s="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9"/>
      <c r="B21" s="9"/>
      <c r="C21" s="9" t="str">
        <f>if(len(A21)&gt;0, VLOOKUP(A21,Lookup!$A$2:$F1000,6,FALSE),"")</f>
        <v/>
      </c>
      <c r="D21" s="9"/>
      <c r="E21" s="9"/>
      <c r="F21" s="9"/>
      <c r="G21" s="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9"/>
      <c r="B22" s="9"/>
      <c r="C22" s="9" t="str">
        <f>if(len(A22)&gt;0, VLOOKUP(A22,Lookup!$A$2:$F1000,6,FALSE),"")</f>
        <v/>
      </c>
      <c r="D22" s="9"/>
      <c r="E22" s="9"/>
      <c r="F22" s="9"/>
      <c r="G22" s="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9"/>
      <c r="B23" s="9"/>
      <c r="C23" s="9" t="str">
        <f>if(len(A23)&gt;0, VLOOKUP(A23,Lookup!$A$2:$F1000,6,FALSE),"")</f>
        <v/>
      </c>
      <c r="D23" s="9"/>
      <c r="E23" s="9"/>
      <c r="F23" s="9"/>
      <c r="G23" s="9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9"/>
      <c r="B24" s="9"/>
      <c r="C24" s="9" t="str">
        <f>if(len(A24)&gt;0, VLOOKUP(A24,Lookup!$A$2:$F1000,6,FALSE),"")</f>
        <v/>
      </c>
      <c r="D24" s="9"/>
      <c r="E24" s="9"/>
      <c r="F24" s="9"/>
      <c r="G24" s="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9"/>
      <c r="B25" s="9"/>
      <c r="C25" s="9" t="str">
        <f>if(len(A25)&gt;0, VLOOKUP(A25,Lookup!$A$2:$F1000,6,FALSE),"")</f>
        <v/>
      </c>
      <c r="D25" s="9"/>
      <c r="E25" s="9"/>
      <c r="F25" s="9"/>
      <c r="G25" s="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9"/>
      <c r="B26" s="9"/>
      <c r="C26" s="9" t="str">
        <f>if(len(A26)&gt;0, VLOOKUP(A26,Lookup!$A$2:$F1000,6,FALSE),"")</f>
        <v/>
      </c>
      <c r="D26" s="9"/>
      <c r="E26" s="9"/>
      <c r="F26" s="9"/>
      <c r="G26" s="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9"/>
      <c r="B27" s="9"/>
      <c r="C27" s="9" t="str">
        <f>if(len(A27)&gt;0, VLOOKUP(A27,Lookup!$A$2:$F1000,6,FALSE),"")</f>
        <v/>
      </c>
      <c r="D27" s="9"/>
      <c r="E27" s="9"/>
      <c r="F27" s="9"/>
      <c r="G27" s="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9"/>
      <c r="B28" s="9"/>
      <c r="C28" s="9" t="str">
        <f>if(len(A28)&gt;0, VLOOKUP(A28,Lookup!$A$2:$F1000,6,FALSE),"")</f>
        <v/>
      </c>
      <c r="D28" s="9"/>
      <c r="E28" s="9"/>
      <c r="F28" s="9"/>
      <c r="G28" s="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9"/>
      <c r="B29" s="9"/>
      <c r="C29" s="9" t="str">
        <f>if(len(A29)&gt;0, VLOOKUP(A29,Lookup!$A$2:$F1000,6,FALSE),"")</f>
        <v/>
      </c>
      <c r="D29" s="9"/>
      <c r="E29" s="9"/>
      <c r="F29" s="9"/>
      <c r="G29" s="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9"/>
      <c r="B30" s="9"/>
      <c r="C30" s="9" t="str">
        <f>if(len(A30)&gt;0, VLOOKUP(A30,Lookup!$A$2:$F1000,6,FALSE),"")</f>
        <v/>
      </c>
      <c r="D30" s="9"/>
      <c r="E30" s="9"/>
      <c r="F30" s="9"/>
      <c r="G30" s="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9"/>
      <c r="B31" s="9"/>
      <c r="C31" s="9" t="str">
        <f>if(len(A31)&gt;0, VLOOKUP(A31,Lookup!$A$2:$F1000,6,FALSE),"")</f>
        <v/>
      </c>
      <c r="D31" s="9"/>
      <c r="E31" s="9"/>
      <c r="F31" s="9"/>
      <c r="G31" s="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9"/>
      <c r="B32" s="9"/>
      <c r="C32" s="9" t="str">
        <f>if(len(A32)&gt;0, VLOOKUP(A32,Lookup!$A$2:$F1000,6,FALSE),"")</f>
        <v/>
      </c>
      <c r="D32" s="9"/>
      <c r="E32" s="9"/>
      <c r="F32" s="9"/>
      <c r="G32" s="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9"/>
      <c r="B33" s="9"/>
      <c r="C33" s="9" t="str">
        <f>if(len(A33)&gt;0, VLOOKUP(A33,Lookup!$A$2:$F1000,6,FALSE),"")</f>
        <v/>
      </c>
      <c r="D33" s="9"/>
      <c r="E33" s="9"/>
      <c r="F33" s="9"/>
      <c r="G33" s="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9"/>
      <c r="B34" s="9"/>
      <c r="C34" s="9" t="str">
        <f>if(len(A34)&gt;0, VLOOKUP(A34,Lookup!$A$2:$F1000,6,FALSE),"")</f>
        <v/>
      </c>
      <c r="D34" s="9"/>
      <c r="E34" s="9"/>
      <c r="F34" s="9"/>
      <c r="G34" s="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9"/>
      <c r="B35" s="9"/>
      <c r="C35" s="9" t="str">
        <f>if(len(A35)&gt;0, VLOOKUP(A35,Lookup!$A$2:$F1000,6,FALSE),"")</f>
        <v/>
      </c>
      <c r="D35" s="9"/>
      <c r="E35" s="9"/>
      <c r="F35" s="9"/>
      <c r="G35" s="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9"/>
      <c r="B36" s="9"/>
      <c r="C36" s="9" t="str">
        <f>if(len(A36)&gt;0, VLOOKUP(A36,Lookup!$A$2:$F1000,6,FALSE),"")</f>
        <v/>
      </c>
      <c r="D36" s="9"/>
      <c r="E36" s="9"/>
      <c r="F36" s="9"/>
      <c r="G36" s="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9"/>
      <c r="B37" s="9"/>
      <c r="C37" s="9" t="str">
        <f>if(len(A37)&gt;0, VLOOKUP(A37,Lookup!$A$2:$F1000,6,FALSE),"")</f>
        <v/>
      </c>
      <c r="D37" s="9"/>
      <c r="E37" s="9"/>
      <c r="F37" s="9"/>
      <c r="G37" s="9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9"/>
      <c r="B38" s="9"/>
      <c r="C38" s="9" t="str">
        <f>if(len(A38)&gt;0, VLOOKUP(A38,Lookup!$A$2:$F1000,6,FALSE),"")</f>
        <v/>
      </c>
      <c r="D38" s="9"/>
      <c r="E38" s="9"/>
      <c r="F38" s="9"/>
      <c r="G38" s="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9"/>
      <c r="B39" s="9"/>
      <c r="C39" s="9" t="str">
        <f>if(len(A39)&gt;0, VLOOKUP(A39,Lookup!$A$2:$F1000,6,FALSE),"")</f>
        <v/>
      </c>
      <c r="D39" s="9"/>
      <c r="E39" s="9"/>
      <c r="F39" s="9"/>
      <c r="G39" s="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9"/>
      <c r="B40" s="9"/>
      <c r="C40" s="9" t="str">
        <f>if(len(A40)&gt;0, VLOOKUP(A40,Lookup!$A$2:$F1000,6,FALSE),"")</f>
        <v/>
      </c>
      <c r="D40" s="9"/>
      <c r="E40" s="9"/>
      <c r="F40" s="9"/>
      <c r="G40" s="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9"/>
      <c r="B41" s="9"/>
      <c r="C41" s="9" t="str">
        <f>if(len(A41)&gt;0, VLOOKUP(A41,Lookup!$A$2:$F1000,6,FALSE),"")</f>
        <v/>
      </c>
      <c r="D41" s="9"/>
      <c r="E41" s="9"/>
      <c r="F41" s="9"/>
      <c r="G41" s="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9"/>
      <c r="B42" s="9"/>
      <c r="C42" s="9" t="str">
        <f>if(len(A42)&gt;0, VLOOKUP(A42,Lookup!$A$2:$F1000,6,FALSE),"")</f>
        <v/>
      </c>
      <c r="D42" s="9"/>
      <c r="E42" s="9"/>
      <c r="F42" s="9"/>
      <c r="G42" s="9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9"/>
      <c r="B43" s="9"/>
      <c r="C43" s="9" t="str">
        <f>if(len(A43)&gt;0, VLOOKUP(A43,Lookup!$A$2:$F1000,6,FALSE),"")</f>
        <v/>
      </c>
      <c r="D43" s="9"/>
      <c r="E43" s="9"/>
      <c r="F43" s="9"/>
      <c r="G43" s="9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9"/>
      <c r="B44" s="9"/>
      <c r="C44" s="9" t="str">
        <f>if(len(A44)&gt;0, VLOOKUP(A44,Lookup!$A$2:$F1000,6,FALSE),"")</f>
        <v/>
      </c>
      <c r="D44" s="9"/>
      <c r="E44" s="9"/>
      <c r="F44" s="9"/>
      <c r="G44" s="9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9"/>
      <c r="B45" s="9"/>
      <c r="C45" s="9" t="str">
        <f>if(len(A45)&gt;0, VLOOKUP(A45,Lookup!$A$2:$F1000,6,FALSE),"")</f>
        <v/>
      </c>
      <c r="D45" s="9"/>
      <c r="E45" s="9"/>
      <c r="F45" s="9"/>
      <c r="G45" s="9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9"/>
      <c r="B46" s="9"/>
      <c r="C46" s="9" t="str">
        <f>if(len(A46)&gt;0, VLOOKUP(A46,Lookup!$A$2:$F1000,6,FALSE),"")</f>
        <v/>
      </c>
      <c r="D46" s="9"/>
      <c r="E46" s="9"/>
      <c r="F46" s="9"/>
      <c r="G46" s="9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9"/>
      <c r="B47" s="9"/>
      <c r="C47" s="9" t="str">
        <f>if(len(A47)&gt;0, VLOOKUP(A47,Lookup!$A$2:$F1000,6,FALSE),"")</f>
        <v/>
      </c>
      <c r="D47" s="9"/>
      <c r="E47" s="9"/>
      <c r="F47" s="9"/>
      <c r="G47" s="9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9"/>
      <c r="B48" s="9"/>
      <c r="C48" s="9" t="str">
        <f>if(len(A48)&gt;0, VLOOKUP(A48,Lookup!$A$2:$F1000,6,FALSE),"")</f>
        <v/>
      </c>
      <c r="D48" s="9"/>
      <c r="E48" s="9"/>
      <c r="F48" s="9"/>
      <c r="G48" s="9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9"/>
      <c r="B49" s="9"/>
      <c r="C49" s="9" t="str">
        <f>if(len(A49)&gt;0, VLOOKUP(A49,Lookup!$A$2:$F1000,6,FALSE),"")</f>
        <v/>
      </c>
      <c r="D49" s="9"/>
      <c r="E49" s="9"/>
      <c r="F49" s="9"/>
      <c r="G49" s="9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9"/>
      <c r="B50" s="9"/>
      <c r="C50" s="9" t="str">
        <f>if(len(A50)&gt;0, VLOOKUP(A50,Lookup!$A$2:$F1000,6,FALSE),"")</f>
        <v/>
      </c>
      <c r="D50" s="9"/>
      <c r="E50" s="9"/>
      <c r="F50" s="9"/>
      <c r="G50" s="9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9"/>
      <c r="B51" s="9"/>
      <c r="C51" s="9" t="str">
        <f>if(len(A51)&gt;0, VLOOKUP(A51,Lookup!$A$2:$F1000,6,FALSE),"")</f>
        <v/>
      </c>
      <c r="D51" s="9"/>
      <c r="E51" s="9"/>
      <c r="F51" s="9"/>
      <c r="G51" s="9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9"/>
      <c r="B52" s="9"/>
      <c r="C52" s="9" t="str">
        <f>if(len(A52)&gt;0, VLOOKUP(A52,Lookup!$A$2:$F1000,6,FALSE),"")</f>
        <v/>
      </c>
      <c r="D52" s="9"/>
      <c r="E52" s="9"/>
      <c r="F52" s="9"/>
      <c r="G52" s="9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9"/>
      <c r="B53" s="9"/>
      <c r="C53" s="9" t="str">
        <f>if(len(A53)&gt;0, VLOOKUP(A53,Lookup!$A$2:$F1000,6,FALSE),"")</f>
        <v/>
      </c>
      <c r="D53" s="9"/>
      <c r="E53" s="9"/>
      <c r="F53" s="9"/>
      <c r="G53" s="9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9"/>
      <c r="B54" s="9"/>
      <c r="C54" s="9" t="str">
        <f>if(len(A54)&gt;0, VLOOKUP(A54,Lookup!$A$2:$F1000,6,FALSE),"")</f>
        <v/>
      </c>
      <c r="D54" s="9"/>
      <c r="E54" s="9"/>
      <c r="F54" s="9"/>
      <c r="G54" s="9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9"/>
      <c r="B55" s="9"/>
      <c r="C55" s="9" t="str">
        <f>if(len(A55)&gt;0, VLOOKUP(A55,Lookup!$A$2:$F1000,6,FALSE),"")</f>
        <v/>
      </c>
      <c r="D55" s="9"/>
      <c r="E55" s="9"/>
      <c r="F55" s="9"/>
      <c r="G55" s="9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9"/>
      <c r="B56" s="9"/>
      <c r="C56" s="9" t="str">
        <f>if(len(A56)&gt;0, VLOOKUP(A56,Lookup!$A$2:$F1000,6,FALSE),"")</f>
        <v/>
      </c>
      <c r="D56" s="9"/>
      <c r="E56" s="9"/>
      <c r="F56" s="9"/>
      <c r="G56" s="9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9"/>
      <c r="B57" s="9"/>
      <c r="C57" s="9" t="str">
        <f>if(len(A57)&gt;0, VLOOKUP(A57,Lookup!$A$2:$F1000,6,FALSE),"")</f>
        <v/>
      </c>
      <c r="D57" s="9"/>
      <c r="E57" s="9"/>
      <c r="F57" s="9"/>
      <c r="G57" s="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9"/>
      <c r="B58" s="9"/>
      <c r="C58" s="9" t="str">
        <f>if(len(A58)&gt;0, VLOOKUP(A58,Lookup!$A$2:$F1000,6,FALSE),"")</f>
        <v/>
      </c>
      <c r="D58" s="9"/>
      <c r="E58" s="9"/>
      <c r="F58" s="9"/>
      <c r="G58" s="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9"/>
      <c r="B59" s="9"/>
      <c r="C59" s="9" t="str">
        <f>if(len(A59)&gt;0, VLOOKUP(A59,Lookup!$A$2:$F1000,6,FALSE),"")</f>
        <v/>
      </c>
      <c r="D59" s="9"/>
      <c r="E59" s="9"/>
      <c r="F59" s="9"/>
      <c r="G59" s="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9"/>
      <c r="B60" s="9"/>
      <c r="C60" s="9" t="str">
        <f>if(len(A60)&gt;0, VLOOKUP(A60,Lookup!$A$2:$F1000,6,FALSE),"")</f>
        <v/>
      </c>
      <c r="D60" s="9"/>
      <c r="E60" s="9"/>
      <c r="F60" s="9"/>
      <c r="G60" s="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9"/>
      <c r="B61" s="9"/>
      <c r="C61" s="9" t="str">
        <f>if(len(A61)&gt;0, VLOOKUP(A61,Lookup!$A$2:$F1000,6,FALSE),"")</f>
        <v/>
      </c>
      <c r="D61" s="9"/>
      <c r="E61" s="9"/>
      <c r="F61" s="9"/>
      <c r="G61" s="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9"/>
      <c r="B62" s="9"/>
      <c r="C62" s="9" t="str">
        <f>if(len(A62)&gt;0, VLOOKUP(A62,Lookup!$A$2:$F1000,6,FALSE),"")</f>
        <v/>
      </c>
      <c r="D62" s="9"/>
      <c r="E62" s="9"/>
      <c r="F62" s="9"/>
      <c r="G62" s="9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9"/>
      <c r="B63" s="9"/>
      <c r="C63" s="9" t="str">
        <f>if(len(A63)&gt;0, VLOOKUP(A63,Lookup!$A$2:$F1000,6,FALSE),"")</f>
        <v/>
      </c>
      <c r="D63" s="9"/>
      <c r="E63" s="9"/>
      <c r="F63" s="9"/>
      <c r="G63" s="9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9"/>
      <c r="B64" s="9"/>
      <c r="C64" s="9" t="str">
        <f>if(len(A64)&gt;0, VLOOKUP(A64,Lookup!$A$2:$F1000,6,FALSE),"")</f>
        <v/>
      </c>
      <c r="D64" s="9"/>
      <c r="E64" s="9"/>
      <c r="F64" s="9"/>
      <c r="G64" s="9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9"/>
      <c r="B65" s="9"/>
      <c r="C65" s="9" t="str">
        <f>if(len(A65)&gt;0, VLOOKUP(A65,Lookup!$A$2:$F1000,6,FALSE),"")</f>
        <v/>
      </c>
      <c r="D65" s="9"/>
      <c r="E65" s="9"/>
      <c r="F65" s="9"/>
      <c r="G65" s="9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9"/>
      <c r="B66" s="9"/>
      <c r="C66" s="9" t="str">
        <f>if(len(A66)&gt;0, VLOOKUP(A66,Lookup!$A$2:$F1000,6,FALSE),"")</f>
        <v/>
      </c>
      <c r="D66" s="9"/>
      <c r="E66" s="9"/>
      <c r="F66" s="9"/>
      <c r="G66" s="9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9"/>
      <c r="B67" s="9"/>
      <c r="C67" s="9" t="str">
        <f>if(len(A67)&gt;0, VLOOKUP(A67,Lookup!$A$2:$F1000,6,FALSE),"")</f>
        <v/>
      </c>
      <c r="D67" s="9"/>
      <c r="E67" s="9"/>
      <c r="F67" s="9"/>
      <c r="G67" s="9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9"/>
      <c r="B68" s="9"/>
      <c r="C68" s="9" t="str">
        <f>if(len(A68)&gt;0, VLOOKUP(A68,Lookup!$A$2:$F1000,6,FALSE),"")</f>
        <v/>
      </c>
      <c r="D68" s="9"/>
      <c r="E68" s="9"/>
      <c r="F68" s="9"/>
      <c r="G68" s="9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9"/>
      <c r="B69" s="9"/>
      <c r="C69" s="9" t="str">
        <f>if(len(A69)&gt;0, VLOOKUP(A69,Lookup!$A$2:$F1000,6,FALSE),"")</f>
        <v/>
      </c>
      <c r="D69" s="9"/>
      <c r="E69" s="9"/>
      <c r="F69" s="9"/>
      <c r="G69" s="9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9"/>
      <c r="B70" s="9"/>
      <c r="C70" s="9" t="str">
        <f>if(len(A70)&gt;0, VLOOKUP(A70,Lookup!$A$2:$F1000,6,FALSE),"")</f>
        <v/>
      </c>
      <c r="D70" s="9"/>
      <c r="E70" s="9"/>
      <c r="F70" s="9"/>
      <c r="G70" s="9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9"/>
      <c r="B71" s="9"/>
      <c r="C71" s="9" t="str">
        <f>if(len(A71)&gt;0, VLOOKUP(A71,Lookup!$A$2:$F1000,6,FALSE),"")</f>
        <v/>
      </c>
      <c r="D71" s="9"/>
      <c r="E71" s="9"/>
      <c r="F71" s="9"/>
      <c r="G71" s="9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9"/>
      <c r="B72" s="9"/>
      <c r="C72" s="9" t="str">
        <f>if(len(A72)&gt;0, VLOOKUP(A72,Lookup!$A$2:$F1000,6,FALSE),"")</f>
        <v/>
      </c>
      <c r="D72" s="9"/>
      <c r="E72" s="9"/>
      <c r="F72" s="9"/>
      <c r="G72" s="9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9"/>
      <c r="B73" s="9"/>
      <c r="C73" s="9" t="str">
        <f>if(len(A73)&gt;0, VLOOKUP(A73,Lookup!$A$2:$F1000,6,FALSE),"")</f>
        <v/>
      </c>
      <c r="D73" s="9"/>
      <c r="E73" s="9"/>
      <c r="F73" s="9"/>
      <c r="G73" s="9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9"/>
      <c r="B74" s="9"/>
      <c r="C74" s="9" t="str">
        <f>if(len(A74)&gt;0, VLOOKUP(A74,Lookup!$A$2:$F1000,6,FALSE),"")</f>
        <v/>
      </c>
      <c r="D74" s="9"/>
      <c r="E74" s="9"/>
      <c r="F74" s="9"/>
      <c r="G74" s="9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9"/>
      <c r="B75" s="9"/>
      <c r="C75" s="9" t="str">
        <f>if(len(A75)&gt;0, VLOOKUP(A75,Lookup!$A$2:$F1000,6,FALSE),"")</f>
        <v/>
      </c>
      <c r="D75" s="9"/>
      <c r="E75" s="9"/>
      <c r="F75" s="9"/>
      <c r="G75" s="9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9"/>
      <c r="B76" s="9"/>
      <c r="C76" s="9" t="str">
        <f>if(len(A76)&gt;0, VLOOKUP(A76,Lookup!$A$2:$F1000,6,FALSE),"")</f>
        <v/>
      </c>
      <c r="D76" s="9"/>
      <c r="E76" s="9"/>
      <c r="F76" s="9"/>
      <c r="G76" s="9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9"/>
      <c r="B77" s="9"/>
      <c r="C77" s="9" t="str">
        <f>if(len(A77)&gt;0, VLOOKUP(A77,Lookup!$A$2:$F1000,6,FALSE),"")</f>
        <v/>
      </c>
      <c r="D77" s="9"/>
      <c r="E77" s="9"/>
      <c r="F77" s="9"/>
      <c r="G77" s="9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9"/>
      <c r="B78" s="9"/>
      <c r="C78" s="9" t="str">
        <f>if(len(A78)&gt;0, VLOOKUP(A78,Lookup!$A$2:$F1000,6,FALSE),"")</f>
        <v/>
      </c>
      <c r="D78" s="9"/>
      <c r="E78" s="9"/>
      <c r="F78" s="9"/>
      <c r="G78" s="9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9"/>
      <c r="B79" s="9"/>
      <c r="C79" s="9" t="str">
        <f>if(len(A79)&gt;0, VLOOKUP(A79,Lookup!$A$2:$F1000,6,FALSE),"")</f>
        <v/>
      </c>
      <c r="D79" s="9"/>
      <c r="E79" s="9"/>
      <c r="F79" s="9"/>
      <c r="G79" s="9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9"/>
      <c r="B80" s="9"/>
      <c r="C80" s="9" t="str">
        <f>if(len(A80)&gt;0, VLOOKUP(A80,Lookup!$A$2:$F1000,6,FALSE),"")</f>
        <v/>
      </c>
      <c r="D80" s="9"/>
      <c r="E80" s="9"/>
      <c r="F80" s="9"/>
      <c r="G80" s="9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9"/>
      <c r="B81" s="9"/>
      <c r="C81" s="9" t="str">
        <f>if(len(A81)&gt;0, VLOOKUP(A81,Lookup!$A$2:$F1000,6,FALSE),"")</f>
        <v/>
      </c>
      <c r="D81" s="9"/>
      <c r="E81" s="9"/>
      <c r="F81" s="9"/>
      <c r="G81" s="9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9"/>
      <c r="B82" s="9"/>
      <c r="C82" s="9" t="str">
        <f>if(len(A82)&gt;0, VLOOKUP(A82,Lookup!$A$2:$F1000,6,FALSE),"")</f>
        <v/>
      </c>
      <c r="D82" s="9"/>
      <c r="E82" s="9"/>
      <c r="F82" s="9"/>
      <c r="G82" s="9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9"/>
      <c r="B83" s="9"/>
      <c r="C83" s="9" t="str">
        <f>if(len(A83)&gt;0, VLOOKUP(A83,Lookup!$A$2:$F1000,6,FALSE),"")</f>
        <v/>
      </c>
      <c r="D83" s="9"/>
      <c r="E83" s="9"/>
      <c r="F83" s="9"/>
      <c r="G83" s="9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9"/>
      <c r="B84" s="9"/>
      <c r="C84" s="9" t="str">
        <f>if(len(A84)&gt;0, VLOOKUP(A84,Lookup!$A$2:$F1000,6,FALSE),"")</f>
        <v/>
      </c>
      <c r="D84" s="9"/>
      <c r="E84" s="9"/>
      <c r="F84" s="9"/>
      <c r="G84" s="9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9"/>
      <c r="B85" s="9"/>
      <c r="C85" s="9" t="str">
        <f>if(len(A85)&gt;0, VLOOKUP(A85,Lookup!$A$2:$F1000,6,FALSE),"")</f>
        <v/>
      </c>
      <c r="D85" s="9"/>
      <c r="E85" s="9"/>
      <c r="F85" s="9"/>
      <c r="G85" s="9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9"/>
      <c r="B86" s="9"/>
      <c r="C86" s="9" t="str">
        <f>if(len(A86)&gt;0, VLOOKUP(A86,Lookup!$A$2:$F1000,6,FALSE),"")</f>
        <v/>
      </c>
      <c r="D86" s="9"/>
      <c r="E86" s="9"/>
      <c r="F86" s="9"/>
      <c r="G86" s="9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9"/>
      <c r="B87" s="9"/>
      <c r="C87" s="9" t="str">
        <f>if(len(A87)&gt;0, VLOOKUP(A87,Lookup!$A$2:$F1000,6,FALSE),"")</f>
        <v/>
      </c>
      <c r="D87" s="9"/>
      <c r="E87" s="9"/>
      <c r="F87" s="9"/>
      <c r="G87" s="9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9"/>
      <c r="B88" s="9"/>
      <c r="C88" s="9" t="str">
        <f>if(len(A88)&gt;0, VLOOKUP(A88,Lookup!$A$2:$F1000,6,FALSE),"")</f>
        <v/>
      </c>
      <c r="D88" s="9"/>
      <c r="E88" s="9"/>
      <c r="F88" s="9"/>
      <c r="G88" s="9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9"/>
      <c r="B89" s="9"/>
      <c r="C89" s="9" t="str">
        <f>if(len(A89)&gt;0, VLOOKUP(A89,Lookup!$A$2:$F1000,6,FALSE),"")</f>
        <v/>
      </c>
      <c r="D89" s="9"/>
      <c r="E89" s="9"/>
      <c r="F89" s="9"/>
      <c r="G89" s="9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9"/>
      <c r="B90" s="9"/>
      <c r="C90" s="9" t="str">
        <f>if(len(A90)&gt;0, VLOOKUP(A90,Lookup!$A$2:$F1000,6,FALSE),"")</f>
        <v/>
      </c>
      <c r="D90" s="9"/>
      <c r="E90" s="9"/>
      <c r="F90" s="9"/>
      <c r="G90" s="9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9"/>
      <c r="B91" s="9"/>
      <c r="C91" s="9" t="str">
        <f>if(len(A91)&gt;0, VLOOKUP(A91,Lookup!$A$2:$F1000,6,FALSE),"")</f>
        <v/>
      </c>
      <c r="D91" s="9"/>
      <c r="E91" s="9"/>
      <c r="F91" s="9"/>
      <c r="G91" s="9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9"/>
      <c r="B92" s="9"/>
      <c r="C92" s="9" t="str">
        <f>if(len(A92)&gt;0, VLOOKUP(A92,Lookup!$A$2:$F1000,6,FALSE),"")</f>
        <v/>
      </c>
      <c r="D92" s="9"/>
      <c r="E92" s="9"/>
      <c r="F92" s="9"/>
      <c r="G92" s="9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9"/>
      <c r="B93" s="9"/>
      <c r="C93" s="9" t="str">
        <f>if(len(A93)&gt;0, VLOOKUP(A93,Lookup!$A$2:$F1000,6,FALSE),"")</f>
        <v/>
      </c>
      <c r="D93" s="9"/>
      <c r="E93" s="9"/>
      <c r="F93" s="9"/>
      <c r="G93" s="9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9"/>
      <c r="B94" s="9"/>
      <c r="C94" s="9" t="str">
        <f>if(len(A94)&gt;0, VLOOKUP(A94,Lookup!$A$2:$F1000,6,FALSE),"")</f>
        <v/>
      </c>
      <c r="D94" s="9"/>
      <c r="E94" s="9"/>
      <c r="F94" s="9"/>
      <c r="G94" s="9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9"/>
      <c r="B95" s="9"/>
      <c r="C95" s="9" t="str">
        <f>if(len(A95)&gt;0, VLOOKUP(A95,Lookup!$A$2:$F1000,6,FALSE),"")</f>
        <v/>
      </c>
      <c r="D95" s="9"/>
      <c r="E95" s="9"/>
      <c r="F95" s="9"/>
      <c r="G95" s="9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9"/>
      <c r="B96" s="9"/>
      <c r="C96" s="9" t="str">
        <f>if(len(A96)&gt;0, VLOOKUP(A96,Lookup!$A$2:$F1000,6,FALSE),"")</f>
        <v/>
      </c>
      <c r="D96" s="9"/>
      <c r="E96" s="9"/>
      <c r="F96" s="9"/>
      <c r="G96" s="9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9"/>
      <c r="B97" s="9"/>
      <c r="C97" s="9" t="str">
        <f>if(len(A97)&gt;0, VLOOKUP(A97,Lookup!$A$2:$F1000,6,FALSE),"")</f>
        <v/>
      </c>
      <c r="D97" s="9"/>
      <c r="E97" s="9"/>
      <c r="F97" s="9"/>
      <c r="G97" s="9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9"/>
      <c r="B98" s="9"/>
      <c r="C98" s="9" t="str">
        <f>if(len(A98)&gt;0, VLOOKUP(A98,Lookup!$A$2:$F1000,6,FALSE),"")</f>
        <v/>
      </c>
      <c r="D98" s="9"/>
      <c r="E98" s="9"/>
      <c r="F98" s="9"/>
      <c r="G98" s="9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9"/>
      <c r="B99" s="9"/>
      <c r="C99" s="9" t="str">
        <f>if(len(A99)&gt;0, VLOOKUP(A99,Lookup!$A$2:$F1000,6,FALSE),"")</f>
        <v/>
      </c>
      <c r="D99" s="9"/>
      <c r="E99" s="9"/>
      <c r="F99" s="9"/>
      <c r="G99" s="9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9"/>
      <c r="B100" s="9"/>
      <c r="C100" s="9" t="str">
        <f>if(len(A100)&gt;0, VLOOKUP(A100,Lookup!$A$2:$F1000,6,FALSE),"")</f>
        <v/>
      </c>
      <c r="D100" s="9"/>
      <c r="E100" s="9"/>
      <c r="F100" s="9"/>
      <c r="G100" s="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9"/>
      <c r="B101" s="9"/>
      <c r="C101" s="9" t="str">
        <f>if(len(A101)&gt;0, VLOOKUP(A101,Lookup!$A$2:$F1000,6,FALSE),"")</f>
        <v/>
      </c>
      <c r="D101" s="9"/>
      <c r="E101" s="9"/>
      <c r="F101" s="9"/>
      <c r="G101" s="9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9"/>
      <c r="B102" s="9"/>
      <c r="C102" s="9" t="str">
        <f>if(len(A102)&gt;0, VLOOKUP(A102,Lookup!$A$2:$F1000,6,FALSE),"")</f>
        <v/>
      </c>
      <c r="D102" s="9"/>
      <c r="E102" s="9"/>
      <c r="F102" s="9"/>
      <c r="G102" s="9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9"/>
      <c r="B103" s="9"/>
      <c r="C103" s="9" t="str">
        <f>if(len(A103)&gt;0, VLOOKUP(A103,Lookup!$A$2:$F1000,6,FALSE),"")</f>
        <v/>
      </c>
      <c r="D103" s="9"/>
      <c r="E103" s="9"/>
      <c r="F103" s="9"/>
      <c r="G103" s="9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9"/>
      <c r="B104" s="9"/>
      <c r="C104" s="9" t="str">
        <f>if(len(A104)&gt;0, VLOOKUP(A104,Lookup!$A$2:$F1000,6,FALSE),"")</f>
        <v/>
      </c>
      <c r="D104" s="9"/>
      <c r="E104" s="9"/>
      <c r="F104" s="9"/>
      <c r="G104" s="9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9"/>
      <c r="B105" s="9"/>
      <c r="C105" s="9" t="str">
        <f>if(len(A105)&gt;0, VLOOKUP(A105,Lookup!$A$2:$F1000,6,FALSE),"")</f>
        <v/>
      </c>
      <c r="D105" s="9"/>
      <c r="E105" s="9"/>
      <c r="F105" s="9"/>
      <c r="G105" s="9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9"/>
      <c r="B106" s="9"/>
      <c r="C106" s="9" t="str">
        <f>if(len(A106)&gt;0, VLOOKUP(A106,Lookup!$A$2:$F1000,6,FALSE),"")</f>
        <v/>
      </c>
      <c r="D106" s="9"/>
      <c r="E106" s="9"/>
      <c r="F106" s="9"/>
      <c r="G106" s="9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9"/>
      <c r="B107" s="9"/>
      <c r="C107" s="9" t="str">
        <f>if(len(A107)&gt;0, VLOOKUP(A107,Lookup!$A$2:$F1000,6,FALSE),"")</f>
        <v/>
      </c>
      <c r="D107" s="9"/>
      <c r="E107" s="9"/>
      <c r="F107" s="9"/>
      <c r="G107" s="9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9"/>
      <c r="B108" s="9"/>
      <c r="C108" s="9" t="str">
        <f>if(len(A108)&gt;0, VLOOKUP(A108,Lookup!$A$2:$F1000,6,FALSE),"")</f>
        <v/>
      </c>
      <c r="D108" s="9"/>
      <c r="E108" s="9"/>
      <c r="F108" s="9"/>
      <c r="G108" s="9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9"/>
      <c r="B109" s="9"/>
      <c r="C109" s="9" t="str">
        <f>if(len(A109)&gt;0, VLOOKUP(A109,Lookup!$A$2:$F1000,6,FALSE),"")</f>
        <v/>
      </c>
      <c r="D109" s="9"/>
      <c r="E109" s="9"/>
      <c r="F109" s="9"/>
      <c r="G109" s="9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9"/>
      <c r="B110" s="9"/>
      <c r="C110" s="9" t="str">
        <f>if(len(A110)&gt;0, VLOOKUP(A110,Lookup!$A$2:$F1000,6,FALSE),"")</f>
        <v/>
      </c>
      <c r="D110" s="9"/>
      <c r="E110" s="9"/>
      <c r="F110" s="9"/>
      <c r="G110" s="9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9"/>
      <c r="B111" s="9"/>
      <c r="C111" s="9" t="str">
        <f>if(len(A111)&gt;0, VLOOKUP(A111,Lookup!$A$2:$F1000,6,FALSE),"")</f>
        <v/>
      </c>
      <c r="D111" s="9"/>
      <c r="E111" s="9"/>
      <c r="F111" s="9"/>
      <c r="G111" s="9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9"/>
      <c r="B112" s="9"/>
      <c r="C112" s="9" t="str">
        <f>if(len(A112)&gt;0, VLOOKUP(A112,Lookup!$A$2:$F1000,6,FALSE),"")</f>
        <v/>
      </c>
      <c r="D112" s="9"/>
      <c r="E112" s="9"/>
      <c r="F112" s="9"/>
      <c r="G112" s="9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9"/>
      <c r="B113" s="9"/>
      <c r="C113" s="9" t="str">
        <f>if(len(A113)&gt;0, VLOOKUP(A113,Lookup!$A$2:$F1000,6,FALSE),"")</f>
        <v/>
      </c>
      <c r="D113" s="9"/>
      <c r="E113" s="9"/>
      <c r="F113" s="9"/>
      <c r="G113" s="9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9"/>
      <c r="B114" s="9"/>
      <c r="C114" s="9" t="str">
        <f>if(len(A114)&gt;0, VLOOKUP(A114,Lookup!$A$2:$F1000,6,FALSE),"")</f>
        <v/>
      </c>
      <c r="D114" s="9"/>
      <c r="E114" s="9"/>
      <c r="F114" s="9"/>
      <c r="G114" s="9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9"/>
      <c r="B115" s="9"/>
      <c r="C115" s="9" t="str">
        <f>if(len(A115)&gt;0, VLOOKUP(A115,Lookup!$A$2:$F1000,6,FALSE),"")</f>
        <v/>
      </c>
      <c r="D115" s="9"/>
      <c r="E115" s="9"/>
      <c r="F115" s="9"/>
      <c r="G115" s="9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9"/>
      <c r="B116" s="9"/>
      <c r="C116" s="9" t="str">
        <f>if(len(A116)&gt;0, VLOOKUP(A116,Lookup!$A$2:$F1000,6,FALSE),"")</f>
        <v/>
      </c>
      <c r="D116" s="9"/>
      <c r="E116" s="9"/>
      <c r="F116" s="9"/>
      <c r="G116" s="9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9"/>
      <c r="B117" s="9"/>
      <c r="C117" s="9" t="str">
        <f>if(len(A117)&gt;0, VLOOKUP(A117,Lookup!$A$2:$F1000,6,FALSE),"")</f>
        <v/>
      </c>
      <c r="D117" s="9"/>
      <c r="E117" s="9"/>
      <c r="F117" s="9"/>
      <c r="G117" s="9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9"/>
      <c r="B118" s="9"/>
      <c r="C118" s="9" t="str">
        <f>if(len(A118)&gt;0, VLOOKUP(A118,Lookup!$A$2:$F1000,6,FALSE),"")</f>
        <v/>
      </c>
      <c r="D118" s="9"/>
      <c r="E118" s="9"/>
      <c r="F118" s="9"/>
      <c r="G118" s="9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9"/>
      <c r="B119" s="9"/>
      <c r="C119" s="9" t="str">
        <f>if(len(A119)&gt;0, VLOOKUP(A119,Lookup!$A$2:$F1000,6,FALSE),"")</f>
        <v/>
      </c>
      <c r="D119" s="9"/>
      <c r="E119" s="9"/>
      <c r="F119" s="9"/>
      <c r="G119" s="9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9"/>
      <c r="B120" s="9"/>
      <c r="C120" s="9" t="str">
        <f>if(len(A120)&gt;0, VLOOKUP(A120,Lookup!$A$2:$F1000,6,FALSE),"")</f>
        <v/>
      </c>
      <c r="D120" s="9"/>
      <c r="E120" s="9"/>
      <c r="F120" s="9"/>
      <c r="G120" s="9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9"/>
      <c r="B121" s="9"/>
      <c r="C121" s="9" t="str">
        <f>if(len(A121)&gt;0, VLOOKUP(A121,Lookup!$A$2:$F1000,6,FALSE),"")</f>
        <v/>
      </c>
      <c r="D121" s="9"/>
      <c r="E121" s="9"/>
      <c r="F121" s="9"/>
      <c r="G121" s="9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9"/>
      <c r="B122" s="9"/>
      <c r="C122" s="9" t="str">
        <f>if(len(A122)&gt;0, VLOOKUP(A122,Lookup!$A$2:$F1000,6,FALSE),"")</f>
        <v/>
      </c>
      <c r="D122" s="9"/>
      <c r="E122" s="9"/>
      <c r="F122" s="9"/>
      <c r="G122" s="9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9"/>
      <c r="B123" s="9"/>
      <c r="C123" s="9" t="str">
        <f>if(len(A123)&gt;0, VLOOKUP(A123,Lookup!$A$2:$F1000,6,FALSE),"")</f>
        <v/>
      </c>
      <c r="D123" s="9"/>
      <c r="E123" s="9"/>
      <c r="F123" s="9"/>
      <c r="G123" s="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9"/>
      <c r="B124" s="9"/>
      <c r="C124" s="9" t="str">
        <f>if(len(A124)&gt;0, VLOOKUP(A124,Lookup!$A$2:$F1000,6,FALSE),"")</f>
        <v/>
      </c>
      <c r="D124" s="9"/>
      <c r="E124" s="9"/>
      <c r="F124" s="9"/>
      <c r="G124" s="9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9"/>
      <c r="B125" s="9"/>
      <c r="C125" s="9" t="str">
        <f>if(len(A125)&gt;0, VLOOKUP(A125,Lookup!$A$2:$F1000,6,FALSE),"")</f>
        <v/>
      </c>
      <c r="D125" s="9"/>
      <c r="E125" s="9"/>
      <c r="F125" s="9"/>
      <c r="G125" s="9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9"/>
      <c r="B126" s="9"/>
      <c r="C126" s="9" t="str">
        <f>if(len(A126)&gt;0, VLOOKUP(A126,Lookup!$A$2:$F1000,6,FALSE),"")</f>
        <v/>
      </c>
      <c r="D126" s="9"/>
      <c r="E126" s="9"/>
      <c r="F126" s="9"/>
      <c r="G126" s="9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9"/>
      <c r="B127" s="9"/>
      <c r="C127" s="9" t="str">
        <f>if(len(A127)&gt;0, VLOOKUP(A127,Lookup!$A$2:$F1000,6,FALSE),"")</f>
        <v/>
      </c>
      <c r="D127" s="9"/>
      <c r="E127" s="9"/>
      <c r="F127" s="9"/>
      <c r="G127" s="9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9"/>
      <c r="B128" s="9"/>
      <c r="C128" s="9" t="str">
        <f>if(len(A128)&gt;0, VLOOKUP(A128,Lookup!$A$2:$F1000,6,FALSE),"")</f>
        <v/>
      </c>
      <c r="D128" s="9"/>
      <c r="E128" s="9"/>
      <c r="F128" s="9"/>
      <c r="G128" s="9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9"/>
      <c r="B129" s="9"/>
      <c r="C129" s="9" t="str">
        <f>if(len(A129)&gt;0, VLOOKUP(A129,Lookup!$A$2:$F1000,6,FALSE),"")</f>
        <v/>
      </c>
      <c r="D129" s="9"/>
      <c r="E129" s="9"/>
      <c r="F129" s="9"/>
      <c r="G129" s="9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9"/>
      <c r="B130" s="9"/>
      <c r="C130" s="9" t="str">
        <f>if(len(A130)&gt;0, VLOOKUP(A130,Lookup!$A$2:$F1000,6,FALSE),"")</f>
        <v/>
      </c>
      <c r="D130" s="9"/>
      <c r="E130" s="9"/>
      <c r="F130" s="9"/>
      <c r="G130" s="9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9"/>
      <c r="B131" s="9"/>
      <c r="C131" s="9" t="str">
        <f>if(len(A131)&gt;0, VLOOKUP(A131,Lookup!$A$2:$F1000,6,FALSE),"")</f>
        <v/>
      </c>
      <c r="D131" s="9"/>
      <c r="E131" s="9"/>
      <c r="F131" s="9"/>
      <c r="G131" s="9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9"/>
      <c r="B132" s="9"/>
      <c r="C132" s="9" t="str">
        <f>if(len(A132)&gt;0, VLOOKUP(A132,Lookup!$A$2:$F1000,6,FALSE),"")</f>
        <v/>
      </c>
      <c r="D132" s="9"/>
      <c r="E132" s="9"/>
      <c r="F132" s="9"/>
      <c r="G132" s="9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9"/>
      <c r="B133" s="9"/>
      <c r="C133" s="9" t="str">
        <f>if(len(A133)&gt;0, VLOOKUP(A133,Lookup!$A$2:$F1000,6,FALSE),"")</f>
        <v/>
      </c>
      <c r="D133" s="9"/>
      <c r="E133" s="9"/>
      <c r="F133" s="9"/>
      <c r="G133" s="9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9"/>
      <c r="B134" s="9"/>
      <c r="C134" s="9" t="str">
        <f>if(len(A134)&gt;0, VLOOKUP(A134,Lookup!$A$2:$F1000,6,FALSE),"")</f>
        <v/>
      </c>
      <c r="D134" s="9"/>
      <c r="E134" s="9"/>
      <c r="F134" s="9"/>
      <c r="G134" s="9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9"/>
      <c r="B135" s="9"/>
      <c r="C135" s="9" t="str">
        <f>if(len(A135)&gt;0, VLOOKUP(A135,Lookup!$A$2:$F1000,6,FALSE),"")</f>
        <v/>
      </c>
      <c r="D135" s="9"/>
      <c r="E135" s="9"/>
      <c r="F135" s="9"/>
      <c r="G135" s="9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9"/>
      <c r="B136" s="9"/>
      <c r="C136" s="9" t="str">
        <f>if(len(A136)&gt;0, VLOOKUP(A136,Lookup!$A$2:$F1000,6,FALSE),"")</f>
        <v/>
      </c>
      <c r="D136" s="9"/>
      <c r="E136" s="9"/>
      <c r="F136" s="9"/>
      <c r="G136" s="9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9"/>
      <c r="B137" s="9"/>
      <c r="C137" s="9" t="str">
        <f>if(len(A137)&gt;0, VLOOKUP(A137,Lookup!$A$2:$F1000,6,FALSE),"")</f>
        <v/>
      </c>
      <c r="D137" s="9"/>
      <c r="E137" s="9"/>
      <c r="F137" s="9"/>
      <c r="G137" s="9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9"/>
      <c r="B138" s="9"/>
      <c r="C138" s="9" t="str">
        <f>if(len(A138)&gt;0, VLOOKUP(A138,Lookup!$A$2:$F1000,6,FALSE),"")</f>
        <v/>
      </c>
      <c r="D138" s="9"/>
      <c r="E138" s="9"/>
      <c r="F138" s="9"/>
      <c r="G138" s="9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9"/>
      <c r="B139" s="9"/>
      <c r="C139" s="9" t="str">
        <f>if(len(A139)&gt;0, VLOOKUP(A139,Lookup!$A$2:$F1000,6,FALSE),"")</f>
        <v/>
      </c>
      <c r="D139" s="9"/>
      <c r="E139" s="9"/>
      <c r="F139" s="9"/>
      <c r="G139" s="9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9"/>
      <c r="B140" s="9"/>
      <c r="C140" s="9" t="str">
        <f>if(len(A140)&gt;0, VLOOKUP(A140,Lookup!$A$2:$F1000,6,FALSE),"")</f>
        <v/>
      </c>
      <c r="D140" s="9"/>
      <c r="E140" s="9"/>
      <c r="F140" s="9"/>
      <c r="G140" s="9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9"/>
      <c r="B141" s="9"/>
      <c r="C141" s="9" t="str">
        <f>if(len(A141)&gt;0, VLOOKUP(A141,Lookup!$A$2:$F1000,6,FALSE),"")</f>
        <v/>
      </c>
      <c r="D141" s="9"/>
      <c r="E141" s="9"/>
      <c r="F141" s="9"/>
      <c r="G141" s="9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9"/>
      <c r="B142" s="9"/>
      <c r="C142" s="9" t="str">
        <f>if(len(A142)&gt;0, VLOOKUP(A142,Lookup!$A$2:$F1000,6,FALSE),"")</f>
        <v/>
      </c>
      <c r="D142" s="9"/>
      <c r="E142" s="9"/>
      <c r="F142" s="9"/>
      <c r="G142" s="9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9"/>
      <c r="B143" s="9"/>
      <c r="C143" s="9" t="str">
        <f>if(len(A143)&gt;0, VLOOKUP(A143,Lookup!$A$2:$F1000,6,FALSE),"")</f>
        <v/>
      </c>
      <c r="D143" s="9"/>
      <c r="E143" s="9"/>
      <c r="F143" s="9"/>
      <c r="G143" s="9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9"/>
      <c r="B144" s="9"/>
      <c r="C144" s="9" t="str">
        <f>if(len(A144)&gt;0, VLOOKUP(A144,Lookup!$A$2:$F1000,6,FALSE),"")</f>
        <v/>
      </c>
      <c r="D144" s="9"/>
      <c r="E144" s="9"/>
      <c r="F144" s="9"/>
      <c r="G144" s="9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9"/>
      <c r="B145" s="9"/>
      <c r="C145" s="9" t="str">
        <f>if(len(A145)&gt;0, VLOOKUP(A145,Lookup!$A$2:$F1000,6,FALSE),"")</f>
        <v/>
      </c>
      <c r="D145" s="9"/>
      <c r="E145" s="9"/>
      <c r="F145" s="9"/>
      <c r="G145" s="9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9"/>
      <c r="B146" s="9"/>
      <c r="C146" s="9" t="str">
        <f>if(len(A146)&gt;0, VLOOKUP(A146,Lookup!$A$2:$F1000,6,FALSE),"")</f>
        <v/>
      </c>
      <c r="D146" s="9"/>
      <c r="E146" s="9"/>
      <c r="F146" s="9"/>
      <c r="G146" s="9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9"/>
      <c r="B147" s="9"/>
      <c r="C147" s="9" t="str">
        <f>if(len(A147)&gt;0, VLOOKUP(A147,Lookup!$A$2:$F1000,6,FALSE),"")</f>
        <v/>
      </c>
      <c r="D147" s="9"/>
      <c r="E147" s="9"/>
      <c r="F147" s="9"/>
      <c r="G147" s="9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9"/>
      <c r="B148" s="9"/>
      <c r="C148" s="9" t="str">
        <f>if(len(A148)&gt;0, VLOOKUP(A148,Lookup!$A$2:$F1000,6,FALSE),"")</f>
        <v/>
      </c>
      <c r="D148" s="9"/>
      <c r="E148" s="9"/>
      <c r="F148" s="9"/>
      <c r="G148" s="9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9"/>
      <c r="B149" s="9"/>
      <c r="C149" s="9" t="str">
        <f>if(len(A149)&gt;0, VLOOKUP(A149,Lookup!$A$2:$F1000,6,FALSE),"")</f>
        <v/>
      </c>
      <c r="D149" s="9"/>
      <c r="E149" s="9"/>
      <c r="F149" s="9"/>
      <c r="G149" s="9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9"/>
      <c r="B150" s="9"/>
      <c r="C150" s="9" t="str">
        <f>if(len(A150)&gt;0, VLOOKUP(A150,Lookup!$A$2:$F1000,6,FALSE),"")</f>
        <v/>
      </c>
      <c r="D150" s="9"/>
      <c r="E150" s="9"/>
      <c r="F150" s="9"/>
      <c r="G150" s="9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9"/>
      <c r="B151" s="9"/>
      <c r="C151" s="9" t="str">
        <f>if(len(A151)&gt;0, VLOOKUP(A151,Lookup!$A$2:$F1000,6,FALSE),"")</f>
        <v/>
      </c>
      <c r="D151" s="9"/>
      <c r="E151" s="9"/>
      <c r="F151" s="9"/>
      <c r="G151" s="9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9"/>
      <c r="B152" s="9"/>
      <c r="C152" s="9" t="str">
        <f>if(len(A152)&gt;0, VLOOKUP(A152,Lookup!$A$2:$F1000,6,FALSE),"")</f>
        <v/>
      </c>
      <c r="D152" s="9"/>
      <c r="E152" s="9"/>
      <c r="F152" s="9"/>
      <c r="G152" s="9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9"/>
      <c r="B153" s="9"/>
      <c r="C153" s="9" t="str">
        <f>if(len(A153)&gt;0, VLOOKUP(A153,Lookup!$A$2:$F1000,6,FALSE),"")</f>
        <v/>
      </c>
      <c r="D153" s="9"/>
      <c r="E153" s="9"/>
      <c r="F153" s="9"/>
      <c r="G153" s="9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9"/>
      <c r="B154" s="9"/>
      <c r="C154" s="9" t="str">
        <f>if(len(A154)&gt;0, VLOOKUP(A154,Lookup!$A$2:$F1000,6,FALSE),"")</f>
        <v/>
      </c>
      <c r="D154" s="9"/>
      <c r="E154" s="9"/>
      <c r="F154" s="9"/>
      <c r="G154" s="9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9"/>
      <c r="B155" s="9"/>
      <c r="C155" s="9" t="str">
        <f>if(len(A155)&gt;0, VLOOKUP(A155,Lookup!$A$2:$F1000,6,FALSE),"")</f>
        <v/>
      </c>
      <c r="D155" s="9"/>
      <c r="E155" s="9"/>
      <c r="F155" s="9"/>
      <c r="G155" s="9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9"/>
      <c r="B156" s="9"/>
      <c r="C156" s="9" t="str">
        <f>if(len(A156)&gt;0, VLOOKUP(A156,Lookup!$A$2:$F1000,6,FALSE),"")</f>
        <v/>
      </c>
      <c r="D156" s="9"/>
      <c r="E156" s="9"/>
      <c r="F156" s="9"/>
      <c r="G156" s="9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9"/>
      <c r="B157" s="9"/>
      <c r="C157" s="9" t="str">
        <f>if(len(A157)&gt;0, VLOOKUP(A157,Lookup!$A$2:$F1000,6,FALSE),"")</f>
        <v/>
      </c>
      <c r="D157" s="9"/>
      <c r="E157" s="9"/>
      <c r="F157" s="9"/>
      <c r="G157" s="9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9"/>
      <c r="B158" s="9"/>
      <c r="C158" s="9" t="str">
        <f>if(len(A158)&gt;0, VLOOKUP(A158,Lookup!$A$2:$F1000,6,FALSE),"")</f>
        <v/>
      </c>
      <c r="D158" s="9"/>
      <c r="E158" s="9"/>
      <c r="F158" s="9"/>
      <c r="G158" s="9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9"/>
      <c r="B159" s="9"/>
      <c r="C159" s="9" t="str">
        <f>if(len(A159)&gt;0, VLOOKUP(A159,Lookup!$A$2:$F1000,6,FALSE),"")</f>
        <v/>
      </c>
      <c r="D159" s="9"/>
      <c r="E159" s="9"/>
      <c r="F159" s="9"/>
      <c r="G159" s="9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9"/>
      <c r="B160" s="9"/>
      <c r="C160" s="9" t="str">
        <f>if(len(A160)&gt;0, VLOOKUP(A160,Lookup!$A$2:$F1000,6,FALSE),"")</f>
        <v/>
      </c>
      <c r="D160" s="9"/>
      <c r="E160" s="9"/>
      <c r="F160" s="9"/>
      <c r="G160" s="9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9"/>
      <c r="B161" s="9"/>
      <c r="C161" s="9" t="str">
        <f>if(len(A161)&gt;0, VLOOKUP(A161,Lookup!$A$2:$F1000,6,FALSE),"")</f>
        <v/>
      </c>
      <c r="D161" s="9"/>
      <c r="E161" s="9"/>
      <c r="F161" s="9"/>
      <c r="G161" s="9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9"/>
      <c r="B162" s="9"/>
      <c r="C162" s="9" t="str">
        <f>if(len(A162)&gt;0, VLOOKUP(A162,Lookup!$A$2:$F1000,6,FALSE),"")</f>
        <v/>
      </c>
      <c r="D162" s="9"/>
      <c r="E162" s="9"/>
      <c r="F162" s="9"/>
      <c r="G162" s="9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9"/>
      <c r="B163" s="9"/>
      <c r="C163" s="9" t="str">
        <f>if(len(A163)&gt;0, VLOOKUP(A163,Lookup!$A$2:$F1000,6,FALSE),"")</f>
        <v/>
      </c>
      <c r="D163" s="9"/>
      <c r="E163" s="9"/>
      <c r="F163" s="9"/>
      <c r="G163" s="9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9"/>
      <c r="B164" s="9"/>
      <c r="C164" s="9" t="str">
        <f>if(len(A164)&gt;0, VLOOKUP(A164,Lookup!$A$2:$F1000,6,FALSE),"")</f>
        <v/>
      </c>
      <c r="D164" s="9"/>
      <c r="E164" s="9"/>
      <c r="F164" s="9"/>
      <c r="G164" s="9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9"/>
      <c r="B165" s="9"/>
      <c r="C165" s="9" t="str">
        <f>if(len(A165)&gt;0, VLOOKUP(A165,Lookup!$A$2:$F1000,6,FALSE),"")</f>
        <v/>
      </c>
      <c r="D165" s="9"/>
      <c r="E165" s="9"/>
      <c r="F165" s="9"/>
      <c r="G165" s="9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9"/>
      <c r="B166" s="9"/>
      <c r="C166" s="9" t="str">
        <f>if(len(A166)&gt;0, VLOOKUP(A166,Lookup!$A$2:$F1000,6,FALSE),"")</f>
        <v/>
      </c>
      <c r="D166" s="9"/>
      <c r="E166" s="9"/>
      <c r="F166" s="9"/>
      <c r="G166" s="9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9"/>
      <c r="B167" s="9"/>
      <c r="C167" s="9" t="str">
        <f>if(len(A167)&gt;0, VLOOKUP(A167,Lookup!$A$2:$F1000,6,FALSE),"")</f>
        <v/>
      </c>
      <c r="D167" s="9"/>
      <c r="E167" s="9"/>
      <c r="F167" s="9"/>
      <c r="G167" s="9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9"/>
      <c r="B168" s="9"/>
      <c r="C168" s="9" t="str">
        <f>if(len(A168)&gt;0, VLOOKUP(A168,Lookup!$A$2:$F1000,6,FALSE),"")</f>
        <v/>
      </c>
      <c r="D168" s="9"/>
      <c r="E168" s="9"/>
      <c r="F168" s="9"/>
      <c r="G168" s="9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9"/>
      <c r="B169" s="9"/>
      <c r="C169" s="9" t="str">
        <f>if(len(A169)&gt;0, VLOOKUP(A169,Lookup!$A$2:$F1000,6,FALSE),"")</f>
        <v/>
      </c>
      <c r="D169" s="9"/>
      <c r="E169" s="9"/>
      <c r="F169" s="9"/>
      <c r="G169" s="9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9"/>
      <c r="B170" s="9"/>
      <c r="C170" s="9" t="str">
        <f>if(len(A170)&gt;0, VLOOKUP(A170,Lookup!$A$2:$F1000,6,FALSE),"")</f>
        <v/>
      </c>
      <c r="D170" s="9"/>
      <c r="E170" s="9"/>
      <c r="F170" s="9"/>
      <c r="G170" s="9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9"/>
      <c r="B171" s="9"/>
      <c r="C171" s="9" t="str">
        <f>if(len(A171)&gt;0, VLOOKUP(A171,Lookup!$A$2:$F1000,6,FALSE),"")</f>
        <v/>
      </c>
      <c r="D171" s="9"/>
      <c r="E171" s="9"/>
      <c r="F171" s="9"/>
      <c r="G171" s="9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9"/>
      <c r="B172" s="9"/>
      <c r="C172" s="9" t="str">
        <f>if(len(A172)&gt;0, VLOOKUP(A172,Lookup!$A$2:$F1000,6,FALSE),"")</f>
        <v/>
      </c>
      <c r="D172" s="9"/>
      <c r="E172" s="9"/>
      <c r="F172" s="9"/>
      <c r="G172" s="9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9"/>
      <c r="B173" s="9"/>
      <c r="C173" s="9" t="str">
        <f>if(len(A173)&gt;0, VLOOKUP(A173,Lookup!$A$2:$F1000,6,FALSE),"")</f>
        <v/>
      </c>
      <c r="D173" s="9"/>
      <c r="E173" s="9"/>
      <c r="F173" s="9"/>
      <c r="G173" s="9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9"/>
      <c r="B174" s="9"/>
      <c r="C174" s="9" t="str">
        <f>if(len(A174)&gt;0, VLOOKUP(A174,Lookup!$A$2:$F1000,6,FALSE),"")</f>
        <v/>
      </c>
      <c r="D174" s="9"/>
      <c r="E174" s="9"/>
      <c r="F174" s="9"/>
      <c r="G174" s="9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9"/>
      <c r="B175" s="9"/>
      <c r="C175" s="9" t="str">
        <f>if(len(A175)&gt;0, VLOOKUP(A175,Lookup!$A$2:$F1000,6,FALSE),"")</f>
        <v/>
      </c>
      <c r="D175" s="9"/>
      <c r="E175" s="9"/>
      <c r="F175" s="9"/>
      <c r="G175" s="9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9"/>
      <c r="B176" s="9"/>
      <c r="C176" s="9" t="str">
        <f>if(len(A176)&gt;0, VLOOKUP(A176,Lookup!$A$2:$F1000,6,FALSE),"")</f>
        <v/>
      </c>
      <c r="D176" s="9"/>
      <c r="E176" s="9"/>
      <c r="F176" s="9"/>
      <c r="G176" s="9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9"/>
      <c r="B177" s="9"/>
      <c r="C177" s="9" t="str">
        <f>if(len(A177)&gt;0, VLOOKUP(A177,Lookup!$A$2:$F1000,6,FALSE),"")</f>
        <v/>
      </c>
      <c r="D177" s="9"/>
      <c r="E177" s="9"/>
      <c r="F177" s="9"/>
      <c r="G177" s="9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9"/>
      <c r="B178" s="9"/>
      <c r="C178" s="9" t="str">
        <f>if(len(A178)&gt;0, VLOOKUP(A178,Lookup!$A$2:$F1000,6,FALSE),"")</f>
        <v/>
      </c>
      <c r="D178" s="9"/>
      <c r="E178" s="9"/>
      <c r="F178" s="9"/>
      <c r="G178" s="9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9"/>
      <c r="B179" s="9"/>
      <c r="C179" s="9" t="str">
        <f>if(len(A179)&gt;0, VLOOKUP(A179,Lookup!$A$2:$F1000,6,FALSE),"")</f>
        <v/>
      </c>
      <c r="D179" s="9"/>
      <c r="E179" s="9"/>
      <c r="F179" s="9"/>
      <c r="G179" s="9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9"/>
      <c r="B180" s="9"/>
      <c r="C180" s="9" t="str">
        <f>if(len(A180)&gt;0, VLOOKUP(A180,Lookup!$A$2:$F1000,6,FALSE),"")</f>
        <v/>
      </c>
      <c r="D180" s="9"/>
      <c r="E180" s="9"/>
      <c r="F180" s="9"/>
      <c r="G180" s="9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9"/>
      <c r="B181" s="9"/>
      <c r="C181" s="9" t="str">
        <f>if(len(A181)&gt;0, VLOOKUP(A181,Lookup!$A$2:$F1000,6,FALSE),"")</f>
        <v/>
      </c>
      <c r="D181" s="9"/>
      <c r="E181" s="9"/>
      <c r="F181" s="9"/>
      <c r="G181" s="9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9"/>
      <c r="B182" s="9"/>
      <c r="C182" s="9" t="str">
        <f>if(len(A182)&gt;0, VLOOKUP(A182,Lookup!$A$2:$F1000,6,FALSE),"")</f>
        <v/>
      </c>
      <c r="D182" s="9"/>
      <c r="E182" s="9"/>
      <c r="F182" s="9"/>
      <c r="G182" s="9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9"/>
      <c r="B183" s="9"/>
      <c r="C183" s="9" t="str">
        <f>if(len(A183)&gt;0, VLOOKUP(A183,Lookup!$A$2:$F1000,6,FALSE),"")</f>
        <v/>
      </c>
      <c r="D183" s="9"/>
      <c r="E183" s="9"/>
      <c r="F183" s="9"/>
      <c r="G183" s="9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9"/>
      <c r="B184" s="9"/>
      <c r="C184" s="9" t="str">
        <f>if(len(A184)&gt;0, VLOOKUP(A184,Lookup!$A$2:$F1000,6,FALSE),"")</f>
        <v/>
      </c>
      <c r="D184" s="9"/>
      <c r="E184" s="9"/>
      <c r="F184" s="9"/>
      <c r="G184" s="9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9"/>
      <c r="B185" s="9"/>
      <c r="C185" s="9" t="str">
        <f>if(len(A185)&gt;0, VLOOKUP(A185,Lookup!$A$2:$F1000,6,FALSE),"")</f>
        <v/>
      </c>
      <c r="D185" s="9"/>
      <c r="E185" s="9"/>
      <c r="F185" s="9"/>
      <c r="G185" s="9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9"/>
      <c r="B186" s="9"/>
      <c r="C186" s="9" t="str">
        <f>if(len(A186)&gt;0, VLOOKUP(A186,Lookup!$A$2:$F1000,6,FALSE),"")</f>
        <v/>
      </c>
      <c r="D186" s="9"/>
      <c r="E186" s="9"/>
      <c r="F186" s="9"/>
      <c r="G186" s="9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9"/>
      <c r="B187" s="9"/>
      <c r="C187" s="9" t="str">
        <f>if(len(A187)&gt;0, VLOOKUP(A187,Lookup!$A$2:$F1000,6,FALSE),"")</f>
        <v/>
      </c>
      <c r="D187" s="9"/>
      <c r="E187" s="9"/>
      <c r="F187" s="9"/>
      <c r="G187" s="9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9"/>
      <c r="B188" s="9"/>
      <c r="C188" s="9" t="str">
        <f>if(len(A188)&gt;0, VLOOKUP(A188,Lookup!$A$2:$F1000,6,FALSE),"")</f>
        <v/>
      </c>
      <c r="D188" s="9"/>
      <c r="E188" s="9"/>
      <c r="F188" s="9"/>
      <c r="G188" s="9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9"/>
      <c r="B189" s="9"/>
      <c r="C189" s="9" t="str">
        <f>if(len(A189)&gt;0, VLOOKUP(A189,Lookup!$A$2:$F1000,6,FALSE),"")</f>
        <v/>
      </c>
      <c r="D189" s="9"/>
      <c r="E189" s="9"/>
      <c r="F189" s="9"/>
      <c r="G189" s="9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9"/>
      <c r="B190" s="9"/>
      <c r="C190" s="9" t="str">
        <f>if(len(A190)&gt;0, VLOOKUP(A190,Lookup!$A$2:$F1000,6,FALSE),"")</f>
        <v/>
      </c>
      <c r="D190" s="9"/>
      <c r="E190" s="9"/>
      <c r="F190" s="9"/>
      <c r="G190" s="9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9"/>
      <c r="B191" s="9"/>
      <c r="C191" s="9" t="str">
        <f>if(len(A191)&gt;0, VLOOKUP(A191,Lookup!$A$2:$F1000,6,FALSE),"")</f>
        <v/>
      </c>
      <c r="D191" s="9"/>
      <c r="E191" s="9"/>
      <c r="F191" s="9"/>
      <c r="G191" s="9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9"/>
      <c r="B192" s="9"/>
      <c r="C192" s="9" t="str">
        <f>if(len(A192)&gt;0, VLOOKUP(A192,Lookup!$A$2:$F1000,6,FALSE),"")</f>
        <v/>
      </c>
      <c r="D192" s="9"/>
      <c r="E192" s="9"/>
      <c r="F192" s="9"/>
      <c r="G192" s="9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9"/>
      <c r="B193" s="9"/>
      <c r="C193" s="9" t="str">
        <f>if(len(A193)&gt;0, VLOOKUP(A193,Lookup!$A$2:$F1000,6,FALSE),"")</f>
        <v/>
      </c>
      <c r="D193" s="9"/>
      <c r="E193" s="9"/>
      <c r="F193" s="9"/>
      <c r="G193" s="9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9"/>
      <c r="B194" s="9"/>
      <c r="C194" s="9" t="str">
        <f>if(len(A194)&gt;0, VLOOKUP(A194,Lookup!$A$2:$F1000,6,FALSE),"")</f>
        <v/>
      </c>
      <c r="D194" s="9"/>
      <c r="E194" s="9"/>
      <c r="F194" s="9"/>
      <c r="G194" s="9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9"/>
      <c r="B195" s="9"/>
      <c r="C195" s="9" t="str">
        <f>if(len(A195)&gt;0, VLOOKUP(A195,Lookup!$A$2:$F1000,6,FALSE),"")</f>
        <v/>
      </c>
      <c r="D195" s="9"/>
      <c r="E195" s="9"/>
      <c r="F195" s="9"/>
      <c r="G195" s="9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9"/>
      <c r="B196" s="9"/>
      <c r="C196" s="9" t="str">
        <f>if(len(A196)&gt;0, VLOOKUP(A196,Lookup!$A$2:$F1000,6,FALSE),"")</f>
        <v/>
      </c>
      <c r="D196" s="9"/>
      <c r="E196" s="9"/>
      <c r="F196" s="9"/>
      <c r="G196" s="9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9"/>
      <c r="B197" s="9"/>
      <c r="C197" s="9" t="str">
        <f>if(len(A197)&gt;0, VLOOKUP(A197,Lookup!$A$2:$F1000,6,FALSE),"")</f>
        <v/>
      </c>
      <c r="D197" s="9"/>
      <c r="E197" s="9"/>
      <c r="F197" s="9"/>
      <c r="G197" s="9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9"/>
      <c r="B198" s="9"/>
      <c r="C198" s="9" t="str">
        <f>if(len(A198)&gt;0, VLOOKUP(A198,Lookup!$A$2:$F1000,6,FALSE),"")</f>
        <v/>
      </c>
      <c r="D198" s="9"/>
      <c r="E198" s="9"/>
      <c r="F198" s="9"/>
      <c r="G198" s="9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9"/>
      <c r="B199" s="9"/>
      <c r="C199" s="9" t="str">
        <f>if(len(A199)&gt;0, VLOOKUP(A199,Lookup!$A$2:$F1000,6,FALSE),"")</f>
        <v/>
      </c>
      <c r="D199" s="9"/>
      <c r="E199" s="9"/>
      <c r="F199" s="9"/>
      <c r="G199" s="9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9"/>
      <c r="B200" s="9"/>
      <c r="C200" s="9" t="str">
        <f>if(len(A200)&gt;0, VLOOKUP(A200,Lookup!$A$2:$F1000,6,FALSE),"")</f>
        <v/>
      </c>
      <c r="D200" s="9"/>
      <c r="E200" s="9"/>
      <c r="F200" s="9"/>
      <c r="G200" s="9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9"/>
      <c r="B201" s="9"/>
      <c r="C201" s="9" t="str">
        <f>if(len(A201)&gt;0, VLOOKUP(A201,Lookup!$A$2:$F1000,6,FALSE),"")</f>
        <v/>
      </c>
      <c r="D201" s="9"/>
      <c r="E201" s="9"/>
      <c r="F201" s="9"/>
      <c r="G201" s="9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9"/>
      <c r="B202" s="9"/>
      <c r="C202" s="9" t="str">
        <f>if(len(A202)&gt;0, VLOOKUP(A202,Lookup!$A$2:$F1000,6,FALSE),"")</f>
        <v/>
      </c>
      <c r="D202" s="9"/>
      <c r="E202" s="9"/>
      <c r="F202" s="9"/>
      <c r="G202" s="9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9"/>
      <c r="B203" s="9"/>
      <c r="C203" s="9" t="str">
        <f>if(len(A203)&gt;0, VLOOKUP(A203,Lookup!$A$2:$F1000,6,FALSE),"")</f>
        <v/>
      </c>
      <c r="D203" s="9"/>
      <c r="E203" s="9"/>
      <c r="F203" s="9"/>
      <c r="G203" s="9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9"/>
      <c r="B204" s="9"/>
      <c r="C204" s="9" t="str">
        <f>if(len(A204)&gt;0, VLOOKUP(A204,Lookup!$A$2:$F1000,6,FALSE),"")</f>
        <v/>
      </c>
      <c r="D204" s="9"/>
      <c r="E204" s="9"/>
      <c r="F204" s="9"/>
      <c r="G204" s="9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9"/>
      <c r="B205" s="9"/>
      <c r="C205" s="9" t="str">
        <f>if(len(A205)&gt;0, VLOOKUP(A205,Lookup!$A$2:$F1000,6,FALSE),"")</f>
        <v/>
      </c>
      <c r="D205" s="9"/>
      <c r="E205" s="9"/>
      <c r="F205" s="9"/>
      <c r="G205" s="9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9"/>
      <c r="B206" s="9"/>
      <c r="C206" s="9" t="str">
        <f>if(len(A206)&gt;0, VLOOKUP(A206,Lookup!$A$2:$F1000,6,FALSE),"")</f>
        <v/>
      </c>
      <c r="D206" s="9"/>
      <c r="E206" s="9"/>
      <c r="F206" s="9"/>
      <c r="G206" s="9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9"/>
      <c r="B207" s="9"/>
      <c r="C207" s="9" t="str">
        <f>if(len(A207)&gt;0, VLOOKUP(A207,Lookup!$A$2:$F1000,6,FALSE),"")</f>
        <v/>
      </c>
      <c r="D207" s="9"/>
      <c r="E207" s="9"/>
      <c r="F207" s="9"/>
      <c r="G207" s="9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9"/>
      <c r="B208" s="9"/>
      <c r="C208" s="9" t="str">
        <f>if(len(A208)&gt;0, VLOOKUP(A208,Lookup!$A$2:$F1000,6,FALSE),"")</f>
        <v/>
      </c>
      <c r="D208" s="9"/>
      <c r="E208" s="9"/>
      <c r="F208" s="9"/>
      <c r="G208" s="9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9"/>
      <c r="B209" s="9"/>
      <c r="C209" s="9" t="str">
        <f>if(len(A209)&gt;0, VLOOKUP(A209,Lookup!$A$2:$F1000,6,FALSE),"")</f>
        <v/>
      </c>
      <c r="D209" s="9"/>
      <c r="E209" s="9"/>
      <c r="F209" s="9"/>
      <c r="G209" s="9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9"/>
      <c r="B210" s="9"/>
      <c r="C210" s="9" t="str">
        <f>if(len(A210)&gt;0, VLOOKUP(A210,Lookup!$A$2:$F1000,6,FALSE),"")</f>
        <v/>
      </c>
      <c r="D210" s="9"/>
      <c r="E210" s="9"/>
      <c r="F210" s="9"/>
      <c r="G210" s="9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9"/>
      <c r="B211" s="9"/>
      <c r="C211" s="9" t="str">
        <f>if(len(A211)&gt;0, VLOOKUP(A211,Lookup!$A$2:$F1000,6,FALSE),"")</f>
        <v/>
      </c>
      <c r="D211" s="9"/>
      <c r="E211" s="9"/>
      <c r="F211" s="9"/>
      <c r="G211" s="9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9"/>
      <c r="B212" s="9"/>
      <c r="C212" s="9" t="str">
        <f>if(len(A212)&gt;0, VLOOKUP(A212,Lookup!$A$2:$F1000,6,FALSE),"")</f>
        <v/>
      </c>
      <c r="D212" s="9"/>
      <c r="E212" s="9"/>
      <c r="F212" s="9"/>
      <c r="G212" s="9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9"/>
      <c r="B213" s="9"/>
      <c r="C213" s="9" t="str">
        <f>if(len(A213)&gt;0, VLOOKUP(A213,Lookup!$A$2:$F1000,6,FALSE),"")</f>
        <v/>
      </c>
      <c r="D213" s="9"/>
      <c r="E213" s="9"/>
      <c r="F213" s="9"/>
      <c r="G213" s="9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9"/>
      <c r="B214" s="9"/>
      <c r="C214" s="9" t="str">
        <f>if(len(A214)&gt;0, VLOOKUP(A214,Lookup!$A$2:$F1000,6,FALSE),"")</f>
        <v/>
      </c>
      <c r="D214" s="9"/>
      <c r="E214" s="9"/>
      <c r="F214" s="9"/>
      <c r="G214" s="9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9"/>
      <c r="B215" s="9"/>
      <c r="C215" s="9" t="str">
        <f>if(len(A215)&gt;0, VLOOKUP(A215,Lookup!$A$2:$F1000,6,FALSE),"")</f>
        <v/>
      </c>
      <c r="D215" s="9"/>
      <c r="E215" s="9"/>
      <c r="F215" s="9"/>
      <c r="G215" s="9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9"/>
      <c r="B216" s="9"/>
      <c r="C216" s="9" t="str">
        <f>if(len(A216)&gt;0, VLOOKUP(A216,Lookup!$A$2:$F1000,6,FALSE),"")</f>
        <v/>
      </c>
      <c r="D216" s="9"/>
      <c r="E216" s="9"/>
      <c r="F216" s="9"/>
      <c r="G216" s="9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9"/>
      <c r="B217" s="9"/>
      <c r="C217" s="9" t="str">
        <f>if(len(A217)&gt;0, VLOOKUP(A217,Lookup!$A$2:$F1000,6,FALSE),"")</f>
        <v/>
      </c>
      <c r="D217" s="9"/>
      <c r="E217" s="9"/>
      <c r="F217" s="9"/>
      <c r="G217" s="9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9"/>
      <c r="B218" s="9"/>
      <c r="C218" s="9" t="str">
        <f>if(len(A218)&gt;0, VLOOKUP(A218,Lookup!$A$2:$F1000,6,FALSE),"")</f>
        <v/>
      </c>
      <c r="D218" s="9"/>
      <c r="E218" s="9"/>
      <c r="F218" s="9"/>
      <c r="G218" s="9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9"/>
      <c r="B219" s="9"/>
      <c r="C219" s="9" t="str">
        <f>if(len(A219)&gt;0, VLOOKUP(A219,Lookup!$A$2:$F1000,6,FALSE),"")</f>
        <v/>
      </c>
      <c r="D219" s="9"/>
      <c r="E219" s="9"/>
      <c r="F219" s="9"/>
      <c r="G219" s="9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9"/>
      <c r="B220" s="9"/>
      <c r="C220" s="9" t="str">
        <f>if(len(A220)&gt;0, VLOOKUP(A220,Lookup!$A$2:$F1000,6,FALSE),"")</f>
        <v/>
      </c>
      <c r="D220" s="9"/>
      <c r="E220" s="9"/>
      <c r="F220" s="9"/>
      <c r="G220" s="9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9"/>
      <c r="B221" s="9"/>
      <c r="C221" s="9" t="str">
        <f>if(len(A221)&gt;0, VLOOKUP(A221,Lookup!$A$2:$F1000,6,FALSE),"")</f>
        <v/>
      </c>
      <c r="D221" s="9"/>
      <c r="E221" s="9"/>
      <c r="F221" s="9"/>
      <c r="G221" s="9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9"/>
      <c r="B222" s="9"/>
      <c r="C222" s="9" t="str">
        <f>if(len(A222)&gt;0, VLOOKUP(A222,Lookup!$A$2:$F1000,6,FALSE),"")</f>
        <v/>
      </c>
      <c r="D222" s="9"/>
      <c r="E222" s="9"/>
      <c r="F222" s="9"/>
      <c r="G222" s="9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9"/>
      <c r="B223" s="9"/>
      <c r="C223" s="9" t="str">
        <f>if(len(A223)&gt;0, VLOOKUP(A223,Lookup!$A$2:$F1000,6,FALSE),"")</f>
        <v/>
      </c>
      <c r="D223" s="9"/>
      <c r="E223" s="9"/>
      <c r="F223" s="9"/>
      <c r="G223" s="9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9"/>
      <c r="B224" s="9"/>
      <c r="C224" s="9" t="str">
        <f>if(len(A224)&gt;0, VLOOKUP(A224,Lookup!$A$2:$F1000,6,FALSE),"")</f>
        <v/>
      </c>
      <c r="D224" s="9"/>
      <c r="E224" s="9"/>
      <c r="F224" s="9"/>
      <c r="G224" s="9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9"/>
      <c r="B225" s="9"/>
      <c r="C225" s="9" t="str">
        <f>if(len(A225)&gt;0, VLOOKUP(A225,Lookup!$A$2:$F1000,6,FALSE),"")</f>
        <v/>
      </c>
      <c r="D225" s="9"/>
      <c r="E225" s="9"/>
      <c r="F225" s="9"/>
      <c r="G225" s="9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9"/>
      <c r="B226" s="9"/>
      <c r="C226" s="9" t="str">
        <f>if(len(A226)&gt;0, VLOOKUP(A226,Lookup!$A$2:$F1000,6,FALSE),"")</f>
        <v/>
      </c>
      <c r="D226" s="9"/>
      <c r="E226" s="9"/>
      <c r="F226" s="9"/>
      <c r="G226" s="9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9"/>
      <c r="B227" s="9"/>
      <c r="C227" s="9" t="str">
        <f>if(len(A227)&gt;0, VLOOKUP(A227,Lookup!$A$2:$F1000,6,FALSE),"")</f>
        <v/>
      </c>
      <c r="D227" s="9"/>
      <c r="E227" s="9"/>
      <c r="F227" s="9"/>
      <c r="G227" s="9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9"/>
      <c r="B228" s="9"/>
      <c r="C228" s="9" t="str">
        <f>if(len(A228)&gt;0, VLOOKUP(A228,Lookup!$A$2:$F1000,6,FALSE),"")</f>
        <v/>
      </c>
      <c r="D228" s="9"/>
      <c r="E228" s="9"/>
      <c r="F228" s="9"/>
      <c r="G228" s="9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9"/>
      <c r="B229" s="9"/>
      <c r="C229" s="9" t="str">
        <f>if(len(A229)&gt;0, VLOOKUP(A229,Lookup!$A$2:$F1000,6,FALSE),"")</f>
        <v/>
      </c>
      <c r="D229" s="9"/>
      <c r="E229" s="9"/>
      <c r="F229" s="9"/>
      <c r="G229" s="9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9"/>
      <c r="B230" s="9"/>
      <c r="C230" s="9" t="str">
        <f>if(len(A230)&gt;0, VLOOKUP(A230,Lookup!$A$2:$F1000,6,FALSE),"")</f>
        <v/>
      </c>
      <c r="D230" s="9"/>
      <c r="E230" s="9"/>
      <c r="F230" s="9"/>
      <c r="G230" s="9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9"/>
      <c r="B231" s="9"/>
      <c r="C231" s="9" t="str">
        <f>if(len(A231)&gt;0, VLOOKUP(A231,Lookup!$A$2:$F1000,6,FALSE),"")</f>
        <v/>
      </c>
      <c r="D231" s="9"/>
      <c r="E231" s="9"/>
      <c r="F231" s="9"/>
      <c r="G231" s="9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9"/>
      <c r="B232" s="9"/>
      <c r="C232" s="9" t="str">
        <f>if(len(A232)&gt;0, VLOOKUP(A232,Lookup!$A$2:$F1000,6,FALSE),"")</f>
        <v/>
      </c>
      <c r="D232" s="9"/>
      <c r="E232" s="9"/>
      <c r="F232" s="9"/>
      <c r="G232" s="9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9"/>
      <c r="B233" s="9"/>
      <c r="C233" s="9" t="str">
        <f>if(len(A233)&gt;0, VLOOKUP(A233,Lookup!$A$2:$F1000,6,FALSE),"")</f>
        <v/>
      </c>
      <c r="D233" s="9"/>
      <c r="E233" s="9"/>
      <c r="F233" s="9"/>
      <c r="G233" s="9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9"/>
      <c r="B234" s="9"/>
      <c r="C234" s="9" t="str">
        <f>if(len(A234)&gt;0, VLOOKUP(A234,Lookup!$A$2:$F1000,6,FALSE),"")</f>
        <v/>
      </c>
      <c r="D234" s="9"/>
      <c r="E234" s="9"/>
      <c r="F234" s="9"/>
      <c r="G234" s="9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9"/>
      <c r="B235" s="9"/>
      <c r="C235" s="9" t="str">
        <f>if(len(A235)&gt;0, VLOOKUP(A235,Lookup!$A$2:$F1000,6,FALSE),"")</f>
        <v/>
      </c>
      <c r="D235" s="9"/>
      <c r="E235" s="9"/>
      <c r="F235" s="9"/>
      <c r="G235" s="9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9"/>
      <c r="B236" s="9"/>
      <c r="C236" s="9" t="str">
        <f>if(len(A236)&gt;0, VLOOKUP(A236,Lookup!$A$2:$F1000,6,FALSE),"")</f>
        <v/>
      </c>
      <c r="D236" s="9"/>
      <c r="E236" s="9"/>
      <c r="F236" s="9"/>
      <c r="G236" s="9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9"/>
      <c r="B237" s="9"/>
      <c r="C237" s="9" t="str">
        <f>if(len(A237)&gt;0, VLOOKUP(A237,Lookup!$A$2:$F1000,6,FALSE),"")</f>
        <v/>
      </c>
      <c r="D237" s="9"/>
      <c r="E237" s="9"/>
      <c r="F237" s="9"/>
      <c r="G237" s="9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9"/>
      <c r="B238" s="9"/>
      <c r="C238" s="9" t="str">
        <f>if(len(A238)&gt;0, VLOOKUP(A238,Lookup!$A$2:$F1000,6,FALSE),"")</f>
        <v/>
      </c>
      <c r="D238" s="9"/>
      <c r="E238" s="9"/>
      <c r="F238" s="9"/>
      <c r="G238" s="9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9"/>
      <c r="B239" s="9"/>
      <c r="C239" s="9" t="str">
        <f>if(len(A239)&gt;0, VLOOKUP(A239,Lookup!$A$2:$F1000,6,FALSE),"")</f>
        <v/>
      </c>
      <c r="D239" s="9"/>
      <c r="E239" s="9"/>
      <c r="F239" s="9"/>
      <c r="G239" s="9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9"/>
      <c r="B240" s="9"/>
      <c r="C240" s="9" t="str">
        <f>if(len(A240)&gt;0, VLOOKUP(A240,Lookup!$A$2:$F1000,6,FALSE),"")</f>
        <v/>
      </c>
      <c r="D240" s="9"/>
      <c r="E240" s="9"/>
      <c r="F240" s="9"/>
      <c r="G240" s="9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9"/>
      <c r="B241" s="9"/>
      <c r="C241" s="9" t="str">
        <f>if(len(A241)&gt;0, VLOOKUP(A241,Lookup!$A$2:$F1000,6,FALSE),"")</f>
        <v/>
      </c>
      <c r="D241" s="9"/>
      <c r="E241" s="9"/>
      <c r="F241" s="9"/>
      <c r="G241" s="9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9"/>
      <c r="B242" s="9"/>
      <c r="C242" s="9" t="str">
        <f>if(len(A242)&gt;0, VLOOKUP(A242,Lookup!$A$2:$F1000,6,FALSE),"")</f>
        <v/>
      </c>
      <c r="D242" s="9"/>
      <c r="E242" s="9"/>
      <c r="F242" s="9"/>
      <c r="G242" s="9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9"/>
      <c r="B243" s="9"/>
      <c r="C243" s="9" t="str">
        <f>if(len(A243)&gt;0, VLOOKUP(A243,Lookup!$A$2:$F1000,6,FALSE),"")</f>
        <v/>
      </c>
      <c r="D243" s="9"/>
      <c r="E243" s="9"/>
      <c r="F243" s="9"/>
      <c r="G243" s="9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9"/>
      <c r="B244" s="9"/>
      <c r="C244" s="9" t="str">
        <f>if(len(A244)&gt;0, VLOOKUP(A244,Lookup!$A$2:$F1000,6,FALSE),"")</f>
        <v/>
      </c>
      <c r="D244" s="9"/>
      <c r="E244" s="9"/>
      <c r="F244" s="9"/>
      <c r="G244" s="9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9"/>
      <c r="B245" s="9"/>
      <c r="C245" s="9" t="str">
        <f>if(len(A245)&gt;0, VLOOKUP(A245,Lookup!$A$2:$F1000,6,FALSE),"")</f>
        <v/>
      </c>
      <c r="D245" s="9"/>
      <c r="E245" s="9"/>
      <c r="F245" s="9"/>
      <c r="G245" s="9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9"/>
      <c r="B246" s="9"/>
      <c r="C246" s="9" t="str">
        <f>if(len(A246)&gt;0, VLOOKUP(A246,Lookup!$A$2:$F1000,6,FALSE),"")</f>
        <v/>
      </c>
      <c r="D246" s="9"/>
      <c r="E246" s="9"/>
      <c r="F246" s="9"/>
      <c r="G246" s="9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9"/>
      <c r="B247" s="9"/>
      <c r="C247" s="9" t="str">
        <f>if(len(A247)&gt;0, VLOOKUP(A247,Lookup!$A$2:$F1000,6,FALSE),"")</f>
        <v/>
      </c>
      <c r="D247" s="9"/>
      <c r="E247" s="9"/>
      <c r="F247" s="9"/>
      <c r="G247" s="9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9"/>
      <c r="B248" s="9"/>
      <c r="C248" s="9" t="str">
        <f>if(len(A248)&gt;0, VLOOKUP(A248,Lookup!$A$2:$F1000,6,FALSE),"")</f>
        <v/>
      </c>
      <c r="D248" s="9"/>
      <c r="E248" s="9"/>
      <c r="F248" s="9"/>
      <c r="G248" s="9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9"/>
      <c r="B249" s="9"/>
      <c r="C249" s="9" t="str">
        <f>if(len(A249)&gt;0, VLOOKUP(A249,Lookup!$A$2:$F1000,6,FALSE),"")</f>
        <v/>
      </c>
      <c r="D249" s="9"/>
      <c r="E249" s="9"/>
      <c r="F249" s="9"/>
      <c r="G249" s="9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9"/>
      <c r="B250" s="9"/>
      <c r="C250" s="9" t="str">
        <f>if(len(A250)&gt;0, VLOOKUP(A250,Lookup!$A$2:$F1000,6,FALSE),"")</f>
        <v/>
      </c>
      <c r="D250" s="9"/>
      <c r="E250" s="9"/>
      <c r="F250" s="9"/>
      <c r="G250" s="9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9"/>
      <c r="B251" s="9"/>
      <c r="C251" s="9" t="str">
        <f>if(len(A251)&gt;0, VLOOKUP(A251,Lookup!$A$2:$F1000,6,FALSE),"")</f>
        <v/>
      </c>
      <c r="D251" s="9"/>
      <c r="E251" s="9"/>
      <c r="F251" s="9"/>
      <c r="G251" s="9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9"/>
      <c r="B252" s="9"/>
      <c r="C252" s="9" t="str">
        <f>if(len(A252)&gt;0, VLOOKUP(A252,Lookup!$A$2:$F1000,6,FALSE),"")</f>
        <v/>
      </c>
      <c r="D252" s="9"/>
      <c r="E252" s="9"/>
      <c r="F252" s="9"/>
      <c r="G252" s="9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9"/>
      <c r="B253" s="9"/>
      <c r="C253" s="9" t="str">
        <f>if(len(A253)&gt;0, VLOOKUP(A253,Lookup!$A$2:$F1000,6,FALSE),"")</f>
        <v/>
      </c>
      <c r="D253" s="9"/>
      <c r="E253" s="9"/>
      <c r="F253" s="9"/>
      <c r="G253" s="9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9"/>
      <c r="B254" s="9"/>
      <c r="C254" s="9" t="str">
        <f>if(len(A254)&gt;0, VLOOKUP(A254,Lookup!$A$2:$F1000,6,FALSE),"")</f>
        <v/>
      </c>
      <c r="D254" s="9"/>
      <c r="E254" s="9"/>
      <c r="F254" s="9"/>
      <c r="G254" s="9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9"/>
      <c r="B255" s="9"/>
      <c r="C255" s="9" t="str">
        <f>if(len(A255)&gt;0, VLOOKUP(A255,Lookup!$A$2:$F1000,6,FALSE),"")</f>
        <v/>
      </c>
      <c r="D255" s="9"/>
      <c r="E255" s="9"/>
      <c r="F255" s="9"/>
      <c r="G255" s="9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9"/>
      <c r="B256" s="9"/>
      <c r="C256" s="9" t="str">
        <f>if(len(A256)&gt;0, VLOOKUP(A256,Lookup!$A$2:$F1000,6,FALSE),"")</f>
        <v/>
      </c>
      <c r="D256" s="9"/>
      <c r="E256" s="9"/>
      <c r="F256" s="9"/>
      <c r="G256" s="9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9"/>
      <c r="B257" s="9"/>
      <c r="C257" s="9" t="str">
        <f>if(len(A257)&gt;0, VLOOKUP(A257,Lookup!$A$2:$F1000,6,FALSE),"")</f>
        <v/>
      </c>
      <c r="D257" s="9"/>
      <c r="E257" s="9"/>
      <c r="F257" s="9"/>
      <c r="G257" s="9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9"/>
      <c r="B258" s="9"/>
      <c r="C258" s="9" t="str">
        <f>if(len(A258)&gt;0, VLOOKUP(A258,Lookup!$A$2:$F1000,6,FALSE),"")</f>
        <v/>
      </c>
      <c r="D258" s="9"/>
      <c r="E258" s="9"/>
      <c r="F258" s="9"/>
      <c r="G258" s="9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9"/>
      <c r="B259" s="9"/>
      <c r="C259" s="9" t="str">
        <f>if(len(A259)&gt;0, VLOOKUP(A259,Lookup!$A$2:$F1000,6,FALSE),"")</f>
        <v/>
      </c>
      <c r="D259" s="9"/>
      <c r="E259" s="9"/>
      <c r="F259" s="9"/>
      <c r="G259" s="9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9"/>
      <c r="B260" s="9"/>
      <c r="C260" s="9" t="str">
        <f>if(len(A260)&gt;0, VLOOKUP(A260,Lookup!$A$2:$F1000,6,FALSE),"")</f>
        <v/>
      </c>
      <c r="D260" s="9"/>
      <c r="E260" s="9"/>
      <c r="F260" s="9"/>
      <c r="G260" s="9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9"/>
      <c r="B261" s="9"/>
      <c r="C261" s="9" t="str">
        <f>if(len(A261)&gt;0, VLOOKUP(A261,Lookup!$A$2:$F1000,6,FALSE),"")</f>
        <v/>
      </c>
      <c r="D261" s="9"/>
      <c r="E261" s="9"/>
      <c r="F261" s="9"/>
      <c r="G261" s="9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9"/>
      <c r="B262" s="9"/>
      <c r="C262" s="9" t="str">
        <f>if(len(A262)&gt;0, VLOOKUP(A262,Lookup!$A$2:$F1000,6,FALSE),"")</f>
        <v/>
      </c>
      <c r="D262" s="9"/>
      <c r="E262" s="9"/>
      <c r="F262" s="9"/>
      <c r="G262" s="9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9"/>
      <c r="B263" s="9"/>
      <c r="C263" s="9" t="str">
        <f>if(len(A263)&gt;0, VLOOKUP(A263,Lookup!$A$2:$F1000,6,FALSE),"")</f>
        <v/>
      </c>
      <c r="D263" s="9"/>
      <c r="E263" s="9"/>
      <c r="F263" s="9"/>
      <c r="G263" s="9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9"/>
      <c r="B264" s="9"/>
      <c r="C264" s="9" t="str">
        <f>if(len(A264)&gt;0, VLOOKUP(A264,Lookup!$A$2:$F1000,6,FALSE),"")</f>
        <v/>
      </c>
      <c r="D264" s="9"/>
      <c r="E264" s="9"/>
      <c r="F264" s="9"/>
      <c r="G264" s="9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9"/>
      <c r="B265" s="9"/>
      <c r="C265" s="9" t="str">
        <f>if(len(A265)&gt;0, VLOOKUP(A265,Lookup!$A$2:$F1000,6,FALSE),"")</f>
        <v/>
      </c>
      <c r="D265" s="9"/>
      <c r="E265" s="9"/>
      <c r="F265" s="9"/>
      <c r="G265" s="9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9"/>
      <c r="B266" s="9"/>
      <c r="C266" s="9" t="str">
        <f>if(len(A266)&gt;0, VLOOKUP(A266,Lookup!$A$2:$F1000,6,FALSE),"")</f>
        <v/>
      </c>
      <c r="D266" s="9"/>
      <c r="E266" s="9"/>
      <c r="F266" s="9"/>
      <c r="G266" s="9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9"/>
      <c r="B267" s="9"/>
      <c r="C267" s="9" t="str">
        <f>if(len(A267)&gt;0, VLOOKUP(A267,Lookup!$A$2:$F1000,6,FALSE),"")</f>
        <v/>
      </c>
      <c r="D267" s="9"/>
      <c r="E267" s="9"/>
      <c r="F267" s="9"/>
      <c r="G267" s="9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9"/>
      <c r="B268" s="9"/>
      <c r="C268" s="9" t="str">
        <f>if(len(A268)&gt;0, VLOOKUP(A268,Lookup!$A$2:$F1000,6,FALSE),"")</f>
        <v/>
      </c>
      <c r="D268" s="9"/>
      <c r="E268" s="9"/>
      <c r="F268" s="9"/>
      <c r="G268" s="9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9"/>
      <c r="B269" s="9"/>
      <c r="C269" s="9" t="str">
        <f>if(len(A269)&gt;0, VLOOKUP(A269,Lookup!$A$2:$F1000,6,FALSE),"")</f>
        <v/>
      </c>
      <c r="D269" s="9"/>
      <c r="E269" s="9"/>
      <c r="F269" s="9"/>
      <c r="G269" s="9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9"/>
      <c r="B270" s="9"/>
      <c r="C270" s="9" t="str">
        <f>if(len(A270)&gt;0, VLOOKUP(A270,Lookup!$A$2:$F1000,6,FALSE),"")</f>
        <v/>
      </c>
      <c r="D270" s="9"/>
      <c r="E270" s="9"/>
      <c r="F270" s="9"/>
      <c r="G270" s="9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9"/>
      <c r="B271" s="9"/>
      <c r="C271" s="9" t="str">
        <f>if(len(A271)&gt;0, VLOOKUP(A271,Lookup!$A$2:$F1000,6,FALSE),"")</f>
        <v/>
      </c>
      <c r="D271" s="9"/>
      <c r="E271" s="9"/>
      <c r="F271" s="9"/>
      <c r="G271" s="9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9"/>
      <c r="B272" s="9"/>
      <c r="C272" s="9" t="str">
        <f>if(len(A272)&gt;0, VLOOKUP(A272,Lookup!$A$2:$F1000,6,FALSE),"")</f>
        <v/>
      </c>
      <c r="D272" s="9"/>
      <c r="E272" s="9"/>
      <c r="F272" s="9"/>
      <c r="G272" s="9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9"/>
      <c r="B273" s="9"/>
      <c r="C273" s="9" t="str">
        <f>if(len(A273)&gt;0, VLOOKUP(A273,Lookup!$A$2:$F1000,6,FALSE),"")</f>
        <v/>
      </c>
      <c r="D273" s="9"/>
      <c r="E273" s="9"/>
      <c r="F273" s="9"/>
      <c r="G273" s="9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9"/>
      <c r="B274" s="9"/>
      <c r="C274" s="9" t="str">
        <f>if(len(A274)&gt;0, VLOOKUP(A274,Lookup!$A$2:$F1000,6,FALSE),"")</f>
        <v/>
      </c>
      <c r="D274" s="9"/>
      <c r="E274" s="9"/>
      <c r="F274" s="9"/>
      <c r="G274" s="9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9"/>
      <c r="B275" s="9"/>
      <c r="C275" s="9" t="str">
        <f>if(len(A275)&gt;0, VLOOKUP(A275,Lookup!$A$2:$F1000,6,FALSE),"")</f>
        <v/>
      </c>
      <c r="D275" s="9"/>
      <c r="E275" s="9"/>
      <c r="F275" s="9"/>
      <c r="G275" s="9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9"/>
      <c r="B276" s="9"/>
      <c r="C276" s="9" t="str">
        <f>if(len(A276)&gt;0, VLOOKUP(A276,Lookup!$A$2:$F1000,6,FALSE),"")</f>
        <v/>
      </c>
      <c r="D276" s="9"/>
      <c r="E276" s="9"/>
      <c r="F276" s="9"/>
      <c r="G276" s="9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9"/>
      <c r="B277" s="9"/>
      <c r="C277" s="9" t="str">
        <f>if(len(A277)&gt;0, VLOOKUP(A277,Lookup!$A$2:$F1000,6,FALSE),"")</f>
        <v/>
      </c>
      <c r="D277" s="9"/>
      <c r="E277" s="9"/>
      <c r="F277" s="9"/>
      <c r="G277" s="9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9"/>
      <c r="B278" s="9"/>
      <c r="C278" s="9" t="str">
        <f>if(len(A278)&gt;0, VLOOKUP(A278,Lookup!$A$2:$F1000,6,FALSE),"")</f>
        <v/>
      </c>
      <c r="D278" s="9"/>
      <c r="E278" s="9"/>
      <c r="F278" s="9"/>
      <c r="G278" s="9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9"/>
      <c r="B279" s="9"/>
      <c r="C279" s="9" t="str">
        <f>if(len(A279)&gt;0, VLOOKUP(A279,Lookup!$A$2:$F1000,6,FALSE),"")</f>
        <v/>
      </c>
      <c r="D279" s="9"/>
      <c r="E279" s="9"/>
      <c r="F279" s="9"/>
      <c r="G279" s="9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9"/>
      <c r="B280" s="9"/>
      <c r="C280" s="9" t="str">
        <f>if(len(A280)&gt;0, VLOOKUP(A280,Lookup!$A$2:$F1000,6,FALSE),"")</f>
        <v/>
      </c>
      <c r="D280" s="9"/>
      <c r="E280" s="9"/>
      <c r="F280" s="9"/>
      <c r="G280" s="9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9"/>
      <c r="B281" s="9"/>
      <c r="C281" s="9" t="str">
        <f>if(len(A281)&gt;0, VLOOKUP(A281,Lookup!$A$2:$F1000,6,FALSE),"")</f>
        <v/>
      </c>
      <c r="D281" s="9"/>
      <c r="E281" s="9"/>
      <c r="F281" s="9"/>
      <c r="G281" s="9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9"/>
      <c r="B282" s="9"/>
      <c r="C282" s="9" t="str">
        <f>if(len(A282)&gt;0, VLOOKUP(A282,Lookup!$A$2:$F1000,6,FALSE),"")</f>
        <v/>
      </c>
      <c r="D282" s="9"/>
      <c r="E282" s="9"/>
      <c r="F282" s="9"/>
      <c r="G282" s="9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9"/>
      <c r="B283" s="9"/>
      <c r="C283" s="9" t="str">
        <f>if(len(A283)&gt;0, VLOOKUP(A283,Lookup!$A$2:$F1000,6,FALSE),"")</f>
        <v/>
      </c>
      <c r="D283" s="9"/>
      <c r="E283" s="9"/>
      <c r="F283" s="9"/>
      <c r="G283" s="9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9"/>
      <c r="B284" s="9"/>
      <c r="C284" s="9" t="str">
        <f>if(len(A284)&gt;0, VLOOKUP(A284,Lookup!$A$2:$F1000,6,FALSE),"")</f>
        <v/>
      </c>
      <c r="D284" s="9"/>
      <c r="E284" s="9"/>
      <c r="F284" s="9"/>
      <c r="G284" s="9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9"/>
      <c r="B285" s="9"/>
      <c r="C285" s="9" t="str">
        <f>if(len(A285)&gt;0, VLOOKUP(A285,Lookup!$A$2:$F1000,6,FALSE),"")</f>
        <v/>
      </c>
      <c r="D285" s="9"/>
      <c r="E285" s="9"/>
      <c r="F285" s="9"/>
      <c r="G285" s="9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9"/>
      <c r="B286" s="9"/>
      <c r="C286" s="9" t="str">
        <f>if(len(A286)&gt;0, VLOOKUP(A286,Lookup!$A$2:$F1000,6,FALSE),"")</f>
        <v/>
      </c>
      <c r="D286" s="9"/>
      <c r="E286" s="9"/>
      <c r="F286" s="9"/>
      <c r="G286" s="9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9"/>
      <c r="B287" s="9"/>
      <c r="C287" s="9" t="str">
        <f>if(len(A287)&gt;0, VLOOKUP(A287,Lookup!$A$2:$F1000,6,FALSE),"")</f>
        <v/>
      </c>
      <c r="D287" s="9"/>
      <c r="E287" s="9"/>
      <c r="F287" s="9"/>
      <c r="G287" s="9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9"/>
      <c r="B288" s="9"/>
      <c r="C288" s="9" t="str">
        <f>if(len(A288)&gt;0, VLOOKUP(A288,Lookup!$A$2:$F1000,6,FALSE),"")</f>
        <v/>
      </c>
      <c r="D288" s="9"/>
      <c r="E288" s="9"/>
      <c r="F288" s="9"/>
      <c r="G288" s="9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9"/>
      <c r="B289" s="9"/>
      <c r="C289" s="9" t="str">
        <f>if(len(A289)&gt;0, VLOOKUP(A289,Lookup!$A$2:$F1000,6,FALSE),"")</f>
        <v/>
      </c>
      <c r="D289" s="9"/>
      <c r="E289" s="9"/>
      <c r="F289" s="9"/>
      <c r="G289" s="9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9"/>
      <c r="B290" s="9"/>
      <c r="C290" s="9" t="str">
        <f>if(len(A290)&gt;0, VLOOKUP(A290,Lookup!$A$2:$F1000,6,FALSE),"")</f>
        <v/>
      </c>
      <c r="D290" s="9"/>
      <c r="E290" s="9"/>
      <c r="F290" s="9"/>
      <c r="G290" s="9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9"/>
      <c r="B291" s="9"/>
      <c r="C291" s="9" t="str">
        <f>if(len(A291)&gt;0, VLOOKUP(A291,Lookup!$A$2:$F1000,6,FALSE),"")</f>
        <v/>
      </c>
      <c r="D291" s="9"/>
      <c r="E291" s="9"/>
      <c r="F291" s="9"/>
      <c r="G291" s="9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9"/>
      <c r="B292" s="9"/>
      <c r="C292" s="9" t="str">
        <f>if(len(A292)&gt;0, VLOOKUP(A292,Lookup!$A$2:$F1000,6,FALSE),"")</f>
        <v/>
      </c>
      <c r="D292" s="9"/>
      <c r="E292" s="9"/>
      <c r="F292" s="9"/>
      <c r="G292" s="9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9"/>
      <c r="B293" s="9"/>
      <c r="C293" s="9" t="str">
        <f>if(len(A293)&gt;0, VLOOKUP(A293,Lookup!$A$2:$F1000,6,FALSE),"")</f>
        <v/>
      </c>
      <c r="D293" s="9"/>
      <c r="E293" s="9"/>
      <c r="F293" s="9"/>
      <c r="G293" s="9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9"/>
      <c r="B294" s="9"/>
      <c r="C294" s="9" t="str">
        <f>if(len(A294)&gt;0, VLOOKUP(A294,Lookup!$A$2:$F1000,6,FALSE),"")</f>
        <v/>
      </c>
      <c r="D294" s="9"/>
      <c r="E294" s="9"/>
      <c r="F294" s="9"/>
      <c r="G294" s="9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9"/>
      <c r="B295" s="9"/>
      <c r="C295" s="9" t="str">
        <f>if(len(A295)&gt;0, VLOOKUP(A295,Lookup!$A$2:$F1000,6,FALSE),"")</f>
        <v/>
      </c>
      <c r="D295" s="9"/>
      <c r="E295" s="9"/>
      <c r="F295" s="9"/>
      <c r="G295" s="9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9"/>
      <c r="B296" s="9"/>
      <c r="C296" s="9" t="str">
        <f>if(len(A296)&gt;0, VLOOKUP(A296,Lookup!$A$2:$F1000,6,FALSE),"")</f>
        <v/>
      </c>
      <c r="D296" s="9"/>
      <c r="E296" s="9"/>
      <c r="F296" s="9"/>
      <c r="G296" s="9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9"/>
      <c r="B297" s="9"/>
      <c r="C297" s="9" t="str">
        <f>if(len(A297)&gt;0, VLOOKUP(A297,Lookup!$A$2:$F1000,6,FALSE),"")</f>
        <v/>
      </c>
      <c r="D297" s="9"/>
      <c r="E297" s="9"/>
      <c r="F297" s="9"/>
      <c r="G297" s="9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9"/>
      <c r="B298" s="9"/>
      <c r="C298" s="9" t="str">
        <f>if(len(A298)&gt;0, VLOOKUP(A298,Lookup!$A$2:$F1000,6,FALSE),"")</f>
        <v/>
      </c>
      <c r="D298" s="9"/>
      <c r="E298" s="9"/>
      <c r="F298" s="9"/>
      <c r="G298" s="9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9"/>
      <c r="B299" s="9"/>
      <c r="C299" s="9" t="str">
        <f>if(len(A299)&gt;0, VLOOKUP(A299,Lookup!$A$2:$F1000,6,FALSE),"")</f>
        <v/>
      </c>
      <c r="D299" s="9"/>
      <c r="E299" s="9"/>
      <c r="F299" s="9"/>
      <c r="G299" s="9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9"/>
      <c r="B300" s="9"/>
      <c r="C300" s="9" t="str">
        <f>if(len(A300)&gt;0, VLOOKUP(A300,Lookup!$A$2:$F1000,6,FALSE),"")</f>
        <v/>
      </c>
      <c r="D300" s="9"/>
      <c r="E300" s="9"/>
      <c r="F300" s="9"/>
      <c r="G300" s="9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9"/>
      <c r="B301" s="9"/>
      <c r="C301" s="9" t="str">
        <f>if(len(A301)&gt;0, VLOOKUP(A301,Lookup!$A$2:$F1000,6,FALSE),"")</f>
        <v/>
      </c>
      <c r="D301" s="9"/>
      <c r="E301" s="9"/>
      <c r="F301" s="9"/>
      <c r="G301" s="9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9"/>
      <c r="B302" s="9"/>
      <c r="C302" s="9" t="str">
        <f>if(len(A302)&gt;0, VLOOKUP(A302,Lookup!$A$2:$F1000,6,FALSE),"")</f>
        <v/>
      </c>
      <c r="D302" s="9"/>
      <c r="E302" s="9"/>
      <c r="F302" s="9"/>
      <c r="G302" s="9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9"/>
      <c r="B303" s="9"/>
      <c r="C303" s="9" t="str">
        <f>if(len(A303)&gt;0, VLOOKUP(A303,Lookup!$A$2:$F1000,6,FALSE),"")</f>
        <v/>
      </c>
      <c r="D303" s="9"/>
      <c r="E303" s="9"/>
      <c r="F303" s="9"/>
      <c r="G303" s="9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9"/>
      <c r="B304" s="9"/>
      <c r="C304" s="9" t="str">
        <f>if(len(A304)&gt;0, VLOOKUP(A304,Lookup!$A$2:$F1000,6,FALSE),"")</f>
        <v/>
      </c>
      <c r="D304" s="9"/>
      <c r="E304" s="9"/>
      <c r="F304" s="9"/>
      <c r="G304" s="9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9"/>
      <c r="B305" s="9"/>
      <c r="C305" s="9" t="str">
        <f>if(len(A305)&gt;0, VLOOKUP(A305,Lookup!$A$2:$F1000,6,FALSE),"")</f>
        <v/>
      </c>
      <c r="D305" s="9"/>
      <c r="E305" s="9"/>
      <c r="F305" s="9"/>
      <c r="G305" s="9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9"/>
      <c r="B306" s="9"/>
      <c r="C306" s="9" t="str">
        <f>if(len(A306)&gt;0, VLOOKUP(A306,Lookup!$A$2:$F1000,6,FALSE),"")</f>
        <v/>
      </c>
      <c r="D306" s="9"/>
      <c r="E306" s="9"/>
      <c r="F306" s="9"/>
      <c r="G306" s="9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9"/>
      <c r="B307" s="9"/>
      <c r="C307" s="9" t="str">
        <f>if(len(A307)&gt;0, VLOOKUP(A307,Lookup!$A$2:$F1000,6,FALSE),"")</f>
        <v/>
      </c>
      <c r="D307" s="9"/>
      <c r="E307" s="9"/>
      <c r="F307" s="9"/>
      <c r="G307" s="9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9"/>
      <c r="B308" s="9"/>
      <c r="C308" s="9" t="str">
        <f>if(len(A308)&gt;0, VLOOKUP(A308,Lookup!$A$2:$F1000,6,FALSE),"")</f>
        <v/>
      </c>
      <c r="D308" s="9"/>
      <c r="E308" s="9"/>
      <c r="F308" s="9"/>
      <c r="G308" s="9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9"/>
      <c r="B309" s="9"/>
      <c r="C309" s="9" t="str">
        <f>if(len(A309)&gt;0, VLOOKUP(A309,Lookup!$A$2:$F1000,6,FALSE),"")</f>
        <v/>
      </c>
      <c r="D309" s="9"/>
      <c r="E309" s="9"/>
      <c r="F309" s="9"/>
      <c r="G309" s="9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9"/>
      <c r="B310" s="9"/>
      <c r="C310" s="9" t="str">
        <f>if(len(A310)&gt;0, VLOOKUP(A310,Lookup!$A$2:$F1000,6,FALSE),"")</f>
        <v/>
      </c>
      <c r="D310" s="9"/>
      <c r="E310" s="9"/>
      <c r="F310" s="9"/>
      <c r="G310" s="9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9"/>
      <c r="B311" s="9"/>
      <c r="C311" s="9" t="str">
        <f>if(len(A311)&gt;0, VLOOKUP(A311,Lookup!$A$2:$F1000,6,FALSE),"")</f>
        <v/>
      </c>
      <c r="D311" s="9"/>
      <c r="E311" s="9"/>
      <c r="F311" s="9"/>
      <c r="G311" s="9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9"/>
      <c r="B312" s="9"/>
      <c r="C312" s="9" t="str">
        <f>if(len(A312)&gt;0, VLOOKUP(A312,Lookup!$A$2:$F1000,6,FALSE),"")</f>
        <v/>
      </c>
      <c r="D312" s="9"/>
      <c r="E312" s="9"/>
      <c r="F312" s="9"/>
      <c r="G312" s="9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9"/>
      <c r="B313" s="9"/>
      <c r="C313" s="9" t="str">
        <f>if(len(A313)&gt;0, VLOOKUP(A313,Lookup!$A$2:$F1000,6,FALSE),"")</f>
        <v/>
      </c>
      <c r="D313" s="9"/>
      <c r="E313" s="9"/>
      <c r="F313" s="9"/>
      <c r="G313" s="9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9"/>
      <c r="B314" s="9"/>
      <c r="C314" s="9" t="str">
        <f>if(len(A314)&gt;0, VLOOKUP(A314,Lookup!$A$2:$F1000,6,FALSE),"")</f>
        <v/>
      </c>
      <c r="D314" s="9"/>
      <c r="E314" s="9"/>
      <c r="F314" s="9"/>
      <c r="G314" s="9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9"/>
      <c r="B315" s="9"/>
      <c r="C315" s="9" t="str">
        <f>if(len(A315)&gt;0, VLOOKUP(A315,Lookup!$A$2:$F1000,6,FALSE),"")</f>
        <v/>
      </c>
      <c r="D315" s="9"/>
      <c r="E315" s="9"/>
      <c r="F315" s="9"/>
      <c r="G315" s="9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9"/>
      <c r="B316" s="9"/>
      <c r="C316" s="9" t="str">
        <f>if(len(A316)&gt;0, VLOOKUP(A316,Lookup!$A$2:$F1000,6,FALSE),"")</f>
        <v/>
      </c>
      <c r="D316" s="9"/>
      <c r="E316" s="9"/>
      <c r="F316" s="9"/>
      <c r="G316" s="9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9"/>
      <c r="B317" s="9"/>
      <c r="C317" s="9" t="str">
        <f>if(len(A317)&gt;0, VLOOKUP(A317,Lookup!$A$2:$F1000,6,FALSE),"")</f>
        <v/>
      </c>
      <c r="D317" s="9"/>
      <c r="E317" s="9"/>
      <c r="F317" s="9"/>
      <c r="G317" s="9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9"/>
      <c r="B318" s="9"/>
      <c r="C318" s="9" t="str">
        <f>if(len(A318)&gt;0, VLOOKUP(A318,Lookup!$A$2:$F1000,6,FALSE),"")</f>
        <v/>
      </c>
      <c r="D318" s="9"/>
      <c r="E318" s="9"/>
      <c r="F318" s="9"/>
      <c r="G318" s="9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9"/>
      <c r="B319" s="9"/>
      <c r="C319" s="9" t="str">
        <f>if(len(A319)&gt;0, VLOOKUP(A319,Lookup!$A$2:$F1000,6,FALSE),"")</f>
        <v/>
      </c>
      <c r="D319" s="9"/>
      <c r="E319" s="9"/>
      <c r="F319" s="9"/>
      <c r="G319" s="9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9"/>
      <c r="B320" s="9"/>
      <c r="C320" s="9" t="str">
        <f>if(len(A320)&gt;0, VLOOKUP(A320,Lookup!$A$2:$F1000,6,FALSE),"")</f>
        <v/>
      </c>
      <c r="D320" s="9"/>
      <c r="E320" s="9"/>
      <c r="F320" s="9"/>
      <c r="G320" s="9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9"/>
      <c r="B321" s="9"/>
      <c r="C321" s="9" t="str">
        <f>if(len(A321)&gt;0, VLOOKUP(A321,Lookup!$A$2:$F1000,6,FALSE),"")</f>
        <v/>
      </c>
      <c r="D321" s="9"/>
      <c r="E321" s="9"/>
      <c r="F321" s="9"/>
      <c r="G321" s="9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9"/>
      <c r="B322" s="9"/>
      <c r="C322" s="9" t="str">
        <f>if(len(A322)&gt;0, VLOOKUP(A322,Lookup!$A$2:$F1000,6,FALSE),"")</f>
        <v/>
      </c>
      <c r="D322" s="9"/>
      <c r="E322" s="9"/>
      <c r="F322" s="9"/>
      <c r="G322" s="9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9"/>
      <c r="B323" s="9"/>
      <c r="C323" s="9" t="str">
        <f>if(len(A323)&gt;0, VLOOKUP(A323,Lookup!$A$2:$F1000,6,FALSE),"")</f>
        <v/>
      </c>
      <c r="D323" s="9"/>
      <c r="E323" s="9"/>
      <c r="F323" s="9"/>
      <c r="G323" s="9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9"/>
      <c r="B324" s="9"/>
      <c r="C324" s="9" t="str">
        <f>if(len(A324)&gt;0, VLOOKUP(A324,Lookup!$A$2:$F1000,6,FALSE),"")</f>
        <v/>
      </c>
      <c r="D324" s="9"/>
      <c r="E324" s="9"/>
      <c r="F324" s="9"/>
      <c r="G324" s="9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9"/>
      <c r="B325" s="9"/>
      <c r="C325" s="9" t="str">
        <f>if(len(A325)&gt;0, VLOOKUP(A325,Lookup!$A$2:$F1000,6,FALSE),"")</f>
        <v/>
      </c>
      <c r="D325" s="9"/>
      <c r="E325" s="9"/>
      <c r="F325" s="9"/>
      <c r="G325" s="9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9"/>
      <c r="B326" s="9"/>
      <c r="C326" s="9" t="str">
        <f>if(len(A326)&gt;0, VLOOKUP(A326,Lookup!$A$2:$F1000,6,FALSE),"")</f>
        <v/>
      </c>
      <c r="D326" s="9"/>
      <c r="E326" s="9"/>
      <c r="F326" s="9"/>
      <c r="G326" s="9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9"/>
      <c r="B327" s="9"/>
      <c r="C327" s="9" t="str">
        <f>if(len(A327)&gt;0, VLOOKUP(A327,Lookup!$A$2:$F1000,6,FALSE),"")</f>
        <v/>
      </c>
      <c r="D327" s="9"/>
      <c r="E327" s="9"/>
      <c r="F327" s="9"/>
      <c r="G327" s="9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9"/>
      <c r="B328" s="9"/>
      <c r="C328" s="9" t="str">
        <f>if(len(A328)&gt;0, VLOOKUP(A328,Lookup!$A$2:$F1000,6,FALSE),"")</f>
        <v/>
      </c>
      <c r="D328" s="9"/>
      <c r="E328" s="9"/>
      <c r="F328" s="9"/>
      <c r="G328" s="9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9"/>
      <c r="B329" s="9"/>
      <c r="C329" s="9" t="str">
        <f>if(len(A329)&gt;0, VLOOKUP(A329,Lookup!$A$2:$F1000,6,FALSE),"")</f>
        <v/>
      </c>
      <c r="D329" s="9"/>
      <c r="E329" s="9"/>
      <c r="F329" s="9"/>
      <c r="G329" s="9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9"/>
      <c r="B330" s="9"/>
      <c r="C330" s="9" t="str">
        <f>if(len(A330)&gt;0, VLOOKUP(A330,Lookup!$A$2:$F1000,6,FALSE),"")</f>
        <v/>
      </c>
      <c r="D330" s="9"/>
      <c r="E330" s="9"/>
      <c r="F330" s="9"/>
      <c r="G330" s="9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9"/>
      <c r="B331" s="9"/>
      <c r="C331" s="9" t="str">
        <f>if(len(A331)&gt;0, VLOOKUP(A331,Lookup!$A$2:$F1000,6,FALSE),"")</f>
        <v/>
      </c>
      <c r="D331" s="9"/>
      <c r="E331" s="9"/>
      <c r="F331" s="9"/>
      <c r="G331" s="9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9"/>
      <c r="B332" s="9"/>
      <c r="C332" s="9" t="str">
        <f>if(len(A332)&gt;0, VLOOKUP(A332,Lookup!$A$2:$F1000,6,FALSE),"")</f>
        <v/>
      </c>
      <c r="D332" s="9"/>
      <c r="E332" s="9"/>
      <c r="F332" s="9"/>
      <c r="G332" s="9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9"/>
      <c r="B333" s="9"/>
      <c r="C333" s="9" t="str">
        <f>if(len(A333)&gt;0, VLOOKUP(A333,Lookup!$A$2:$F1000,6,FALSE),"")</f>
        <v/>
      </c>
      <c r="D333" s="9"/>
      <c r="E333" s="9"/>
      <c r="F333" s="9"/>
      <c r="G333" s="9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9"/>
      <c r="B334" s="9"/>
      <c r="C334" s="9" t="str">
        <f>if(len(A334)&gt;0, VLOOKUP(A334,Lookup!$A$2:$F1000,6,FALSE),"")</f>
        <v/>
      </c>
      <c r="D334" s="9"/>
      <c r="E334" s="9"/>
      <c r="F334" s="9"/>
      <c r="G334" s="9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9"/>
      <c r="B335" s="9"/>
      <c r="C335" s="9" t="str">
        <f>if(len(A335)&gt;0, VLOOKUP(A335,Lookup!$A$2:$F1000,6,FALSE),"")</f>
        <v/>
      </c>
      <c r="D335" s="9"/>
      <c r="E335" s="9"/>
      <c r="F335" s="9"/>
      <c r="G335" s="9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9"/>
      <c r="B336" s="9"/>
      <c r="C336" s="9" t="str">
        <f>if(len(A336)&gt;0, VLOOKUP(A336,Lookup!$A$2:$F1000,6,FALSE),"")</f>
        <v/>
      </c>
      <c r="D336" s="9"/>
      <c r="E336" s="9"/>
      <c r="F336" s="9"/>
      <c r="G336" s="9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9"/>
      <c r="B337" s="9"/>
      <c r="C337" s="9" t="str">
        <f>if(len(A337)&gt;0, VLOOKUP(A337,Lookup!$A$2:$F1000,6,FALSE),"")</f>
        <v/>
      </c>
      <c r="D337" s="9"/>
      <c r="E337" s="9"/>
      <c r="F337" s="9"/>
      <c r="G337" s="9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9"/>
      <c r="B338" s="9"/>
      <c r="C338" s="9" t="str">
        <f>if(len(A338)&gt;0, VLOOKUP(A338,Lookup!$A$2:$F1000,6,FALSE),"")</f>
        <v/>
      </c>
      <c r="D338" s="9"/>
      <c r="E338" s="9"/>
      <c r="F338" s="9"/>
      <c r="G338" s="9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9"/>
      <c r="B339" s="9"/>
      <c r="C339" s="9" t="str">
        <f>if(len(A339)&gt;0, VLOOKUP(A339,Lookup!$A$2:$F1000,6,FALSE),"")</f>
        <v/>
      </c>
      <c r="D339" s="9"/>
      <c r="E339" s="9"/>
      <c r="F339" s="9"/>
      <c r="G339" s="9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9"/>
      <c r="B340" s="9"/>
      <c r="C340" s="9" t="str">
        <f>if(len(A340)&gt;0, VLOOKUP(A340,Lookup!$A$2:$F1000,6,FALSE),"")</f>
        <v/>
      </c>
      <c r="D340" s="9"/>
      <c r="E340" s="9"/>
      <c r="F340" s="9"/>
      <c r="G340" s="9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9"/>
      <c r="B341" s="9"/>
      <c r="C341" s="9" t="str">
        <f>if(len(A341)&gt;0, VLOOKUP(A341,Lookup!$A$2:$F1000,6,FALSE),"")</f>
        <v/>
      </c>
      <c r="D341" s="9"/>
      <c r="E341" s="9"/>
      <c r="F341" s="9"/>
      <c r="G341" s="9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9"/>
      <c r="B342" s="9"/>
      <c r="C342" s="9" t="str">
        <f>if(len(A342)&gt;0, VLOOKUP(A342,Lookup!$A$2:$F1000,6,FALSE),"")</f>
        <v/>
      </c>
      <c r="D342" s="9"/>
      <c r="E342" s="9"/>
      <c r="F342" s="9"/>
      <c r="G342" s="9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9"/>
      <c r="B343" s="9"/>
      <c r="C343" s="9" t="str">
        <f>if(len(A343)&gt;0, VLOOKUP(A343,Lookup!$A$2:$F1000,6,FALSE),"")</f>
        <v/>
      </c>
      <c r="D343" s="9"/>
      <c r="E343" s="9"/>
      <c r="F343" s="9"/>
      <c r="G343" s="9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9"/>
      <c r="B344" s="9"/>
      <c r="C344" s="9" t="str">
        <f>if(len(A344)&gt;0, VLOOKUP(A344,Lookup!$A$2:$F1000,6,FALSE),"")</f>
        <v/>
      </c>
      <c r="D344" s="9"/>
      <c r="E344" s="9"/>
      <c r="F344" s="9"/>
      <c r="G344" s="9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9"/>
      <c r="B345" s="9"/>
      <c r="C345" s="9" t="str">
        <f>if(len(A345)&gt;0, VLOOKUP(A345,Lookup!$A$2:$F1000,6,FALSE),"")</f>
        <v/>
      </c>
      <c r="D345" s="9"/>
      <c r="E345" s="9"/>
      <c r="F345" s="9"/>
      <c r="G345" s="9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9"/>
      <c r="B346" s="9"/>
      <c r="C346" s="9" t="str">
        <f>if(len(A346)&gt;0, VLOOKUP(A346,Lookup!$A$2:$F1000,6,FALSE),"")</f>
        <v/>
      </c>
      <c r="D346" s="9"/>
      <c r="E346" s="9"/>
      <c r="F346" s="9"/>
      <c r="G346" s="9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9"/>
      <c r="B347" s="9"/>
      <c r="C347" s="9" t="str">
        <f>if(len(A347)&gt;0, VLOOKUP(A347,Lookup!$A$2:$F1000,6,FALSE),"")</f>
        <v/>
      </c>
      <c r="D347" s="9"/>
      <c r="E347" s="9"/>
      <c r="F347" s="9"/>
      <c r="G347" s="9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9"/>
      <c r="B348" s="9"/>
      <c r="C348" s="9" t="str">
        <f>if(len(A348)&gt;0, VLOOKUP(A348,Lookup!$A$2:$F1000,6,FALSE),"")</f>
        <v/>
      </c>
      <c r="D348" s="9"/>
      <c r="E348" s="9"/>
      <c r="F348" s="9"/>
      <c r="G348" s="9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9"/>
      <c r="B349" s="9"/>
      <c r="C349" s="9" t="str">
        <f>if(len(A349)&gt;0, VLOOKUP(A349,Lookup!$A$2:$F1000,6,FALSE),"")</f>
        <v/>
      </c>
      <c r="D349" s="9"/>
      <c r="E349" s="9"/>
      <c r="F349" s="9"/>
      <c r="G349" s="9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9"/>
      <c r="B350" s="9"/>
      <c r="C350" s="9" t="str">
        <f>if(len(A350)&gt;0, VLOOKUP(A350,Lookup!$A$2:$F1000,6,FALSE),"")</f>
        <v/>
      </c>
      <c r="D350" s="9"/>
      <c r="E350" s="9"/>
      <c r="F350" s="9"/>
      <c r="G350" s="9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9"/>
      <c r="B351" s="9"/>
      <c r="C351" s="9" t="str">
        <f>if(len(A351)&gt;0, VLOOKUP(A351,Lookup!$A$2:$F1000,6,FALSE),"")</f>
        <v/>
      </c>
      <c r="D351" s="9"/>
      <c r="E351" s="9"/>
      <c r="F351" s="9"/>
      <c r="G351" s="9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9"/>
      <c r="B352" s="9"/>
      <c r="C352" s="9" t="str">
        <f>if(len(A352)&gt;0, VLOOKUP(A352,Lookup!$A$2:$F1000,6,FALSE),"")</f>
        <v/>
      </c>
      <c r="D352" s="9"/>
      <c r="E352" s="9"/>
      <c r="F352" s="9"/>
      <c r="G352" s="9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9"/>
      <c r="B353" s="9"/>
      <c r="C353" s="9" t="str">
        <f>if(len(A353)&gt;0, VLOOKUP(A353,Lookup!$A$2:$F1000,6,FALSE),"")</f>
        <v/>
      </c>
      <c r="D353" s="9"/>
      <c r="E353" s="9"/>
      <c r="F353" s="9"/>
      <c r="G353" s="9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9"/>
      <c r="B354" s="9"/>
      <c r="C354" s="9" t="str">
        <f>if(len(A354)&gt;0, VLOOKUP(A354,Lookup!$A$2:$F1000,6,FALSE),"")</f>
        <v/>
      </c>
      <c r="D354" s="9"/>
      <c r="E354" s="9"/>
      <c r="F354" s="9"/>
      <c r="G354" s="9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9"/>
      <c r="B355" s="9"/>
      <c r="C355" s="9" t="str">
        <f>if(len(A355)&gt;0, VLOOKUP(A355,Lookup!$A$2:$F1000,6,FALSE),"")</f>
        <v/>
      </c>
      <c r="D355" s="9"/>
      <c r="E355" s="9"/>
      <c r="F355" s="9"/>
      <c r="G355" s="9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9"/>
      <c r="B356" s="9"/>
      <c r="C356" s="9" t="str">
        <f>if(len(A356)&gt;0, VLOOKUP(A356,Lookup!$A$2:$F1000,6,FALSE),"")</f>
        <v/>
      </c>
      <c r="D356" s="9"/>
      <c r="E356" s="9"/>
      <c r="F356" s="9"/>
      <c r="G356" s="9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9"/>
      <c r="B357" s="9"/>
      <c r="C357" s="9" t="str">
        <f>if(len(A357)&gt;0, VLOOKUP(A357,Lookup!$A$2:$F1000,6,FALSE),"")</f>
        <v/>
      </c>
      <c r="D357" s="9"/>
      <c r="E357" s="9"/>
      <c r="F357" s="9"/>
      <c r="G357" s="9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9"/>
      <c r="B358" s="9"/>
      <c r="C358" s="9" t="str">
        <f>if(len(A358)&gt;0, VLOOKUP(A358,Lookup!$A$2:$F1000,6,FALSE),"")</f>
        <v/>
      </c>
      <c r="D358" s="9"/>
      <c r="E358" s="9"/>
      <c r="F358" s="9"/>
      <c r="G358" s="9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9"/>
      <c r="B359" s="9"/>
      <c r="C359" s="9" t="str">
        <f>if(len(A359)&gt;0, VLOOKUP(A359,Lookup!$A$2:$F1000,6,FALSE),"")</f>
        <v/>
      </c>
      <c r="D359" s="9"/>
      <c r="E359" s="9"/>
      <c r="F359" s="9"/>
      <c r="G359" s="9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9"/>
      <c r="B360" s="9"/>
      <c r="C360" s="9" t="str">
        <f>if(len(A360)&gt;0, VLOOKUP(A360,Lookup!$A$2:$F1000,6,FALSE),"")</f>
        <v/>
      </c>
      <c r="D360" s="9"/>
      <c r="E360" s="9"/>
      <c r="F360" s="9"/>
      <c r="G360" s="9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9"/>
      <c r="B361" s="9"/>
      <c r="C361" s="9" t="str">
        <f>if(len(A361)&gt;0, VLOOKUP(A361,Lookup!$A$2:$F1000,6,FALSE),"")</f>
        <v/>
      </c>
      <c r="D361" s="9"/>
      <c r="E361" s="9"/>
      <c r="F361" s="9"/>
      <c r="G361" s="9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9"/>
      <c r="B362" s="9"/>
      <c r="C362" s="9" t="str">
        <f>if(len(A362)&gt;0, VLOOKUP(A362,Lookup!$A$2:$F1000,6,FALSE),"")</f>
        <v/>
      </c>
      <c r="D362" s="9"/>
      <c r="E362" s="9"/>
      <c r="F362" s="9"/>
      <c r="G362" s="9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9"/>
      <c r="B363" s="9"/>
      <c r="C363" s="9" t="str">
        <f>if(len(A363)&gt;0, VLOOKUP(A363,Lookup!$A$2:$F1000,6,FALSE),"")</f>
        <v/>
      </c>
      <c r="D363" s="9"/>
      <c r="E363" s="9"/>
      <c r="F363" s="9"/>
      <c r="G363" s="9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9"/>
      <c r="B364" s="9"/>
      <c r="C364" s="9" t="str">
        <f>if(len(A364)&gt;0, VLOOKUP(A364,Lookup!$A$2:$F1000,6,FALSE),"")</f>
        <v/>
      </c>
      <c r="D364" s="9"/>
      <c r="E364" s="9"/>
      <c r="F364" s="9"/>
      <c r="G364" s="9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9"/>
      <c r="B365" s="9"/>
      <c r="C365" s="9" t="str">
        <f>if(len(A365)&gt;0, VLOOKUP(A365,Lookup!$A$2:$F1000,6,FALSE),"")</f>
        <v/>
      </c>
      <c r="D365" s="9"/>
      <c r="E365" s="9"/>
      <c r="F365" s="9"/>
      <c r="G365" s="9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9"/>
      <c r="B366" s="9"/>
      <c r="C366" s="9" t="str">
        <f>if(len(A366)&gt;0, VLOOKUP(A366,Lookup!$A$2:$F1000,6,FALSE),"")</f>
        <v/>
      </c>
      <c r="D366" s="9"/>
      <c r="E366" s="9"/>
      <c r="F366" s="9"/>
      <c r="G366" s="9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9"/>
      <c r="B367" s="9"/>
      <c r="C367" s="9" t="str">
        <f>if(len(A367)&gt;0, VLOOKUP(A367,Lookup!$A$2:$F1000,6,FALSE),"")</f>
        <v/>
      </c>
      <c r="D367" s="9"/>
      <c r="E367" s="9"/>
      <c r="F367" s="9"/>
      <c r="G367" s="9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9"/>
      <c r="B368" s="9"/>
      <c r="C368" s="9" t="str">
        <f>if(len(A368)&gt;0, VLOOKUP(A368,Lookup!$A$2:$F1000,6,FALSE),"")</f>
        <v/>
      </c>
      <c r="D368" s="9"/>
      <c r="E368" s="9"/>
      <c r="F368" s="9"/>
      <c r="G368" s="9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9"/>
      <c r="B369" s="9"/>
      <c r="C369" s="9" t="str">
        <f>if(len(A369)&gt;0, VLOOKUP(A369,Lookup!$A$2:$F1000,6,FALSE),"")</f>
        <v/>
      </c>
      <c r="D369" s="9"/>
      <c r="E369" s="9"/>
      <c r="F369" s="9"/>
      <c r="G369" s="9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9"/>
      <c r="B370" s="9"/>
      <c r="C370" s="9" t="str">
        <f>if(len(A370)&gt;0, VLOOKUP(A370,Lookup!$A$2:$F1000,6,FALSE),"")</f>
        <v/>
      </c>
      <c r="D370" s="9"/>
      <c r="E370" s="9"/>
      <c r="F370" s="9"/>
      <c r="G370" s="9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9"/>
      <c r="B371" s="9"/>
      <c r="C371" s="9" t="str">
        <f>if(len(A371)&gt;0, VLOOKUP(A371,Lookup!$A$2:$F1000,6,FALSE),"")</f>
        <v/>
      </c>
      <c r="D371" s="9"/>
      <c r="E371" s="9"/>
      <c r="F371" s="9"/>
      <c r="G371" s="9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9"/>
      <c r="B372" s="9"/>
      <c r="C372" s="9" t="str">
        <f>if(len(A372)&gt;0, VLOOKUP(A372,Lookup!$A$2:$F1000,6,FALSE),"")</f>
        <v/>
      </c>
      <c r="D372" s="9"/>
      <c r="E372" s="9"/>
      <c r="F372" s="9"/>
      <c r="G372" s="9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9"/>
      <c r="B373" s="9"/>
      <c r="C373" s="9" t="str">
        <f>if(len(A373)&gt;0, VLOOKUP(A373,Lookup!$A$2:$F1000,6,FALSE),"")</f>
        <v/>
      </c>
      <c r="D373" s="9"/>
      <c r="E373" s="9"/>
      <c r="F373" s="9"/>
      <c r="G373" s="9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9"/>
      <c r="B374" s="9"/>
      <c r="C374" s="9" t="str">
        <f>if(len(A374)&gt;0, VLOOKUP(A374,Lookup!$A$2:$F1000,6,FALSE),"")</f>
        <v/>
      </c>
      <c r="D374" s="9"/>
      <c r="E374" s="9"/>
      <c r="F374" s="9"/>
      <c r="G374" s="9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9"/>
      <c r="B375" s="9"/>
      <c r="C375" s="9" t="str">
        <f>if(len(A375)&gt;0, VLOOKUP(A375,Lookup!$A$2:$F1000,6,FALSE),"")</f>
        <v/>
      </c>
      <c r="D375" s="9"/>
      <c r="E375" s="9"/>
      <c r="F375" s="9"/>
      <c r="G375" s="9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9"/>
      <c r="B376" s="9"/>
      <c r="C376" s="9" t="str">
        <f>if(len(A376)&gt;0, VLOOKUP(A376,Lookup!$A$2:$F1000,6,FALSE),"")</f>
        <v/>
      </c>
      <c r="D376" s="9"/>
      <c r="E376" s="9"/>
      <c r="F376" s="9"/>
      <c r="G376" s="9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9"/>
      <c r="B377" s="9"/>
      <c r="C377" s="9" t="str">
        <f>if(len(A377)&gt;0, VLOOKUP(A377,Lookup!$A$2:$F1000,6,FALSE),"")</f>
        <v/>
      </c>
      <c r="D377" s="9"/>
      <c r="E377" s="9"/>
      <c r="F377" s="9"/>
      <c r="G377" s="9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9"/>
      <c r="B378" s="9"/>
      <c r="C378" s="9" t="str">
        <f>if(len(A378)&gt;0, VLOOKUP(A378,Lookup!$A$2:$F1000,6,FALSE),"")</f>
        <v/>
      </c>
      <c r="D378" s="9"/>
      <c r="E378" s="9"/>
      <c r="F378" s="9"/>
      <c r="G378" s="9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9"/>
      <c r="B379" s="9"/>
      <c r="C379" s="9" t="str">
        <f>if(len(A379)&gt;0, VLOOKUP(A379,Lookup!$A$2:$F1000,6,FALSE),"")</f>
        <v/>
      </c>
      <c r="D379" s="9"/>
      <c r="E379" s="9"/>
      <c r="F379" s="9"/>
      <c r="G379" s="9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9"/>
      <c r="B380" s="9"/>
      <c r="C380" s="9" t="str">
        <f>if(len(A380)&gt;0, VLOOKUP(A380,Lookup!$A$2:$F1000,6,FALSE),"")</f>
        <v/>
      </c>
      <c r="D380" s="9"/>
      <c r="E380" s="9"/>
      <c r="F380" s="9"/>
      <c r="G380" s="9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9"/>
      <c r="B381" s="9"/>
      <c r="C381" s="9" t="str">
        <f>if(len(A381)&gt;0, VLOOKUP(A381,Lookup!$A$2:$F1000,6,FALSE),"")</f>
        <v/>
      </c>
      <c r="D381" s="9"/>
      <c r="E381" s="9"/>
      <c r="F381" s="9"/>
      <c r="G381" s="9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9"/>
      <c r="B382" s="9"/>
      <c r="C382" s="9" t="str">
        <f>if(len(A382)&gt;0, VLOOKUP(A382,Lookup!$A$2:$F1000,6,FALSE),"")</f>
        <v/>
      </c>
      <c r="D382" s="9"/>
      <c r="E382" s="9"/>
      <c r="F382" s="9"/>
      <c r="G382" s="9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9"/>
      <c r="B383" s="9"/>
      <c r="C383" s="9" t="str">
        <f>if(len(A383)&gt;0, VLOOKUP(A383,Lookup!$A$2:$F1000,6,FALSE),"")</f>
        <v/>
      </c>
      <c r="D383" s="9"/>
      <c r="E383" s="9"/>
      <c r="F383" s="9"/>
      <c r="G383" s="9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9"/>
      <c r="B384" s="9"/>
      <c r="C384" s="9" t="str">
        <f>if(len(A384)&gt;0, VLOOKUP(A384,Lookup!$A$2:$F1000,6,FALSE),"")</f>
        <v/>
      </c>
      <c r="D384" s="9"/>
      <c r="E384" s="9"/>
      <c r="F384" s="9"/>
      <c r="G384" s="9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9"/>
      <c r="B385" s="9"/>
      <c r="C385" s="9" t="str">
        <f>if(len(A385)&gt;0, VLOOKUP(A385,Lookup!$A$2:$F1000,6,FALSE),"")</f>
        <v/>
      </c>
      <c r="D385" s="9"/>
      <c r="E385" s="9"/>
      <c r="F385" s="9"/>
      <c r="G385" s="9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9"/>
      <c r="B386" s="9"/>
      <c r="C386" s="9" t="str">
        <f>if(len(A386)&gt;0, VLOOKUP(A386,Lookup!$A$2:$F1000,6,FALSE),"")</f>
        <v/>
      </c>
      <c r="D386" s="9"/>
      <c r="E386" s="9"/>
      <c r="F386" s="9"/>
      <c r="G386" s="9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9"/>
      <c r="B387" s="9"/>
      <c r="C387" s="9" t="str">
        <f>if(len(A387)&gt;0, VLOOKUP(A387,Lookup!$A$2:$F1000,6,FALSE),"")</f>
        <v/>
      </c>
      <c r="D387" s="9"/>
      <c r="E387" s="9"/>
      <c r="F387" s="9"/>
      <c r="G387" s="9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9"/>
      <c r="B388" s="9"/>
      <c r="C388" s="9" t="str">
        <f>if(len(A388)&gt;0, VLOOKUP(A388,Lookup!$A$2:$F1000,6,FALSE),"")</f>
        <v/>
      </c>
      <c r="D388" s="9"/>
      <c r="E388" s="9"/>
      <c r="F388" s="9"/>
      <c r="G388" s="9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9"/>
      <c r="B389" s="9"/>
      <c r="C389" s="9" t="str">
        <f>if(len(A389)&gt;0, VLOOKUP(A389,Lookup!$A$2:$F1000,6,FALSE),"")</f>
        <v/>
      </c>
      <c r="D389" s="9"/>
      <c r="E389" s="9"/>
      <c r="F389" s="9"/>
      <c r="G389" s="9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9"/>
      <c r="B390" s="9"/>
      <c r="C390" s="9" t="str">
        <f>if(len(A390)&gt;0, VLOOKUP(A390,Lookup!$A$2:$F1000,6,FALSE),"")</f>
        <v/>
      </c>
      <c r="D390" s="9"/>
      <c r="E390" s="9"/>
      <c r="F390" s="9"/>
      <c r="G390" s="9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9"/>
      <c r="B391" s="9"/>
      <c r="C391" s="9" t="str">
        <f>if(len(A391)&gt;0, VLOOKUP(A391,Lookup!$A$2:$F1000,6,FALSE),"")</f>
        <v/>
      </c>
      <c r="D391" s="9"/>
      <c r="E391" s="9"/>
      <c r="F391" s="9"/>
      <c r="G391" s="9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9"/>
      <c r="B392" s="9"/>
      <c r="C392" s="9" t="str">
        <f>if(len(A392)&gt;0, VLOOKUP(A392,Lookup!$A$2:$F1000,6,FALSE),"")</f>
        <v/>
      </c>
      <c r="D392" s="9"/>
      <c r="E392" s="9"/>
      <c r="F392" s="9"/>
      <c r="G392" s="9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9"/>
      <c r="B393" s="9"/>
      <c r="C393" s="9" t="str">
        <f>if(len(A393)&gt;0, VLOOKUP(A393,Lookup!$A$2:$F1000,6,FALSE),"")</f>
        <v/>
      </c>
      <c r="D393" s="9"/>
      <c r="E393" s="9"/>
      <c r="F393" s="9"/>
      <c r="G393" s="9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9"/>
      <c r="B394" s="9"/>
      <c r="C394" s="9" t="str">
        <f>if(len(A394)&gt;0, VLOOKUP(A394,Lookup!$A$2:$F1000,6,FALSE),"")</f>
        <v/>
      </c>
      <c r="D394" s="9"/>
      <c r="E394" s="9"/>
      <c r="F394" s="9"/>
      <c r="G394" s="9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9"/>
      <c r="B395" s="9"/>
      <c r="C395" s="9" t="str">
        <f>if(len(A395)&gt;0, VLOOKUP(A395,Lookup!$A$2:$F1000,6,FALSE),"")</f>
        <v/>
      </c>
      <c r="D395" s="9"/>
      <c r="E395" s="9"/>
      <c r="F395" s="9"/>
      <c r="G395" s="9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9"/>
      <c r="B396" s="9"/>
      <c r="C396" s="9" t="str">
        <f>if(len(A396)&gt;0, VLOOKUP(A396,Lookup!$A$2:$F1000,6,FALSE),"")</f>
        <v/>
      </c>
      <c r="D396" s="9"/>
      <c r="E396" s="9"/>
      <c r="F396" s="9"/>
      <c r="G396" s="9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9"/>
      <c r="B397" s="9"/>
      <c r="C397" s="9" t="str">
        <f>if(len(A397)&gt;0, VLOOKUP(A397,Lookup!$A$2:$F1000,6,FALSE),"")</f>
        <v/>
      </c>
      <c r="D397" s="9"/>
      <c r="E397" s="9"/>
      <c r="F397" s="9"/>
      <c r="G397" s="9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9"/>
      <c r="B398" s="9"/>
      <c r="C398" s="9" t="str">
        <f>if(len(A398)&gt;0, VLOOKUP(A398,Lookup!$A$2:$F1000,6,FALSE),"")</f>
        <v/>
      </c>
      <c r="D398" s="9"/>
      <c r="E398" s="9"/>
      <c r="F398" s="9"/>
      <c r="G398" s="9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9"/>
      <c r="B399" s="9"/>
      <c r="C399" s="9" t="str">
        <f>if(len(A399)&gt;0, VLOOKUP(A399,Lookup!$A$2:$F1000,6,FALSE),"")</f>
        <v/>
      </c>
      <c r="D399" s="9"/>
      <c r="E399" s="9"/>
      <c r="F399" s="9"/>
      <c r="G399" s="9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9"/>
      <c r="B400" s="9"/>
      <c r="C400" s="9" t="str">
        <f>if(len(A400)&gt;0, VLOOKUP(A400,Lookup!$A$2:$F1000,6,FALSE),"")</f>
        <v/>
      </c>
      <c r="D400" s="9"/>
      <c r="E400" s="9"/>
      <c r="F400" s="9"/>
      <c r="G400" s="9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9"/>
      <c r="B401" s="9"/>
      <c r="C401" s="9" t="str">
        <f>if(len(A401)&gt;0, VLOOKUP(A401,Lookup!$A$2:$F1000,6,FALSE),"")</f>
        <v/>
      </c>
      <c r="D401" s="9"/>
      <c r="E401" s="9"/>
      <c r="F401" s="9"/>
      <c r="G401" s="9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9"/>
      <c r="B402" s="9"/>
      <c r="C402" s="9" t="str">
        <f>if(len(A402)&gt;0, VLOOKUP(A402,Lookup!$A$2:$F1000,6,FALSE),"")</f>
        <v/>
      </c>
      <c r="D402" s="9"/>
      <c r="E402" s="9"/>
      <c r="F402" s="9"/>
      <c r="G402" s="9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9"/>
      <c r="B403" s="9"/>
      <c r="C403" s="9" t="str">
        <f>if(len(A403)&gt;0, VLOOKUP(A403,Lookup!$A$2:$F1000,6,FALSE),"")</f>
        <v/>
      </c>
      <c r="D403" s="9"/>
      <c r="E403" s="9"/>
      <c r="F403" s="9"/>
      <c r="G403" s="9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9"/>
      <c r="B404" s="9"/>
      <c r="C404" s="9" t="str">
        <f>if(len(A404)&gt;0, VLOOKUP(A404,Lookup!$A$2:$F1000,6,FALSE),"")</f>
        <v/>
      </c>
      <c r="D404" s="9"/>
      <c r="E404" s="9"/>
      <c r="F404" s="9"/>
      <c r="G404" s="9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9"/>
      <c r="B405" s="9"/>
      <c r="C405" s="9" t="str">
        <f>if(len(A405)&gt;0, VLOOKUP(A405,Lookup!$A$2:$F1000,6,FALSE),"")</f>
        <v/>
      </c>
      <c r="D405" s="9"/>
      <c r="E405" s="9"/>
      <c r="F405" s="9"/>
      <c r="G405" s="9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9"/>
      <c r="B406" s="9"/>
      <c r="C406" s="9" t="str">
        <f>if(len(A406)&gt;0, VLOOKUP(A406,Lookup!$A$2:$F1000,6,FALSE),"")</f>
        <v/>
      </c>
      <c r="D406" s="9"/>
      <c r="E406" s="9"/>
      <c r="F406" s="9"/>
      <c r="G406" s="9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9"/>
      <c r="B407" s="9"/>
      <c r="C407" s="9" t="str">
        <f>if(len(A407)&gt;0, VLOOKUP(A407,Lookup!$A$2:$F1000,6,FALSE),"")</f>
        <v/>
      </c>
      <c r="D407" s="9"/>
      <c r="E407" s="9"/>
      <c r="F407" s="9"/>
      <c r="G407" s="9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9"/>
      <c r="B408" s="9"/>
      <c r="C408" s="9" t="str">
        <f>if(len(A408)&gt;0, VLOOKUP(A408,Lookup!$A$2:$F1000,6,FALSE),"")</f>
        <v/>
      </c>
      <c r="D408" s="9"/>
      <c r="E408" s="9"/>
      <c r="F408" s="9"/>
      <c r="G408" s="9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9"/>
      <c r="B409" s="9"/>
      <c r="C409" s="9" t="str">
        <f>if(len(A409)&gt;0, VLOOKUP(A409,Lookup!$A$2:$F1000,6,FALSE),"")</f>
        <v/>
      </c>
      <c r="D409" s="9"/>
      <c r="E409" s="9"/>
      <c r="F409" s="9"/>
      <c r="G409" s="9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9"/>
      <c r="B410" s="9"/>
      <c r="C410" s="9" t="str">
        <f>if(len(A410)&gt;0, VLOOKUP(A410,Lookup!$A$2:$F1000,6,FALSE),"")</f>
        <v/>
      </c>
      <c r="D410" s="9"/>
      <c r="E410" s="9"/>
      <c r="F410" s="9"/>
      <c r="G410" s="9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9"/>
      <c r="B411" s="9"/>
      <c r="C411" s="9" t="str">
        <f>if(len(A411)&gt;0, VLOOKUP(A411,Lookup!$A$2:$F1000,6,FALSE),"")</f>
        <v/>
      </c>
      <c r="D411" s="9"/>
      <c r="E411" s="9"/>
      <c r="F411" s="9"/>
      <c r="G411" s="9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9"/>
      <c r="B412" s="9"/>
      <c r="C412" s="9" t="str">
        <f>if(len(A412)&gt;0, VLOOKUP(A412,Lookup!$A$2:$F1000,6,FALSE),"")</f>
        <v/>
      </c>
      <c r="D412" s="9"/>
      <c r="E412" s="9"/>
      <c r="F412" s="9"/>
      <c r="G412" s="9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9"/>
      <c r="B413" s="9"/>
      <c r="C413" s="9" t="str">
        <f>if(len(A413)&gt;0, VLOOKUP(A413,Lookup!$A$2:$F1000,6,FALSE),"")</f>
        <v/>
      </c>
      <c r="D413" s="9"/>
      <c r="E413" s="9"/>
      <c r="F413" s="9"/>
      <c r="G413" s="9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9"/>
      <c r="B414" s="9"/>
      <c r="C414" s="9" t="str">
        <f>if(len(A414)&gt;0, VLOOKUP(A414,Lookup!$A$2:$F1000,6,FALSE),"")</f>
        <v/>
      </c>
      <c r="D414" s="9"/>
      <c r="E414" s="9"/>
      <c r="F414" s="9"/>
      <c r="G414" s="9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9"/>
      <c r="B415" s="9"/>
      <c r="C415" s="9" t="str">
        <f>if(len(A415)&gt;0, VLOOKUP(A415,Lookup!$A$2:$F1000,6,FALSE),"")</f>
        <v/>
      </c>
      <c r="D415" s="9"/>
      <c r="E415" s="9"/>
      <c r="F415" s="9"/>
      <c r="G415" s="9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9"/>
      <c r="B416" s="9"/>
      <c r="C416" s="9" t="str">
        <f>if(len(A416)&gt;0, VLOOKUP(A416,Lookup!$A$2:$F1000,6,FALSE),"")</f>
        <v/>
      </c>
      <c r="D416" s="9"/>
      <c r="E416" s="9"/>
      <c r="F416" s="9"/>
      <c r="G416" s="9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9"/>
      <c r="B417" s="9"/>
      <c r="C417" s="9" t="str">
        <f>if(len(A417)&gt;0, VLOOKUP(A417,Lookup!$A$2:$F1000,6,FALSE),"")</f>
        <v/>
      </c>
      <c r="D417" s="9"/>
      <c r="E417" s="9"/>
      <c r="F417" s="9"/>
      <c r="G417" s="9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9"/>
      <c r="B418" s="9"/>
      <c r="C418" s="9" t="str">
        <f>if(len(A418)&gt;0, VLOOKUP(A418,Lookup!$A$2:$F1000,6,FALSE),"")</f>
        <v/>
      </c>
      <c r="D418" s="9"/>
      <c r="E418" s="9"/>
      <c r="F418" s="9"/>
      <c r="G418" s="9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9"/>
      <c r="B419" s="9"/>
      <c r="C419" s="9" t="str">
        <f>if(len(A419)&gt;0, VLOOKUP(A419,Lookup!$A$2:$F1000,6,FALSE),"")</f>
        <v/>
      </c>
      <c r="D419" s="9"/>
      <c r="E419" s="9"/>
      <c r="F419" s="9"/>
      <c r="G419" s="9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9"/>
      <c r="B420" s="9"/>
      <c r="C420" s="9" t="str">
        <f>if(len(A420)&gt;0, VLOOKUP(A420,Lookup!$A$2:$F1000,6,FALSE),"")</f>
        <v/>
      </c>
      <c r="D420" s="9"/>
      <c r="E420" s="9"/>
      <c r="F420" s="9"/>
      <c r="G420" s="9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9"/>
      <c r="B421" s="9"/>
      <c r="C421" s="9" t="str">
        <f>if(len(A421)&gt;0, VLOOKUP(A421,Lookup!$A$2:$F1000,6,FALSE),"")</f>
        <v/>
      </c>
      <c r="D421" s="9"/>
      <c r="E421" s="9"/>
      <c r="F421" s="9"/>
      <c r="G421" s="9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9"/>
      <c r="B422" s="9"/>
      <c r="C422" s="9" t="str">
        <f>if(len(A422)&gt;0, VLOOKUP(A422,Lookup!$A$2:$F1000,6,FALSE),"")</f>
        <v/>
      </c>
      <c r="D422" s="9"/>
      <c r="E422" s="9"/>
      <c r="F422" s="9"/>
      <c r="G422" s="9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9"/>
      <c r="B423" s="9"/>
      <c r="C423" s="9" t="str">
        <f>if(len(A423)&gt;0, VLOOKUP(A423,Lookup!$A$2:$F1000,6,FALSE),"")</f>
        <v/>
      </c>
      <c r="D423" s="9"/>
      <c r="E423" s="9"/>
      <c r="F423" s="9"/>
      <c r="G423" s="9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9"/>
      <c r="B424" s="9"/>
      <c r="C424" s="9" t="str">
        <f>if(len(A424)&gt;0, VLOOKUP(A424,Lookup!$A$2:$F1000,6,FALSE),"")</f>
        <v/>
      </c>
      <c r="D424" s="9"/>
      <c r="E424" s="9"/>
      <c r="F424" s="9"/>
      <c r="G424" s="9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9"/>
      <c r="B425" s="9"/>
      <c r="C425" s="9" t="str">
        <f>if(len(A425)&gt;0, VLOOKUP(A425,Lookup!$A$2:$F1000,6,FALSE),"")</f>
        <v/>
      </c>
      <c r="D425" s="9"/>
      <c r="E425" s="9"/>
      <c r="F425" s="9"/>
      <c r="G425" s="9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9"/>
      <c r="B426" s="9"/>
      <c r="C426" s="9" t="str">
        <f>if(len(A426)&gt;0, VLOOKUP(A426,Lookup!$A$2:$F1000,6,FALSE),"")</f>
        <v/>
      </c>
      <c r="D426" s="9"/>
      <c r="E426" s="9"/>
      <c r="F426" s="9"/>
      <c r="G426" s="9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9"/>
      <c r="B427" s="9"/>
      <c r="C427" s="9" t="str">
        <f>if(len(A427)&gt;0, VLOOKUP(A427,Lookup!$A$2:$F1000,6,FALSE),"")</f>
        <v/>
      </c>
      <c r="D427" s="9"/>
      <c r="E427" s="9"/>
      <c r="F427" s="9"/>
      <c r="G427" s="9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9"/>
      <c r="B428" s="9"/>
      <c r="C428" s="9" t="str">
        <f>if(len(A428)&gt;0, VLOOKUP(A428,Lookup!$A$2:$F1000,6,FALSE),"")</f>
        <v/>
      </c>
      <c r="D428" s="9"/>
      <c r="E428" s="9"/>
      <c r="F428" s="9"/>
      <c r="G428" s="9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9"/>
      <c r="B429" s="9"/>
      <c r="C429" s="9" t="str">
        <f>if(len(A429)&gt;0, VLOOKUP(A429,Lookup!$A$2:$F1000,6,FALSE),"")</f>
        <v/>
      </c>
      <c r="D429" s="9"/>
      <c r="E429" s="9"/>
      <c r="F429" s="9"/>
      <c r="G429" s="9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9"/>
      <c r="B430" s="9"/>
      <c r="C430" s="9" t="str">
        <f>if(len(A430)&gt;0, VLOOKUP(A430,Lookup!$A$2:$F1000,6,FALSE),"")</f>
        <v/>
      </c>
      <c r="D430" s="9"/>
      <c r="E430" s="9"/>
      <c r="F430" s="9"/>
      <c r="G430" s="9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9"/>
      <c r="B431" s="9"/>
      <c r="C431" s="9" t="str">
        <f>if(len(A431)&gt;0, VLOOKUP(A431,Lookup!$A$2:$F1000,6,FALSE),"")</f>
        <v/>
      </c>
      <c r="D431" s="9"/>
      <c r="E431" s="9"/>
      <c r="F431" s="9"/>
      <c r="G431" s="9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9"/>
      <c r="B432" s="9"/>
      <c r="C432" s="9" t="str">
        <f>if(len(A432)&gt;0, VLOOKUP(A432,Lookup!$A$2:$F1000,6,FALSE),"")</f>
        <v/>
      </c>
      <c r="D432" s="9"/>
      <c r="E432" s="9"/>
      <c r="F432" s="9"/>
      <c r="G432" s="9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9"/>
      <c r="B433" s="9"/>
      <c r="C433" s="9" t="str">
        <f>if(len(A433)&gt;0, VLOOKUP(A433,Lookup!$A$2:$F1000,6,FALSE),"")</f>
        <v/>
      </c>
      <c r="D433" s="9"/>
      <c r="E433" s="9"/>
      <c r="F433" s="9"/>
      <c r="G433" s="9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9"/>
      <c r="B434" s="9"/>
      <c r="C434" s="9" t="str">
        <f>if(len(A434)&gt;0, VLOOKUP(A434,Lookup!$A$2:$F1000,6,FALSE),"")</f>
        <v/>
      </c>
      <c r="D434" s="9"/>
      <c r="E434" s="9"/>
      <c r="F434" s="9"/>
      <c r="G434" s="9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9"/>
      <c r="B435" s="9"/>
      <c r="C435" s="9" t="str">
        <f>if(len(A435)&gt;0, VLOOKUP(A435,Lookup!$A$2:$F1000,6,FALSE),"")</f>
        <v/>
      </c>
      <c r="D435" s="9"/>
      <c r="E435" s="9"/>
      <c r="F435" s="9"/>
      <c r="G435" s="9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9"/>
      <c r="B436" s="9"/>
      <c r="C436" s="9" t="str">
        <f>if(len(A436)&gt;0, VLOOKUP(A436,Lookup!$A$2:$F1000,6,FALSE),"")</f>
        <v/>
      </c>
      <c r="D436" s="9"/>
      <c r="E436" s="9"/>
      <c r="F436" s="9"/>
      <c r="G436" s="9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9"/>
      <c r="B437" s="9"/>
      <c r="C437" s="9" t="str">
        <f>if(len(A437)&gt;0, VLOOKUP(A437,Lookup!$A$2:$F1000,6,FALSE),"")</f>
        <v/>
      </c>
      <c r="D437" s="9"/>
      <c r="E437" s="9"/>
      <c r="F437" s="9"/>
      <c r="G437" s="9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9"/>
      <c r="B438" s="9"/>
      <c r="C438" s="9" t="str">
        <f>if(len(A438)&gt;0, VLOOKUP(A438,Lookup!$A$2:$F1000,6,FALSE),"")</f>
        <v/>
      </c>
      <c r="D438" s="9"/>
      <c r="E438" s="9"/>
      <c r="F438" s="9"/>
      <c r="G438" s="9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9"/>
      <c r="B439" s="9"/>
      <c r="C439" s="9" t="str">
        <f>if(len(A439)&gt;0, VLOOKUP(A439,Lookup!$A$2:$F1000,6,FALSE),"")</f>
        <v/>
      </c>
      <c r="D439" s="9"/>
      <c r="E439" s="9"/>
      <c r="F439" s="9"/>
      <c r="G439" s="9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9"/>
      <c r="B440" s="9"/>
      <c r="C440" s="9" t="str">
        <f>if(len(A440)&gt;0, VLOOKUP(A440,Lookup!$A$2:$F1000,6,FALSE),"")</f>
        <v/>
      </c>
      <c r="D440" s="9"/>
      <c r="E440" s="9"/>
      <c r="F440" s="9"/>
      <c r="G440" s="9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9"/>
      <c r="B441" s="9"/>
      <c r="C441" s="9" t="str">
        <f>if(len(A441)&gt;0, VLOOKUP(A441,Lookup!$A$2:$F1000,6,FALSE),"")</f>
        <v/>
      </c>
      <c r="D441" s="9"/>
      <c r="E441" s="9"/>
      <c r="F441" s="9"/>
      <c r="G441" s="9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9"/>
      <c r="B442" s="9"/>
      <c r="C442" s="9" t="str">
        <f>if(len(A442)&gt;0, VLOOKUP(A442,Lookup!$A$2:$F1000,6,FALSE),"")</f>
        <v/>
      </c>
      <c r="D442" s="9"/>
      <c r="E442" s="9"/>
      <c r="F442" s="9"/>
      <c r="G442" s="9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9"/>
      <c r="B443" s="9"/>
      <c r="C443" s="9" t="str">
        <f>if(len(A443)&gt;0, VLOOKUP(A443,Lookup!$A$2:$F1000,6,FALSE),"")</f>
        <v/>
      </c>
      <c r="D443" s="9"/>
      <c r="E443" s="9"/>
      <c r="F443" s="9"/>
      <c r="G443" s="9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9"/>
      <c r="B444" s="9"/>
      <c r="C444" s="9" t="str">
        <f>if(len(A444)&gt;0, VLOOKUP(A444,Lookup!$A$2:$F1000,6,FALSE),"")</f>
        <v/>
      </c>
      <c r="D444" s="9"/>
      <c r="E444" s="9"/>
      <c r="F444" s="9"/>
      <c r="G444" s="9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9"/>
      <c r="B445" s="9"/>
      <c r="C445" s="9" t="str">
        <f>if(len(A445)&gt;0, VLOOKUP(A445,Lookup!$A$2:$F1000,6,FALSE),"")</f>
        <v/>
      </c>
      <c r="D445" s="9"/>
      <c r="E445" s="9"/>
      <c r="F445" s="9"/>
      <c r="G445" s="9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9"/>
      <c r="B446" s="9"/>
      <c r="C446" s="9" t="str">
        <f>if(len(A446)&gt;0, VLOOKUP(A446,Lookup!$A$2:$F1000,6,FALSE),"")</f>
        <v/>
      </c>
      <c r="D446" s="9"/>
      <c r="E446" s="9"/>
      <c r="F446" s="9"/>
      <c r="G446" s="9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9"/>
      <c r="B447" s="9"/>
      <c r="C447" s="9" t="str">
        <f>if(len(A447)&gt;0, VLOOKUP(A447,Lookup!$A$2:$F1000,6,FALSE),"")</f>
        <v/>
      </c>
      <c r="D447" s="9"/>
      <c r="E447" s="9"/>
      <c r="F447" s="9"/>
      <c r="G447" s="9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9"/>
      <c r="B448" s="9"/>
      <c r="C448" s="9" t="str">
        <f>if(len(A448)&gt;0, VLOOKUP(A448,Lookup!$A$2:$F1000,6,FALSE),"")</f>
        <v/>
      </c>
      <c r="D448" s="9"/>
      <c r="E448" s="9"/>
      <c r="F448" s="9"/>
      <c r="G448" s="9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9"/>
      <c r="B449" s="9"/>
      <c r="C449" s="9" t="str">
        <f>if(len(A449)&gt;0, VLOOKUP(A449,Lookup!$A$2:$F1000,6,FALSE),"")</f>
        <v/>
      </c>
      <c r="D449" s="9"/>
      <c r="E449" s="9"/>
      <c r="F449" s="9"/>
      <c r="G449" s="9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9"/>
      <c r="B450" s="9"/>
      <c r="C450" s="9" t="str">
        <f>if(len(A450)&gt;0, VLOOKUP(A450,Lookup!$A$2:$F1000,6,FALSE),"")</f>
        <v/>
      </c>
      <c r="D450" s="9"/>
      <c r="E450" s="9"/>
      <c r="F450" s="9"/>
      <c r="G450" s="9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9"/>
      <c r="B451" s="9"/>
      <c r="C451" s="9" t="str">
        <f>if(len(A451)&gt;0, VLOOKUP(A451,Lookup!$A$2:$F1000,6,FALSE),"")</f>
        <v/>
      </c>
      <c r="D451" s="9"/>
      <c r="E451" s="9"/>
      <c r="F451" s="9"/>
      <c r="G451" s="9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9"/>
      <c r="B452" s="9"/>
      <c r="C452" s="9" t="str">
        <f>if(len(A452)&gt;0, VLOOKUP(A452,Lookup!$A$2:$F1000,6,FALSE),"")</f>
        <v/>
      </c>
      <c r="D452" s="9"/>
      <c r="E452" s="9"/>
      <c r="F452" s="9"/>
      <c r="G452" s="9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9"/>
      <c r="B453" s="9"/>
      <c r="C453" s="9" t="str">
        <f>if(len(A453)&gt;0, VLOOKUP(A453,Lookup!$A$2:$F1000,6,FALSE),"")</f>
        <v/>
      </c>
      <c r="D453" s="9"/>
      <c r="E453" s="9"/>
      <c r="F453" s="9"/>
      <c r="G453" s="9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9"/>
      <c r="B454" s="9"/>
      <c r="C454" s="9" t="str">
        <f>if(len(A454)&gt;0, VLOOKUP(A454,Lookup!$A$2:$F1000,6,FALSE),"")</f>
        <v/>
      </c>
      <c r="D454" s="9"/>
      <c r="E454" s="9"/>
      <c r="F454" s="9"/>
      <c r="G454" s="9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9"/>
      <c r="B455" s="9"/>
      <c r="C455" s="9" t="str">
        <f>if(len(A455)&gt;0, VLOOKUP(A455,Lookup!$A$2:$F1000,6,FALSE),"")</f>
        <v/>
      </c>
      <c r="D455" s="9"/>
      <c r="E455" s="9"/>
      <c r="F455" s="9"/>
      <c r="G455" s="9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9"/>
      <c r="B456" s="9"/>
      <c r="C456" s="9" t="str">
        <f>if(len(A456)&gt;0, VLOOKUP(A456,Lookup!$A$2:$F1000,6,FALSE),"")</f>
        <v/>
      </c>
      <c r="D456" s="9"/>
      <c r="E456" s="9"/>
      <c r="F456" s="9"/>
      <c r="G456" s="9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9"/>
      <c r="B457" s="9"/>
      <c r="C457" s="9" t="str">
        <f>if(len(A457)&gt;0, VLOOKUP(A457,Lookup!$A$2:$F1000,6,FALSE),"")</f>
        <v/>
      </c>
      <c r="D457" s="9"/>
      <c r="E457" s="9"/>
      <c r="F457" s="9"/>
      <c r="G457" s="9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9"/>
      <c r="B458" s="9"/>
      <c r="C458" s="9" t="str">
        <f>if(len(A458)&gt;0, VLOOKUP(A458,Lookup!$A$2:$F1000,6,FALSE),"")</f>
        <v/>
      </c>
      <c r="D458" s="9"/>
      <c r="E458" s="9"/>
      <c r="F458" s="9"/>
      <c r="G458" s="9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9"/>
      <c r="B459" s="9"/>
      <c r="C459" s="9" t="str">
        <f>if(len(A459)&gt;0, VLOOKUP(A459,Lookup!$A$2:$F1000,6,FALSE),"")</f>
        <v/>
      </c>
      <c r="D459" s="9"/>
      <c r="E459" s="9"/>
      <c r="F459" s="9"/>
      <c r="G459" s="9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9"/>
      <c r="B460" s="9"/>
      <c r="C460" s="9" t="str">
        <f>if(len(A460)&gt;0, VLOOKUP(A460,Lookup!$A$2:$F1000,6,FALSE),"")</f>
        <v/>
      </c>
      <c r="D460" s="9"/>
      <c r="E460" s="9"/>
      <c r="F460" s="9"/>
      <c r="G460" s="9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9"/>
      <c r="B461" s="9"/>
      <c r="C461" s="9" t="str">
        <f>if(len(A461)&gt;0, VLOOKUP(A461,Lookup!$A$2:$F1000,6,FALSE),"")</f>
        <v/>
      </c>
      <c r="D461" s="9"/>
      <c r="E461" s="9"/>
      <c r="F461" s="9"/>
      <c r="G461" s="9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9"/>
      <c r="B462" s="9"/>
      <c r="C462" s="9" t="str">
        <f>if(len(A462)&gt;0, VLOOKUP(A462,Lookup!$A$2:$F1000,6,FALSE),"")</f>
        <v/>
      </c>
      <c r="D462" s="9"/>
      <c r="E462" s="9"/>
      <c r="F462" s="9"/>
      <c r="G462" s="9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9"/>
      <c r="B463" s="9"/>
      <c r="C463" s="9" t="str">
        <f>if(len(A463)&gt;0, VLOOKUP(A463,Lookup!$A$2:$F1000,6,FALSE),"")</f>
        <v/>
      </c>
      <c r="D463" s="9"/>
      <c r="E463" s="9"/>
      <c r="F463" s="9"/>
      <c r="G463" s="9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9"/>
      <c r="B464" s="9"/>
      <c r="C464" s="9" t="str">
        <f>if(len(A464)&gt;0, VLOOKUP(A464,Lookup!$A$2:$F1000,6,FALSE),"")</f>
        <v/>
      </c>
      <c r="D464" s="9"/>
      <c r="E464" s="9"/>
      <c r="F464" s="9"/>
      <c r="G464" s="9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9"/>
      <c r="B465" s="9"/>
      <c r="C465" s="9" t="str">
        <f>if(len(A465)&gt;0, VLOOKUP(A465,Lookup!$A$2:$F1000,6,FALSE),"")</f>
        <v/>
      </c>
      <c r="D465" s="9"/>
      <c r="E465" s="9"/>
      <c r="F465" s="9"/>
      <c r="G465" s="9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9"/>
      <c r="B466" s="9"/>
      <c r="C466" s="9" t="str">
        <f>if(len(A466)&gt;0, VLOOKUP(A466,Lookup!$A$2:$F1000,6,FALSE),"")</f>
        <v/>
      </c>
      <c r="D466" s="9"/>
      <c r="E466" s="9"/>
      <c r="F466" s="9"/>
      <c r="G466" s="9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9"/>
      <c r="B467" s="9"/>
      <c r="C467" s="9" t="str">
        <f>if(len(A467)&gt;0, VLOOKUP(A467,Lookup!$A$2:$F1000,6,FALSE),"")</f>
        <v/>
      </c>
      <c r="D467" s="9"/>
      <c r="E467" s="9"/>
      <c r="F467" s="9"/>
      <c r="G467" s="9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9"/>
      <c r="B468" s="9"/>
      <c r="C468" s="9" t="str">
        <f>if(len(A468)&gt;0, VLOOKUP(A468,Lookup!$A$2:$F1000,6,FALSE),"")</f>
        <v/>
      </c>
      <c r="D468" s="9"/>
      <c r="E468" s="9"/>
      <c r="F468" s="9"/>
      <c r="G468" s="9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9"/>
      <c r="B469" s="9"/>
      <c r="C469" s="9" t="str">
        <f>if(len(A469)&gt;0, VLOOKUP(A469,Lookup!$A$2:$F1000,6,FALSE),"")</f>
        <v/>
      </c>
      <c r="D469" s="9"/>
      <c r="E469" s="9"/>
      <c r="F469" s="9"/>
      <c r="G469" s="9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9"/>
      <c r="B470" s="9"/>
      <c r="C470" s="9" t="str">
        <f>if(len(A470)&gt;0, VLOOKUP(A470,Lookup!$A$2:$F1000,6,FALSE),"")</f>
        <v/>
      </c>
      <c r="D470" s="9"/>
      <c r="E470" s="9"/>
      <c r="F470" s="9"/>
      <c r="G470" s="9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9"/>
      <c r="B471" s="9"/>
      <c r="C471" s="9" t="str">
        <f>if(len(A471)&gt;0, VLOOKUP(A471,Lookup!$A$2:$F1000,6,FALSE),"")</f>
        <v/>
      </c>
      <c r="D471" s="9"/>
      <c r="E471" s="9"/>
      <c r="F471" s="9"/>
      <c r="G471" s="9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9"/>
      <c r="B472" s="9"/>
      <c r="C472" s="9" t="str">
        <f>if(len(A472)&gt;0, VLOOKUP(A472,Lookup!$A$2:$F1000,6,FALSE),"")</f>
        <v/>
      </c>
      <c r="D472" s="9"/>
      <c r="E472" s="9"/>
      <c r="F472" s="9"/>
      <c r="G472" s="9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9"/>
      <c r="B473" s="9"/>
      <c r="C473" s="9" t="str">
        <f>if(len(A473)&gt;0, VLOOKUP(A473,Lookup!$A$2:$F1000,6,FALSE),"")</f>
        <v/>
      </c>
      <c r="D473" s="9"/>
      <c r="E473" s="9"/>
      <c r="F473" s="9"/>
      <c r="G473" s="9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9"/>
      <c r="B474" s="9"/>
      <c r="C474" s="9" t="str">
        <f>if(len(A474)&gt;0, VLOOKUP(A474,Lookup!$A$2:$F1000,6,FALSE),"")</f>
        <v/>
      </c>
      <c r="D474" s="9"/>
      <c r="E474" s="9"/>
      <c r="F474" s="9"/>
      <c r="G474" s="9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9"/>
      <c r="B475" s="9"/>
      <c r="C475" s="9" t="str">
        <f>if(len(A475)&gt;0, VLOOKUP(A475,Lookup!$A$2:$F1000,6,FALSE),"")</f>
        <v/>
      </c>
      <c r="D475" s="9"/>
      <c r="E475" s="9"/>
      <c r="F475" s="9"/>
      <c r="G475" s="9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9"/>
      <c r="B476" s="9"/>
      <c r="C476" s="9" t="str">
        <f>if(len(A476)&gt;0, VLOOKUP(A476,Lookup!$A$2:$F1000,6,FALSE),"")</f>
        <v/>
      </c>
      <c r="D476" s="9"/>
      <c r="E476" s="9"/>
      <c r="F476" s="9"/>
      <c r="G476" s="9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9"/>
      <c r="B477" s="9"/>
      <c r="C477" s="9" t="str">
        <f>if(len(A477)&gt;0, VLOOKUP(A477,Lookup!$A$2:$F1000,6,FALSE),"")</f>
        <v/>
      </c>
      <c r="D477" s="9"/>
      <c r="E477" s="9"/>
      <c r="F477" s="9"/>
      <c r="G477" s="9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9"/>
      <c r="B478" s="9"/>
      <c r="C478" s="9" t="str">
        <f>if(len(A478)&gt;0, VLOOKUP(A478,Lookup!$A$2:$F1000,6,FALSE),"")</f>
        <v/>
      </c>
      <c r="D478" s="9"/>
      <c r="E478" s="9"/>
      <c r="F478" s="9"/>
      <c r="G478" s="9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9"/>
      <c r="B479" s="9"/>
      <c r="C479" s="9" t="str">
        <f>if(len(A479)&gt;0, VLOOKUP(A479,Lookup!$A$2:$F1000,6,FALSE),"")</f>
        <v/>
      </c>
      <c r="D479" s="9"/>
      <c r="E479" s="9"/>
      <c r="F479" s="9"/>
      <c r="G479" s="9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9"/>
      <c r="B480" s="9"/>
      <c r="C480" s="9" t="str">
        <f>if(len(A480)&gt;0, VLOOKUP(A480,Lookup!$A$2:$F1000,6,FALSE),"")</f>
        <v/>
      </c>
      <c r="D480" s="9"/>
      <c r="E480" s="9"/>
      <c r="F480" s="9"/>
      <c r="G480" s="9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9"/>
      <c r="B481" s="9"/>
      <c r="C481" s="9" t="str">
        <f>if(len(A481)&gt;0, VLOOKUP(A481,Lookup!$A$2:$F1000,6,FALSE),"")</f>
        <v/>
      </c>
      <c r="D481" s="9"/>
      <c r="E481" s="9"/>
      <c r="F481" s="9"/>
      <c r="G481" s="9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9"/>
      <c r="B482" s="9"/>
      <c r="C482" s="9" t="str">
        <f>if(len(A482)&gt;0, VLOOKUP(A482,Lookup!$A$2:$F1000,6,FALSE),"")</f>
        <v/>
      </c>
      <c r="D482" s="9"/>
      <c r="E482" s="9"/>
      <c r="F482" s="9"/>
      <c r="G482" s="9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9"/>
      <c r="B483" s="9"/>
      <c r="C483" s="9" t="str">
        <f>if(len(A483)&gt;0, VLOOKUP(A483,Lookup!$A$2:$F1000,6,FALSE),"")</f>
        <v/>
      </c>
      <c r="D483" s="9"/>
      <c r="E483" s="9"/>
      <c r="F483" s="9"/>
      <c r="G483" s="9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9"/>
      <c r="B484" s="9"/>
      <c r="C484" s="9" t="str">
        <f>if(len(A484)&gt;0, VLOOKUP(A484,Lookup!$A$2:$F1000,6,FALSE),"")</f>
        <v/>
      </c>
      <c r="D484" s="9"/>
      <c r="E484" s="9"/>
      <c r="F484" s="9"/>
      <c r="G484" s="9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9"/>
      <c r="B485" s="9"/>
      <c r="C485" s="9" t="str">
        <f>if(len(A485)&gt;0, VLOOKUP(A485,Lookup!$A$2:$F1000,6,FALSE),"")</f>
        <v/>
      </c>
      <c r="D485" s="9"/>
      <c r="E485" s="9"/>
      <c r="F485" s="9"/>
      <c r="G485" s="9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9"/>
      <c r="B486" s="9"/>
      <c r="C486" s="9" t="str">
        <f>if(len(A486)&gt;0, VLOOKUP(A486,Lookup!$A$2:$F1000,6,FALSE),"")</f>
        <v/>
      </c>
      <c r="D486" s="9"/>
      <c r="E486" s="9"/>
      <c r="F486" s="9"/>
      <c r="G486" s="9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9"/>
      <c r="B487" s="9"/>
      <c r="C487" s="9" t="str">
        <f>if(len(A487)&gt;0, VLOOKUP(A487,Lookup!$A$2:$F1000,6,FALSE),"")</f>
        <v/>
      </c>
      <c r="D487" s="9"/>
      <c r="E487" s="9"/>
      <c r="F487" s="9"/>
      <c r="G487" s="9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9"/>
      <c r="B488" s="9"/>
      <c r="C488" s="9" t="str">
        <f>if(len(A488)&gt;0, VLOOKUP(A488,Lookup!$A$2:$F1000,6,FALSE),"")</f>
        <v/>
      </c>
      <c r="D488" s="9"/>
      <c r="E488" s="9"/>
      <c r="F488" s="9"/>
      <c r="G488" s="9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9"/>
      <c r="B489" s="9"/>
      <c r="C489" s="9" t="str">
        <f>if(len(A489)&gt;0, VLOOKUP(A489,Lookup!$A$2:$F1000,6,FALSE),"")</f>
        <v/>
      </c>
      <c r="D489" s="9"/>
      <c r="E489" s="9"/>
      <c r="F489" s="9"/>
      <c r="G489" s="9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9"/>
      <c r="B490" s="9"/>
      <c r="C490" s="9" t="str">
        <f>if(len(A490)&gt;0, VLOOKUP(A490,Lookup!$A$2:$F1000,6,FALSE),"")</f>
        <v/>
      </c>
      <c r="D490" s="9"/>
      <c r="E490" s="9"/>
      <c r="F490" s="9"/>
      <c r="G490" s="9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9"/>
      <c r="B491" s="9"/>
      <c r="C491" s="9" t="str">
        <f>if(len(A491)&gt;0, VLOOKUP(A491,Lookup!$A$2:$F1000,6,FALSE),"")</f>
        <v/>
      </c>
      <c r="D491" s="9"/>
      <c r="E491" s="9"/>
      <c r="F491" s="9"/>
      <c r="G491" s="9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9"/>
      <c r="B492" s="9"/>
      <c r="C492" s="9" t="str">
        <f>if(len(A492)&gt;0, VLOOKUP(A492,Lookup!$A$2:$F1000,6,FALSE),"")</f>
        <v/>
      </c>
      <c r="D492" s="9"/>
      <c r="E492" s="9"/>
      <c r="F492" s="9"/>
      <c r="G492" s="9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9"/>
      <c r="B493" s="9"/>
      <c r="C493" s="9" t="str">
        <f>if(len(A493)&gt;0, VLOOKUP(A493,Lookup!$A$2:$F1000,6,FALSE),"")</f>
        <v/>
      </c>
      <c r="D493" s="9"/>
      <c r="E493" s="9"/>
      <c r="F493" s="9"/>
      <c r="G493" s="9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9"/>
      <c r="B494" s="9"/>
      <c r="C494" s="9" t="str">
        <f>if(len(A494)&gt;0, VLOOKUP(A494,Lookup!$A$2:$F1000,6,FALSE),"")</f>
        <v/>
      </c>
      <c r="D494" s="9"/>
      <c r="E494" s="9"/>
      <c r="F494" s="9"/>
      <c r="G494" s="9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9"/>
      <c r="B495" s="9"/>
      <c r="C495" s="9" t="str">
        <f>if(len(A495)&gt;0, VLOOKUP(A495,Lookup!$A$2:$F1000,6,FALSE),"")</f>
        <v/>
      </c>
      <c r="D495" s="9"/>
      <c r="E495" s="9"/>
      <c r="F495" s="9"/>
      <c r="G495" s="9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9"/>
      <c r="B496" s="9"/>
      <c r="C496" s="9" t="str">
        <f>if(len(A496)&gt;0, VLOOKUP(A496,Lookup!$A$2:$F1000,6,FALSE),"")</f>
        <v/>
      </c>
      <c r="D496" s="9"/>
      <c r="E496" s="9"/>
      <c r="F496" s="9"/>
      <c r="G496" s="9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9"/>
      <c r="B497" s="9"/>
      <c r="C497" s="9" t="str">
        <f>if(len(A497)&gt;0, VLOOKUP(A497,Lookup!$A$2:$F1000,6,FALSE),"")</f>
        <v/>
      </c>
      <c r="D497" s="9"/>
      <c r="E497" s="9"/>
      <c r="F497" s="9"/>
      <c r="G497" s="9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9"/>
      <c r="B498" s="9"/>
      <c r="C498" s="9" t="str">
        <f>if(len(A498)&gt;0, VLOOKUP(A498,Lookup!$A$2:$F1000,6,FALSE),"")</f>
        <v/>
      </c>
      <c r="D498" s="9"/>
      <c r="E498" s="9"/>
      <c r="F498" s="9"/>
      <c r="G498" s="9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9"/>
      <c r="B499" s="9"/>
      <c r="C499" s="9" t="str">
        <f>if(len(A499)&gt;0, VLOOKUP(A499,Lookup!$A$2:$F1000,6,FALSE),"")</f>
        <v/>
      </c>
      <c r="D499" s="9"/>
      <c r="E499" s="9"/>
      <c r="F499" s="9"/>
      <c r="G499" s="9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9"/>
      <c r="B500" s="9"/>
      <c r="C500" s="9" t="str">
        <f>if(len(A500)&gt;0, VLOOKUP(A500,Lookup!$A$2:$F1000,6,FALSE),"")</f>
        <v/>
      </c>
      <c r="D500" s="9"/>
      <c r="E500" s="9"/>
      <c r="F500" s="9"/>
      <c r="G500" s="9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9"/>
      <c r="B501" s="9"/>
      <c r="C501" s="9" t="str">
        <f>if(len(A501)&gt;0, VLOOKUP(A501,Lookup!$A$2:$F1000,6,FALSE),"")</f>
        <v/>
      </c>
      <c r="D501" s="9"/>
      <c r="E501" s="9"/>
      <c r="F501" s="9"/>
      <c r="G501" s="9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9"/>
      <c r="B502" s="9"/>
      <c r="C502" s="9" t="str">
        <f>if(len(A502)&gt;0, VLOOKUP(A502,Lookup!$A$2:$F1000,6,FALSE),"")</f>
        <v/>
      </c>
      <c r="D502" s="9"/>
      <c r="E502" s="9"/>
      <c r="F502" s="9"/>
      <c r="G502" s="9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9"/>
      <c r="B503" s="9"/>
      <c r="C503" s="9" t="str">
        <f>if(len(A503)&gt;0, VLOOKUP(A503,Lookup!$A$2:$F1000,6,FALSE),"")</f>
        <v/>
      </c>
      <c r="D503" s="9"/>
      <c r="E503" s="9"/>
      <c r="F503" s="9"/>
      <c r="G503" s="9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9"/>
      <c r="B504" s="9"/>
      <c r="C504" s="9" t="str">
        <f>if(len(A504)&gt;0, VLOOKUP(A504,Lookup!$A$2:$F1000,6,FALSE),"")</f>
        <v/>
      </c>
      <c r="D504" s="9"/>
      <c r="E504" s="9"/>
      <c r="F504" s="9"/>
      <c r="G504" s="9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9"/>
      <c r="B505" s="9"/>
      <c r="C505" s="9" t="str">
        <f>if(len(A505)&gt;0, VLOOKUP(A505,Lookup!$A$2:$F1000,6,FALSE),"")</f>
        <v/>
      </c>
      <c r="D505" s="9"/>
      <c r="E505" s="9"/>
      <c r="F505" s="9"/>
      <c r="G505" s="9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9"/>
      <c r="B506" s="9"/>
      <c r="C506" s="9" t="str">
        <f>if(len(A506)&gt;0, VLOOKUP(A506,Lookup!$A$2:$F1000,6,FALSE),"")</f>
        <v/>
      </c>
      <c r="D506" s="9"/>
      <c r="E506" s="9"/>
      <c r="F506" s="9"/>
      <c r="G506" s="9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9"/>
      <c r="B507" s="9"/>
      <c r="C507" s="9" t="str">
        <f>if(len(A507)&gt;0, VLOOKUP(A507,Lookup!$A$2:$F1000,6,FALSE),"")</f>
        <v/>
      </c>
      <c r="D507" s="9"/>
      <c r="E507" s="9"/>
      <c r="F507" s="9"/>
      <c r="G507" s="9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9"/>
      <c r="B508" s="9"/>
      <c r="C508" s="9" t="str">
        <f>if(len(A508)&gt;0, VLOOKUP(A508,Lookup!$A$2:$F1000,6,FALSE),"")</f>
        <v/>
      </c>
      <c r="D508" s="9"/>
      <c r="E508" s="9"/>
      <c r="F508" s="9"/>
      <c r="G508" s="9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9"/>
      <c r="B509" s="9"/>
      <c r="C509" s="9" t="str">
        <f>if(len(A509)&gt;0, VLOOKUP(A509,Lookup!$A$2:$F1000,6,FALSE),"")</f>
        <v/>
      </c>
      <c r="D509" s="9"/>
      <c r="E509" s="9"/>
      <c r="F509" s="9"/>
      <c r="G509" s="9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9"/>
      <c r="B510" s="9"/>
      <c r="C510" s="9" t="str">
        <f>if(len(A510)&gt;0, VLOOKUP(A510,Lookup!$A$2:$F1000,6,FALSE),"")</f>
        <v/>
      </c>
      <c r="D510" s="9"/>
      <c r="E510" s="9"/>
      <c r="F510" s="9"/>
      <c r="G510" s="9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9"/>
      <c r="B511" s="9"/>
      <c r="C511" s="9" t="str">
        <f>if(len(A511)&gt;0, VLOOKUP(A511,Lookup!$A$2:$F1000,6,FALSE),"")</f>
        <v/>
      </c>
      <c r="D511" s="9"/>
      <c r="E511" s="9"/>
      <c r="F511" s="9"/>
      <c r="G511" s="9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9"/>
      <c r="B512" s="9"/>
      <c r="C512" s="9" t="str">
        <f>if(len(A512)&gt;0, VLOOKUP(A512,Lookup!$A$2:$F1000,6,FALSE),"")</f>
        <v/>
      </c>
      <c r="D512" s="9"/>
      <c r="E512" s="9"/>
      <c r="F512" s="9"/>
      <c r="G512" s="9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9"/>
      <c r="B513" s="9"/>
      <c r="C513" s="9" t="str">
        <f>if(len(A513)&gt;0, VLOOKUP(A513,Lookup!$A$2:$F1000,6,FALSE),"")</f>
        <v/>
      </c>
      <c r="D513" s="9"/>
      <c r="E513" s="9"/>
      <c r="F513" s="9"/>
      <c r="G513" s="9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9"/>
      <c r="B514" s="9"/>
      <c r="C514" s="9" t="str">
        <f>if(len(A514)&gt;0, VLOOKUP(A514,Lookup!$A$2:$F1000,6,FALSE),"")</f>
        <v/>
      </c>
      <c r="D514" s="9"/>
      <c r="E514" s="9"/>
      <c r="F514" s="9"/>
      <c r="G514" s="9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9"/>
      <c r="B515" s="9"/>
      <c r="C515" s="9" t="str">
        <f>if(len(A515)&gt;0, VLOOKUP(A515,Lookup!$A$2:$F1000,6,FALSE),"")</f>
        <v/>
      </c>
      <c r="D515" s="9"/>
      <c r="E515" s="9"/>
      <c r="F515" s="9"/>
      <c r="G515" s="9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9"/>
      <c r="B516" s="9"/>
      <c r="C516" s="9" t="str">
        <f>if(len(A516)&gt;0, VLOOKUP(A516,Lookup!$A$2:$F1000,6,FALSE),"")</f>
        <v/>
      </c>
      <c r="D516" s="9"/>
      <c r="E516" s="9"/>
      <c r="F516" s="9"/>
      <c r="G516" s="9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9"/>
      <c r="B517" s="9"/>
      <c r="C517" s="9" t="str">
        <f>if(len(A517)&gt;0, VLOOKUP(A517,Lookup!$A$2:$F1000,6,FALSE),"")</f>
        <v/>
      </c>
      <c r="D517" s="9"/>
      <c r="E517" s="9"/>
      <c r="F517" s="9"/>
      <c r="G517" s="9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9"/>
      <c r="B518" s="9"/>
      <c r="C518" s="9" t="str">
        <f>if(len(A518)&gt;0, VLOOKUP(A518,Lookup!$A$2:$F1000,6,FALSE),"")</f>
        <v/>
      </c>
      <c r="D518" s="9"/>
      <c r="E518" s="9"/>
      <c r="F518" s="9"/>
      <c r="G518" s="9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9"/>
      <c r="B519" s="9"/>
      <c r="C519" s="9" t="str">
        <f>if(len(A519)&gt;0, VLOOKUP(A519,Lookup!$A$2:$F1000,6,FALSE),"")</f>
        <v/>
      </c>
      <c r="D519" s="9"/>
      <c r="E519" s="9"/>
      <c r="F519" s="9"/>
      <c r="G519" s="9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9"/>
      <c r="B520" s="9"/>
      <c r="C520" s="9" t="str">
        <f>if(len(A520)&gt;0, VLOOKUP(A520,Lookup!$A$2:$F1000,6,FALSE),"")</f>
        <v/>
      </c>
      <c r="D520" s="9"/>
      <c r="E520" s="9"/>
      <c r="F520" s="9"/>
      <c r="G520" s="9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9"/>
      <c r="B521" s="9"/>
      <c r="C521" s="9" t="str">
        <f>if(len(A521)&gt;0, VLOOKUP(A521,Lookup!$A$2:$F1000,6,FALSE),"")</f>
        <v/>
      </c>
      <c r="D521" s="9"/>
      <c r="E521" s="9"/>
      <c r="F521" s="9"/>
      <c r="G521" s="9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9"/>
      <c r="B522" s="9"/>
      <c r="C522" s="9" t="str">
        <f>if(len(A522)&gt;0, VLOOKUP(A522,Lookup!$A$2:$F1000,6,FALSE),"")</f>
        <v/>
      </c>
      <c r="D522" s="9"/>
      <c r="E522" s="9"/>
      <c r="F522" s="9"/>
      <c r="G522" s="9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9"/>
      <c r="B523" s="9"/>
      <c r="C523" s="9" t="str">
        <f>if(len(A523)&gt;0, VLOOKUP(A523,Lookup!$A$2:$F1000,6,FALSE),"")</f>
        <v/>
      </c>
      <c r="D523" s="9"/>
      <c r="E523" s="9"/>
      <c r="F523" s="9"/>
      <c r="G523" s="9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9"/>
      <c r="B524" s="9"/>
      <c r="C524" s="9" t="str">
        <f>if(len(A524)&gt;0, VLOOKUP(A524,Lookup!$A$2:$F1000,6,FALSE),"")</f>
        <v/>
      </c>
      <c r="D524" s="9"/>
      <c r="E524" s="9"/>
      <c r="F524" s="9"/>
      <c r="G524" s="9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9"/>
      <c r="B525" s="9"/>
      <c r="C525" s="9" t="str">
        <f>if(len(A525)&gt;0, VLOOKUP(A525,Lookup!$A$2:$F1000,6,FALSE),"")</f>
        <v/>
      </c>
      <c r="D525" s="9"/>
      <c r="E525" s="9"/>
      <c r="F525" s="9"/>
      <c r="G525" s="9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9"/>
      <c r="B526" s="9"/>
      <c r="C526" s="9" t="str">
        <f>if(len(A526)&gt;0, VLOOKUP(A526,Lookup!$A$2:$F1000,6,FALSE),"")</f>
        <v/>
      </c>
      <c r="D526" s="9"/>
      <c r="E526" s="9"/>
      <c r="F526" s="9"/>
      <c r="G526" s="9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9"/>
      <c r="B527" s="9"/>
      <c r="C527" s="9" t="str">
        <f>if(len(A527)&gt;0, VLOOKUP(A527,Lookup!$A$2:$F1000,6,FALSE),"")</f>
        <v/>
      </c>
      <c r="D527" s="9"/>
      <c r="E527" s="9"/>
      <c r="F527" s="9"/>
      <c r="G527" s="9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9"/>
      <c r="B528" s="9"/>
      <c r="C528" s="9" t="str">
        <f>if(len(A528)&gt;0, VLOOKUP(A528,Lookup!$A$2:$F1000,6,FALSE),"")</f>
        <v/>
      </c>
      <c r="D528" s="9"/>
      <c r="E528" s="9"/>
      <c r="F528" s="9"/>
      <c r="G528" s="9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9"/>
      <c r="B529" s="9"/>
      <c r="C529" s="9" t="str">
        <f>if(len(A529)&gt;0, VLOOKUP(A529,Lookup!$A$2:$F1000,6,FALSE),"")</f>
        <v/>
      </c>
      <c r="D529" s="9"/>
      <c r="E529" s="9"/>
      <c r="F529" s="9"/>
      <c r="G529" s="9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9"/>
      <c r="B530" s="9"/>
      <c r="C530" s="9" t="str">
        <f>if(len(A530)&gt;0, VLOOKUP(A530,Lookup!$A$2:$F1000,6,FALSE),"")</f>
        <v/>
      </c>
      <c r="D530" s="9"/>
      <c r="E530" s="9"/>
      <c r="F530" s="9"/>
      <c r="G530" s="9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9"/>
      <c r="B531" s="9"/>
      <c r="C531" s="9" t="str">
        <f>if(len(A531)&gt;0, VLOOKUP(A531,Lookup!$A$2:$F1000,6,FALSE),"")</f>
        <v/>
      </c>
      <c r="D531" s="9"/>
      <c r="E531" s="9"/>
      <c r="F531" s="9"/>
      <c r="G531" s="9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9"/>
      <c r="B532" s="9"/>
      <c r="C532" s="9" t="str">
        <f>if(len(A532)&gt;0, VLOOKUP(A532,Lookup!$A$2:$F1000,6,FALSE),"")</f>
        <v/>
      </c>
      <c r="D532" s="9"/>
      <c r="E532" s="9"/>
      <c r="F532" s="9"/>
      <c r="G532" s="9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9"/>
      <c r="B533" s="9"/>
      <c r="C533" s="9" t="str">
        <f>if(len(A533)&gt;0, VLOOKUP(A533,Lookup!$A$2:$F1000,6,FALSE),"")</f>
        <v/>
      </c>
      <c r="D533" s="9"/>
      <c r="E533" s="9"/>
      <c r="F533" s="9"/>
      <c r="G533" s="9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9"/>
      <c r="B534" s="9"/>
      <c r="C534" s="9" t="str">
        <f>if(len(A534)&gt;0, VLOOKUP(A534,Lookup!$A$2:$F1000,6,FALSE),"")</f>
        <v/>
      </c>
      <c r="D534" s="9"/>
      <c r="E534" s="9"/>
      <c r="F534" s="9"/>
      <c r="G534" s="9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9"/>
      <c r="B535" s="9"/>
      <c r="C535" s="9" t="str">
        <f>if(len(A535)&gt;0, VLOOKUP(A535,Lookup!$A$2:$F1000,6,FALSE),"")</f>
        <v/>
      </c>
      <c r="D535" s="9"/>
      <c r="E535" s="9"/>
      <c r="F535" s="9"/>
      <c r="G535" s="9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9"/>
      <c r="B536" s="9"/>
      <c r="C536" s="9" t="str">
        <f>if(len(A536)&gt;0, VLOOKUP(A536,Lookup!$A$2:$F1000,6,FALSE),"")</f>
        <v/>
      </c>
      <c r="D536" s="9"/>
      <c r="E536" s="9"/>
      <c r="F536" s="9"/>
      <c r="G536" s="9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9"/>
      <c r="B537" s="9"/>
      <c r="C537" s="9" t="str">
        <f>if(len(A537)&gt;0, VLOOKUP(A537,Lookup!$A$2:$F1000,6,FALSE),"")</f>
        <v/>
      </c>
      <c r="D537" s="9"/>
      <c r="E537" s="9"/>
      <c r="F537" s="9"/>
      <c r="G537" s="9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9"/>
      <c r="B538" s="9"/>
      <c r="C538" s="9" t="str">
        <f>if(len(A538)&gt;0, VLOOKUP(A538,Lookup!$A$2:$F1000,6,FALSE),"")</f>
        <v/>
      </c>
      <c r="D538" s="9"/>
      <c r="E538" s="9"/>
      <c r="F538" s="9"/>
      <c r="G538" s="9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9"/>
      <c r="B539" s="9"/>
      <c r="C539" s="9" t="str">
        <f>if(len(A539)&gt;0, VLOOKUP(A539,Lookup!$A$2:$F1000,6,FALSE),"")</f>
        <v/>
      </c>
      <c r="D539" s="9"/>
      <c r="E539" s="9"/>
      <c r="F539" s="9"/>
      <c r="G539" s="9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9"/>
      <c r="B540" s="9"/>
      <c r="C540" s="9" t="str">
        <f>if(len(A540)&gt;0, VLOOKUP(A540,Lookup!$A$2:$F1000,6,FALSE),"")</f>
        <v/>
      </c>
      <c r="D540" s="9"/>
      <c r="E540" s="9"/>
      <c r="F540" s="9"/>
      <c r="G540" s="9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9"/>
      <c r="B541" s="9"/>
      <c r="C541" s="9" t="str">
        <f>if(len(A541)&gt;0, VLOOKUP(A541,Lookup!$A$2:$F1000,6,FALSE),"")</f>
        <v/>
      </c>
      <c r="D541" s="9"/>
      <c r="E541" s="9"/>
      <c r="F541" s="9"/>
      <c r="G541" s="9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9"/>
      <c r="B542" s="9"/>
      <c r="C542" s="9" t="str">
        <f>if(len(A542)&gt;0, VLOOKUP(A542,Lookup!$A$2:$F1000,6,FALSE),"")</f>
        <v/>
      </c>
      <c r="D542" s="9"/>
      <c r="E542" s="9"/>
      <c r="F542" s="9"/>
      <c r="G542" s="9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9"/>
      <c r="B543" s="9"/>
      <c r="C543" s="9" t="str">
        <f>if(len(A543)&gt;0, VLOOKUP(A543,Lookup!$A$2:$F1000,6,FALSE),"")</f>
        <v/>
      </c>
      <c r="D543" s="9"/>
      <c r="E543" s="9"/>
      <c r="F543" s="9"/>
      <c r="G543" s="9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9"/>
      <c r="B544" s="9"/>
      <c r="C544" s="9" t="str">
        <f>if(len(A544)&gt;0, VLOOKUP(A544,Lookup!$A$2:$F1000,6,FALSE),"")</f>
        <v/>
      </c>
      <c r="D544" s="9"/>
      <c r="E544" s="9"/>
      <c r="F544" s="9"/>
      <c r="G544" s="9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9"/>
      <c r="B545" s="9"/>
      <c r="C545" s="9" t="str">
        <f>if(len(A545)&gt;0, VLOOKUP(A545,Lookup!$A$2:$F1000,6,FALSE),"")</f>
        <v/>
      </c>
      <c r="D545" s="9"/>
      <c r="E545" s="9"/>
      <c r="F545" s="9"/>
      <c r="G545" s="9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9"/>
      <c r="B546" s="9"/>
      <c r="C546" s="9" t="str">
        <f>if(len(A546)&gt;0, VLOOKUP(A546,Lookup!$A$2:$F1000,6,FALSE),"")</f>
        <v/>
      </c>
      <c r="D546" s="9"/>
      <c r="E546" s="9"/>
      <c r="F546" s="9"/>
      <c r="G546" s="9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9"/>
      <c r="B547" s="9"/>
      <c r="C547" s="9" t="str">
        <f>if(len(A547)&gt;0, VLOOKUP(A547,Lookup!$A$2:$F1000,6,FALSE),"")</f>
        <v/>
      </c>
      <c r="D547" s="9"/>
      <c r="E547" s="9"/>
      <c r="F547" s="9"/>
      <c r="G547" s="9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9"/>
      <c r="B548" s="9"/>
      <c r="C548" s="9" t="str">
        <f>if(len(A548)&gt;0, VLOOKUP(A548,Lookup!$A$2:$F1000,6,FALSE),"")</f>
        <v/>
      </c>
      <c r="D548" s="9"/>
      <c r="E548" s="9"/>
      <c r="F548" s="9"/>
      <c r="G548" s="9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9"/>
      <c r="B549" s="9"/>
      <c r="C549" s="9" t="str">
        <f>if(len(A549)&gt;0, VLOOKUP(A549,Lookup!$A$2:$F1000,6,FALSE),"")</f>
        <v/>
      </c>
      <c r="D549" s="9"/>
      <c r="E549" s="9"/>
      <c r="F549" s="9"/>
      <c r="G549" s="9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9"/>
      <c r="B550" s="9"/>
      <c r="C550" s="9" t="str">
        <f>if(len(A550)&gt;0, VLOOKUP(A550,Lookup!$A$2:$F1000,6,FALSE),"")</f>
        <v/>
      </c>
      <c r="D550" s="9"/>
      <c r="E550" s="9"/>
      <c r="F550" s="9"/>
      <c r="G550" s="9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9"/>
      <c r="B551" s="9"/>
      <c r="C551" s="9" t="str">
        <f>if(len(A551)&gt;0, VLOOKUP(A551,Lookup!$A$2:$F1000,6,FALSE),"")</f>
        <v/>
      </c>
      <c r="D551" s="9"/>
      <c r="E551" s="9"/>
      <c r="F551" s="9"/>
      <c r="G551" s="9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9"/>
      <c r="B552" s="9"/>
      <c r="C552" s="9" t="str">
        <f>if(len(A552)&gt;0, VLOOKUP(A552,Lookup!$A$2:$F1000,6,FALSE),"")</f>
        <v/>
      </c>
      <c r="D552" s="9"/>
      <c r="E552" s="9"/>
      <c r="F552" s="9"/>
      <c r="G552" s="9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9"/>
      <c r="B553" s="9"/>
      <c r="C553" s="9" t="str">
        <f>if(len(A553)&gt;0, VLOOKUP(A553,Lookup!$A$2:$F1000,6,FALSE),"")</f>
        <v/>
      </c>
      <c r="D553" s="9"/>
      <c r="E553" s="9"/>
      <c r="F553" s="9"/>
      <c r="G553" s="9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9"/>
      <c r="B554" s="9"/>
      <c r="C554" s="9" t="str">
        <f>if(len(A554)&gt;0, VLOOKUP(A554,Lookup!$A$2:$F1000,6,FALSE),"")</f>
        <v/>
      </c>
      <c r="D554" s="9"/>
      <c r="E554" s="9"/>
      <c r="F554" s="9"/>
      <c r="G554" s="9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9"/>
      <c r="B555" s="9"/>
      <c r="C555" s="9" t="str">
        <f>if(len(A555)&gt;0, VLOOKUP(A555,Lookup!$A$2:$F1000,6,FALSE),"")</f>
        <v/>
      </c>
      <c r="D555" s="9"/>
      <c r="E555" s="9"/>
      <c r="F555" s="9"/>
      <c r="G555" s="9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9"/>
      <c r="B556" s="9"/>
      <c r="C556" s="9" t="str">
        <f>if(len(A556)&gt;0, VLOOKUP(A556,Lookup!$A$2:$F1000,6,FALSE),"")</f>
        <v/>
      </c>
      <c r="D556" s="9"/>
      <c r="E556" s="9"/>
      <c r="F556" s="9"/>
      <c r="G556" s="9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9"/>
      <c r="B557" s="9"/>
      <c r="C557" s="9" t="str">
        <f>if(len(A557)&gt;0, VLOOKUP(A557,Lookup!$A$2:$F1000,6,FALSE),"")</f>
        <v/>
      </c>
      <c r="D557" s="9"/>
      <c r="E557" s="9"/>
      <c r="F557" s="9"/>
      <c r="G557" s="9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9"/>
      <c r="B558" s="9"/>
      <c r="C558" s="9" t="str">
        <f>if(len(A558)&gt;0, VLOOKUP(A558,Lookup!$A$2:$F1000,6,FALSE),"")</f>
        <v/>
      </c>
      <c r="D558" s="9"/>
      <c r="E558" s="9"/>
      <c r="F558" s="9"/>
      <c r="G558" s="9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9"/>
      <c r="B559" s="9"/>
      <c r="C559" s="9" t="str">
        <f>if(len(A559)&gt;0, VLOOKUP(A559,Lookup!$A$2:$F1000,6,FALSE),"")</f>
        <v/>
      </c>
      <c r="D559" s="9"/>
      <c r="E559" s="9"/>
      <c r="F559" s="9"/>
      <c r="G559" s="9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9"/>
      <c r="B560" s="9"/>
      <c r="C560" s="9" t="str">
        <f>if(len(A560)&gt;0, VLOOKUP(A560,Lookup!$A$2:$F1000,6,FALSE),"")</f>
        <v/>
      </c>
      <c r="D560" s="9"/>
      <c r="E560" s="9"/>
      <c r="F560" s="9"/>
      <c r="G560" s="9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9"/>
      <c r="B561" s="9"/>
      <c r="C561" s="9" t="str">
        <f>if(len(A561)&gt;0, VLOOKUP(A561,Lookup!$A$2:$F1000,6,FALSE),"")</f>
        <v/>
      </c>
      <c r="D561" s="9"/>
      <c r="E561" s="9"/>
      <c r="F561" s="9"/>
      <c r="G561" s="9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9"/>
      <c r="B562" s="9"/>
      <c r="C562" s="9" t="str">
        <f>if(len(A562)&gt;0, VLOOKUP(A562,Lookup!$A$2:$F1000,6,FALSE),"")</f>
        <v/>
      </c>
      <c r="D562" s="9"/>
      <c r="E562" s="9"/>
      <c r="F562" s="9"/>
      <c r="G562" s="9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9"/>
      <c r="B563" s="9"/>
      <c r="C563" s="9" t="str">
        <f>if(len(A563)&gt;0, VLOOKUP(A563,Lookup!$A$2:$F1000,6,FALSE),"")</f>
        <v/>
      </c>
      <c r="D563" s="9"/>
      <c r="E563" s="9"/>
      <c r="F563" s="9"/>
      <c r="G563" s="9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9"/>
      <c r="B564" s="9"/>
      <c r="C564" s="9" t="str">
        <f>if(len(A564)&gt;0, VLOOKUP(A564,Lookup!$A$2:$F1000,6,FALSE),"")</f>
        <v/>
      </c>
      <c r="D564" s="9"/>
      <c r="E564" s="9"/>
      <c r="F564" s="9"/>
      <c r="G564" s="9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9"/>
      <c r="B565" s="9"/>
      <c r="C565" s="9" t="str">
        <f>if(len(A565)&gt;0, VLOOKUP(A565,Lookup!$A$2:$F1000,6,FALSE),"")</f>
        <v/>
      </c>
      <c r="D565" s="9"/>
      <c r="E565" s="9"/>
      <c r="F565" s="9"/>
      <c r="G565" s="9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9"/>
      <c r="B566" s="9"/>
      <c r="C566" s="9" t="str">
        <f>if(len(A566)&gt;0, VLOOKUP(A566,Lookup!$A$2:$F1000,6,FALSE),"")</f>
        <v/>
      </c>
      <c r="D566" s="9"/>
      <c r="E566" s="9"/>
      <c r="F566" s="9"/>
      <c r="G566" s="9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9"/>
      <c r="B567" s="9"/>
      <c r="C567" s="9" t="str">
        <f>if(len(A567)&gt;0, VLOOKUP(A567,Lookup!$A$2:$F1000,6,FALSE),"")</f>
        <v/>
      </c>
      <c r="D567" s="9"/>
      <c r="E567" s="9"/>
      <c r="F567" s="9"/>
      <c r="G567" s="9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9"/>
      <c r="B568" s="9"/>
      <c r="C568" s="9" t="str">
        <f>if(len(A568)&gt;0, VLOOKUP(A568,Lookup!$A$2:$F1000,6,FALSE),"")</f>
        <v/>
      </c>
      <c r="D568" s="9"/>
      <c r="E568" s="9"/>
      <c r="F568" s="9"/>
      <c r="G568" s="9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9"/>
      <c r="B569" s="9"/>
      <c r="C569" s="9" t="str">
        <f>if(len(A569)&gt;0, VLOOKUP(A569,Lookup!$A$2:$F1000,6,FALSE),"")</f>
        <v/>
      </c>
      <c r="D569" s="9"/>
      <c r="E569" s="9"/>
      <c r="F569" s="9"/>
      <c r="G569" s="9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9"/>
      <c r="B570" s="9"/>
      <c r="C570" s="9" t="str">
        <f>if(len(A570)&gt;0, VLOOKUP(A570,Lookup!$A$2:$F1000,6,FALSE),"")</f>
        <v/>
      </c>
      <c r="D570" s="9"/>
      <c r="E570" s="9"/>
      <c r="F570" s="9"/>
      <c r="G570" s="9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9"/>
      <c r="B571" s="9"/>
      <c r="C571" s="9" t="str">
        <f>if(len(A571)&gt;0, VLOOKUP(A571,Lookup!$A$2:$F1000,6,FALSE),"")</f>
        <v/>
      </c>
      <c r="D571" s="9"/>
      <c r="E571" s="9"/>
      <c r="F571" s="9"/>
      <c r="G571" s="9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9"/>
      <c r="B572" s="9"/>
      <c r="C572" s="9" t="str">
        <f>if(len(A572)&gt;0, VLOOKUP(A572,Lookup!$A$2:$F1000,6,FALSE),"")</f>
        <v/>
      </c>
      <c r="D572" s="9"/>
      <c r="E572" s="9"/>
      <c r="F572" s="9"/>
      <c r="G572" s="9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9"/>
      <c r="B573" s="9"/>
      <c r="C573" s="9" t="str">
        <f>if(len(A573)&gt;0, VLOOKUP(A573,Lookup!$A$2:$F1000,6,FALSE),"")</f>
        <v/>
      </c>
      <c r="D573" s="9"/>
      <c r="E573" s="9"/>
      <c r="F573" s="9"/>
      <c r="G573" s="9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9"/>
      <c r="B574" s="9"/>
      <c r="C574" s="9" t="str">
        <f>if(len(A574)&gt;0, VLOOKUP(A574,Lookup!$A$2:$F1000,6,FALSE),"")</f>
        <v/>
      </c>
      <c r="D574" s="9"/>
      <c r="E574" s="9"/>
      <c r="F574" s="9"/>
      <c r="G574" s="9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9"/>
      <c r="B575" s="9"/>
      <c r="C575" s="9" t="str">
        <f>if(len(A575)&gt;0, VLOOKUP(A575,Lookup!$A$2:$F1000,6,FALSE),"")</f>
        <v/>
      </c>
      <c r="D575" s="9"/>
      <c r="E575" s="9"/>
      <c r="F575" s="9"/>
      <c r="G575" s="9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9"/>
      <c r="B576" s="9"/>
      <c r="C576" s="9" t="str">
        <f>if(len(A576)&gt;0, VLOOKUP(A576,Lookup!$A$2:$F1000,6,FALSE),"")</f>
        <v/>
      </c>
      <c r="D576" s="9"/>
      <c r="E576" s="9"/>
      <c r="F576" s="9"/>
      <c r="G576" s="9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9"/>
      <c r="B577" s="9"/>
      <c r="C577" s="9" t="str">
        <f>if(len(A577)&gt;0, VLOOKUP(A577,Lookup!$A$2:$F1000,6,FALSE),"")</f>
        <v/>
      </c>
      <c r="D577" s="9"/>
      <c r="E577" s="9"/>
      <c r="F577" s="9"/>
      <c r="G577" s="9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9"/>
      <c r="B578" s="9"/>
      <c r="C578" s="9" t="str">
        <f>if(len(A578)&gt;0, VLOOKUP(A578,Lookup!$A$2:$F1000,6,FALSE),"")</f>
        <v/>
      </c>
      <c r="D578" s="9"/>
      <c r="E578" s="9"/>
      <c r="F578" s="9"/>
      <c r="G578" s="9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9"/>
      <c r="B579" s="9"/>
      <c r="C579" s="9" t="str">
        <f>if(len(A579)&gt;0, VLOOKUP(A579,Lookup!$A$2:$F1000,6,FALSE),"")</f>
        <v/>
      </c>
      <c r="D579" s="9"/>
      <c r="E579" s="9"/>
      <c r="F579" s="9"/>
      <c r="G579" s="9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9"/>
      <c r="B580" s="9"/>
      <c r="C580" s="9" t="str">
        <f>if(len(A580)&gt;0, VLOOKUP(A580,Lookup!$A$2:$F1000,6,FALSE),"")</f>
        <v/>
      </c>
      <c r="D580" s="9"/>
      <c r="E580" s="9"/>
      <c r="F580" s="9"/>
      <c r="G580" s="9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9"/>
      <c r="B581" s="9"/>
      <c r="C581" s="9" t="str">
        <f>if(len(A581)&gt;0, VLOOKUP(A581,Lookup!$A$2:$F1000,6,FALSE),"")</f>
        <v/>
      </c>
      <c r="D581" s="9"/>
      <c r="E581" s="9"/>
      <c r="F581" s="9"/>
      <c r="G581" s="9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9"/>
      <c r="B582" s="9"/>
      <c r="C582" s="9" t="str">
        <f>if(len(A582)&gt;0, VLOOKUP(A582,Lookup!$A$2:$F1000,6,FALSE),"")</f>
        <v/>
      </c>
      <c r="D582" s="9"/>
      <c r="E582" s="9"/>
      <c r="F582" s="9"/>
      <c r="G582" s="9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9"/>
      <c r="B583" s="9"/>
      <c r="C583" s="9" t="str">
        <f>if(len(A583)&gt;0, VLOOKUP(A583,Lookup!$A$2:$F1000,6,FALSE),"")</f>
        <v/>
      </c>
      <c r="D583" s="9"/>
      <c r="E583" s="9"/>
      <c r="F583" s="9"/>
      <c r="G583" s="9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9"/>
      <c r="B584" s="9"/>
      <c r="C584" s="9" t="str">
        <f>if(len(A584)&gt;0, VLOOKUP(A584,Lookup!$A$2:$F1000,6,FALSE),"")</f>
        <v/>
      </c>
      <c r="D584" s="9"/>
      <c r="E584" s="9"/>
      <c r="F584" s="9"/>
      <c r="G584" s="9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9"/>
      <c r="B585" s="9"/>
      <c r="C585" s="9" t="str">
        <f>if(len(A585)&gt;0, VLOOKUP(A585,Lookup!$A$2:$F1000,6,FALSE),"")</f>
        <v/>
      </c>
      <c r="D585" s="9"/>
      <c r="E585" s="9"/>
      <c r="F585" s="9"/>
      <c r="G585" s="9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9"/>
      <c r="B586" s="9"/>
      <c r="C586" s="9" t="str">
        <f>if(len(A586)&gt;0, VLOOKUP(A586,Lookup!$A$2:$F1000,6,FALSE),"")</f>
        <v/>
      </c>
      <c r="D586" s="9"/>
      <c r="E586" s="9"/>
      <c r="F586" s="9"/>
      <c r="G586" s="9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9"/>
      <c r="B587" s="9"/>
      <c r="C587" s="9" t="str">
        <f>if(len(A587)&gt;0, VLOOKUP(A587,Lookup!$A$2:$F1000,6,FALSE),"")</f>
        <v/>
      </c>
      <c r="D587" s="9"/>
      <c r="E587" s="9"/>
      <c r="F587" s="9"/>
      <c r="G587" s="9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9"/>
      <c r="B588" s="9"/>
      <c r="C588" s="9" t="str">
        <f>if(len(A588)&gt;0, VLOOKUP(A588,Lookup!$A$2:$F1000,6,FALSE),"")</f>
        <v/>
      </c>
      <c r="D588" s="9"/>
      <c r="E588" s="9"/>
      <c r="F588" s="9"/>
      <c r="G588" s="9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9"/>
      <c r="B589" s="9"/>
      <c r="C589" s="9" t="str">
        <f>if(len(A589)&gt;0, VLOOKUP(A589,Lookup!$A$2:$F1000,6,FALSE),"")</f>
        <v/>
      </c>
      <c r="D589" s="9"/>
      <c r="E589" s="9"/>
      <c r="F589" s="9"/>
      <c r="G589" s="9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9"/>
      <c r="B590" s="9"/>
      <c r="C590" s="9" t="str">
        <f>if(len(A590)&gt;0, VLOOKUP(A590,Lookup!$A$2:$F1000,6,FALSE),"")</f>
        <v/>
      </c>
      <c r="D590" s="9"/>
      <c r="E590" s="9"/>
      <c r="F590" s="9"/>
      <c r="G590" s="9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9"/>
      <c r="B591" s="9"/>
      <c r="C591" s="9" t="str">
        <f>if(len(A591)&gt;0, VLOOKUP(A591,Lookup!$A$2:$F1000,6,FALSE),"")</f>
        <v/>
      </c>
      <c r="D591" s="9"/>
      <c r="E591" s="9"/>
      <c r="F591" s="9"/>
      <c r="G591" s="9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9"/>
      <c r="B592" s="9"/>
      <c r="C592" s="9" t="str">
        <f>if(len(A592)&gt;0, VLOOKUP(A592,Lookup!$A$2:$F1000,6,FALSE),"")</f>
        <v/>
      </c>
      <c r="D592" s="9"/>
      <c r="E592" s="9"/>
      <c r="F592" s="9"/>
      <c r="G592" s="9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9"/>
      <c r="B593" s="9"/>
      <c r="C593" s="9" t="str">
        <f>if(len(A593)&gt;0, VLOOKUP(A593,Lookup!$A$2:$F1000,6,FALSE),"")</f>
        <v/>
      </c>
      <c r="D593" s="9"/>
      <c r="E593" s="9"/>
      <c r="F593" s="9"/>
      <c r="G593" s="9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9"/>
      <c r="B594" s="9"/>
      <c r="C594" s="9" t="str">
        <f>if(len(A594)&gt;0, VLOOKUP(A594,Lookup!$A$2:$F1000,6,FALSE),"")</f>
        <v/>
      </c>
      <c r="D594" s="9"/>
      <c r="E594" s="9"/>
      <c r="F594" s="9"/>
      <c r="G594" s="9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9"/>
      <c r="B595" s="9"/>
      <c r="C595" s="9" t="str">
        <f>if(len(A595)&gt;0, VLOOKUP(A595,Lookup!$A$2:$F1000,6,FALSE),"")</f>
        <v/>
      </c>
      <c r="D595" s="9"/>
      <c r="E595" s="9"/>
      <c r="F595" s="9"/>
      <c r="G595" s="9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9"/>
      <c r="B596" s="9"/>
      <c r="C596" s="9" t="str">
        <f>if(len(A596)&gt;0, VLOOKUP(A596,Lookup!$A$2:$F1000,6,FALSE),"")</f>
        <v/>
      </c>
      <c r="D596" s="9"/>
      <c r="E596" s="9"/>
      <c r="F596" s="9"/>
      <c r="G596" s="9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9"/>
      <c r="B597" s="9"/>
      <c r="C597" s="9" t="str">
        <f>if(len(A597)&gt;0, VLOOKUP(A597,Lookup!$A$2:$F1000,6,FALSE),"")</f>
        <v/>
      </c>
      <c r="D597" s="9"/>
      <c r="E597" s="9"/>
      <c r="F597" s="9"/>
      <c r="G597" s="9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9"/>
      <c r="B598" s="9"/>
      <c r="C598" s="9" t="str">
        <f>if(len(A598)&gt;0, VLOOKUP(A598,Lookup!$A$2:$F1000,6,FALSE),"")</f>
        <v/>
      </c>
      <c r="D598" s="9"/>
      <c r="E598" s="9"/>
      <c r="F598" s="9"/>
      <c r="G598" s="9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9"/>
      <c r="B599" s="9"/>
      <c r="C599" s="9" t="str">
        <f>if(len(A599)&gt;0, VLOOKUP(A599,Lookup!$A$2:$F1000,6,FALSE),"")</f>
        <v/>
      </c>
      <c r="D599" s="9"/>
      <c r="E599" s="9"/>
      <c r="F599" s="9"/>
      <c r="G599" s="9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9"/>
      <c r="B600" s="9"/>
      <c r="C600" s="9" t="str">
        <f>if(len(A600)&gt;0, VLOOKUP(A600,Lookup!$A$2:$F1000,6,FALSE),"")</f>
        <v/>
      </c>
      <c r="D600" s="9"/>
      <c r="E600" s="9"/>
      <c r="F600" s="9"/>
      <c r="G600" s="9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9"/>
      <c r="B601" s="9"/>
      <c r="C601" s="9" t="str">
        <f>if(len(A601)&gt;0, VLOOKUP(A601,Lookup!$A$2:$F1000,6,FALSE),"")</f>
        <v/>
      </c>
      <c r="D601" s="9"/>
      <c r="E601" s="9"/>
      <c r="F601" s="9"/>
      <c r="G601" s="9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9"/>
      <c r="B602" s="9"/>
      <c r="C602" s="9" t="str">
        <f>if(len(A602)&gt;0, VLOOKUP(A602,Lookup!$A$2:$F1000,6,FALSE),"")</f>
        <v/>
      </c>
      <c r="D602" s="9"/>
      <c r="E602" s="9"/>
      <c r="F602" s="9"/>
      <c r="G602" s="9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9"/>
      <c r="B603" s="9"/>
      <c r="C603" s="9" t="str">
        <f>if(len(A603)&gt;0, VLOOKUP(A603,Lookup!$A$2:$F1000,6,FALSE),"")</f>
        <v/>
      </c>
      <c r="D603" s="9"/>
      <c r="E603" s="9"/>
      <c r="F603" s="9"/>
      <c r="G603" s="9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9"/>
      <c r="B604" s="9"/>
      <c r="C604" s="9" t="str">
        <f>if(len(A604)&gt;0, VLOOKUP(A604,Lookup!$A$2:$F1000,6,FALSE),"")</f>
        <v/>
      </c>
      <c r="D604" s="9"/>
      <c r="E604" s="9"/>
      <c r="F604" s="9"/>
      <c r="G604" s="9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9"/>
      <c r="B605" s="9"/>
      <c r="C605" s="9" t="str">
        <f>if(len(A605)&gt;0, VLOOKUP(A605,Lookup!$A$2:$F1000,6,FALSE),"")</f>
        <v/>
      </c>
      <c r="D605" s="9"/>
      <c r="E605" s="9"/>
      <c r="F605" s="9"/>
      <c r="G605" s="9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9"/>
      <c r="B606" s="9"/>
      <c r="C606" s="9" t="str">
        <f>if(len(A606)&gt;0, VLOOKUP(A606,Lookup!$A$2:$F1000,6,FALSE),"")</f>
        <v/>
      </c>
      <c r="D606" s="9"/>
      <c r="E606" s="9"/>
      <c r="F606" s="9"/>
      <c r="G606" s="9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9"/>
      <c r="B607" s="9"/>
      <c r="C607" s="9" t="str">
        <f>if(len(A607)&gt;0, VLOOKUP(A607,Lookup!$A$2:$F1000,6,FALSE),"")</f>
        <v/>
      </c>
      <c r="D607" s="9"/>
      <c r="E607" s="9"/>
      <c r="F607" s="9"/>
      <c r="G607" s="9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9"/>
      <c r="B608" s="9"/>
      <c r="C608" s="9" t="str">
        <f>if(len(A608)&gt;0, VLOOKUP(A608,Lookup!$A$2:$F1000,6,FALSE),"")</f>
        <v/>
      </c>
      <c r="D608" s="9"/>
      <c r="E608" s="9"/>
      <c r="F608" s="9"/>
      <c r="G608" s="9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9"/>
      <c r="B609" s="9"/>
      <c r="C609" s="9" t="str">
        <f>if(len(A609)&gt;0, VLOOKUP(A609,Lookup!$A$2:$F1000,6,FALSE),"")</f>
        <v/>
      </c>
      <c r="D609" s="9"/>
      <c r="E609" s="9"/>
      <c r="F609" s="9"/>
      <c r="G609" s="9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9"/>
      <c r="B610" s="9"/>
      <c r="C610" s="9" t="str">
        <f>if(len(A610)&gt;0, VLOOKUP(A610,Lookup!$A$2:$F1000,6,FALSE),"")</f>
        <v/>
      </c>
      <c r="D610" s="9"/>
      <c r="E610" s="9"/>
      <c r="F610" s="9"/>
      <c r="G610" s="9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9"/>
      <c r="B611" s="9"/>
      <c r="C611" s="9" t="str">
        <f>if(len(A611)&gt;0, VLOOKUP(A611,Lookup!$A$2:$F1000,6,FALSE),"")</f>
        <v/>
      </c>
      <c r="D611" s="9"/>
      <c r="E611" s="9"/>
      <c r="F611" s="9"/>
      <c r="G611" s="9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9"/>
      <c r="B612" s="9"/>
      <c r="C612" s="9" t="str">
        <f>if(len(A612)&gt;0, VLOOKUP(A612,Lookup!$A$2:$F1000,6,FALSE),"")</f>
        <v/>
      </c>
      <c r="D612" s="9"/>
      <c r="E612" s="9"/>
      <c r="F612" s="9"/>
      <c r="G612" s="9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9"/>
      <c r="B613" s="9"/>
      <c r="C613" s="9" t="str">
        <f>if(len(A613)&gt;0, VLOOKUP(A613,Lookup!$A$2:$F1000,6,FALSE),"")</f>
        <v/>
      </c>
      <c r="D613" s="9"/>
      <c r="E613" s="9"/>
      <c r="F613" s="9"/>
      <c r="G613" s="9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9"/>
      <c r="B614" s="9"/>
      <c r="C614" s="9" t="str">
        <f>if(len(A614)&gt;0, VLOOKUP(A614,Lookup!$A$2:$F1000,6,FALSE),"")</f>
        <v/>
      </c>
      <c r="D614" s="9"/>
      <c r="E614" s="9"/>
      <c r="F614" s="9"/>
      <c r="G614" s="9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9"/>
      <c r="B615" s="9"/>
      <c r="C615" s="9" t="str">
        <f>if(len(A615)&gt;0, VLOOKUP(A615,Lookup!$A$2:$F1000,6,FALSE),"")</f>
        <v/>
      </c>
      <c r="D615" s="9"/>
      <c r="E615" s="9"/>
      <c r="F615" s="9"/>
      <c r="G615" s="9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9"/>
      <c r="B616" s="9"/>
      <c r="C616" s="9" t="str">
        <f>if(len(A616)&gt;0, VLOOKUP(A616,Lookup!$A$2:$F1000,6,FALSE),"")</f>
        <v/>
      </c>
      <c r="D616" s="9"/>
      <c r="E616" s="9"/>
      <c r="F616" s="9"/>
      <c r="G616" s="9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9"/>
      <c r="B617" s="9"/>
      <c r="C617" s="9" t="str">
        <f>if(len(A617)&gt;0, VLOOKUP(A617,Lookup!$A$2:$F1000,6,FALSE),"")</f>
        <v/>
      </c>
      <c r="D617" s="9"/>
      <c r="E617" s="9"/>
      <c r="F617" s="9"/>
      <c r="G617" s="9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9"/>
      <c r="B618" s="9"/>
      <c r="C618" s="9" t="str">
        <f>if(len(A618)&gt;0, VLOOKUP(A618,Lookup!$A$2:$F1000,6,FALSE),"")</f>
        <v/>
      </c>
      <c r="D618" s="9"/>
      <c r="E618" s="9"/>
      <c r="F618" s="9"/>
      <c r="G618" s="9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9"/>
      <c r="B619" s="9"/>
      <c r="C619" s="9" t="str">
        <f>if(len(A619)&gt;0, VLOOKUP(A619,Lookup!$A$2:$F1000,6,FALSE),"")</f>
        <v/>
      </c>
      <c r="D619" s="9"/>
      <c r="E619" s="9"/>
      <c r="F619" s="9"/>
      <c r="G619" s="9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9"/>
      <c r="B620" s="9"/>
      <c r="C620" s="9" t="str">
        <f>if(len(A620)&gt;0, VLOOKUP(A620,Lookup!$A$2:$F1000,6,FALSE),"")</f>
        <v/>
      </c>
      <c r="D620" s="9"/>
      <c r="E620" s="9"/>
      <c r="F620" s="9"/>
      <c r="G620" s="9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9"/>
      <c r="B621" s="9"/>
      <c r="C621" s="9" t="str">
        <f>if(len(A621)&gt;0, VLOOKUP(A621,Lookup!$A$2:$F1000,6,FALSE),"")</f>
        <v/>
      </c>
      <c r="D621" s="9"/>
      <c r="E621" s="9"/>
      <c r="F621" s="9"/>
      <c r="G621" s="9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9"/>
      <c r="B622" s="9"/>
      <c r="C622" s="9" t="str">
        <f>if(len(A622)&gt;0, VLOOKUP(A622,Lookup!$A$2:$F1000,6,FALSE),"")</f>
        <v/>
      </c>
      <c r="D622" s="9"/>
      <c r="E622" s="9"/>
      <c r="F622" s="9"/>
      <c r="G622" s="9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9"/>
      <c r="B623" s="9"/>
      <c r="C623" s="9" t="str">
        <f>if(len(A623)&gt;0, VLOOKUP(A623,Lookup!$A$2:$F1000,6,FALSE),"")</f>
        <v/>
      </c>
      <c r="D623" s="9"/>
      <c r="E623" s="9"/>
      <c r="F623" s="9"/>
      <c r="G623" s="9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9"/>
      <c r="B624" s="9"/>
      <c r="C624" s="9" t="str">
        <f>if(len(A624)&gt;0, VLOOKUP(A624,Lookup!$A$2:$F1000,6,FALSE),"")</f>
        <v/>
      </c>
      <c r="D624" s="9"/>
      <c r="E624" s="9"/>
      <c r="F624" s="9"/>
      <c r="G624" s="9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9"/>
      <c r="B625" s="9"/>
      <c r="C625" s="9" t="str">
        <f>if(len(A625)&gt;0, VLOOKUP(A625,Lookup!$A$2:$F1000,6,FALSE),"")</f>
        <v/>
      </c>
      <c r="D625" s="9"/>
      <c r="E625" s="9"/>
      <c r="F625" s="9"/>
      <c r="G625" s="9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9"/>
      <c r="B626" s="9"/>
      <c r="C626" s="9" t="str">
        <f>if(len(A626)&gt;0, VLOOKUP(A626,Lookup!$A$2:$F1000,6,FALSE),"")</f>
        <v/>
      </c>
      <c r="D626" s="9"/>
      <c r="E626" s="9"/>
      <c r="F626" s="9"/>
      <c r="G626" s="9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9"/>
      <c r="B627" s="9"/>
      <c r="C627" s="9" t="str">
        <f>if(len(A627)&gt;0, VLOOKUP(A627,Lookup!$A$2:$F1000,6,FALSE),"")</f>
        <v/>
      </c>
      <c r="D627" s="9"/>
      <c r="E627" s="9"/>
      <c r="F627" s="9"/>
      <c r="G627" s="9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9"/>
      <c r="B628" s="9"/>
      <c r="C628" s="9" t="str">
        <f>if(len(A628)&gt;0, VLOOKUP(A628,Lookup!$A$2:$F1000,6,FALSE),"")</f>
        <v/>
      </c>
      <c r="D628" s="9"/>
      <c r="E628" s="9"/>
      <c r="F628" s="9"/>
      <c r="G628" s="9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9"/>
      <c r="B629" s="9"/>
      <c r="C629" s="9" t="str">
        <f>if(len(A629)&gt;0, VLOOKUP(A629,Lookup!$A$2:$F1000,6,FALSE),"")</f>
        <v/>
      </c>
      <c r="D629" s="9"/>
      <c r="E629" s="9"/>
      <c r="F629" s="9"/>
      <c r="G629" s="9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9"/>
      <c r="B630" s="9"/>
      <c r="C630" s="9" t="str">
        <f>if(len(A630)&gt;0, VLOOKUP(A630,Lookup!$A$2:$F1000,6,FALSE),"")</f>
        <v/>
      </c>
      <c r="D630" s="9"/>
      <c r="E630" s="9"/>
      <c r="F630" s="9"/>
      <c r="G630" s="9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9"/>
      <c r="B631" s="9"/>
      <c r="C631" s="9" t="str">
        <f>if(len(A631)&gt;0, VLOOKUP(A631,Lookup!$A$2:$F1000,6,FALSE),"")</f>
        <v/>
      </c>
      <c r="D631" s="9"/>
      <c r="E631" s="9"/>
      <c r="F631" s="9"/>
      <c r="G631" s="9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9"/>
      <c r="B632" s="9"/>
      <c r="C632" s="9" t="str">
        <f>if(len(A632)&gt;0, VLOOKUP(A632,Lookup!$A$2:$F1000,6,FALSE),"")</f>
        <v/>
      </c>
      <c r="D632" s="9"/>
      <c r="E632" s="9"/>
      <c r="F632" s="9"/>
      <c r="G632" s="9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9"/>
      <c r="B633" s="9"/>
      <c r="C633" s="9" t="str">
        <f>if(len(A633)&gt;0, VLOOKUP(A633,Lookup!$A$2:$F1000,6,FALSE),"")</f>
        <v/>
      </c>
      <c r="D633" s="9"/>
      <c r="E633" s="9"/>
      <c r="F633" s="9"/>
      <c r="G633" s="9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9"/>
      <c r="B634" s="9"/>
      <c r="C634" s="9" t="str">
        <f>if(len(A634)&gt;0, VLOOKUP(A634,Lookup!$A$2:$F1000,6,FALSE),"")</f>
        <v/>
      </c>
      <c r="D634" s="9"/>
      <c r="E634" s="9"/>
      <c r="F634" s="9"/>
      <c r="G634" s="9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9"/>
      <c r="B635" s="9"/>
      <c r="C635" s="9" t="str">
        <f>if(len(A635)&gt;0, VLOOKUP(A635,Lookup!$A$2:$F1000,6,FALSE),"")</f>
        <v/>
      </c>
      <c r="D635" s="9"/>
      <c r="E635" s="9"/>
      <c r="F635" s="9"/>
      <c r="G635" s="9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9"/>
      <c r="B636" s="9"/>
      <c r="C636" s="9" t="str">
        <f>if(len(A636)&gt;0, VLOOKUP(A636,Lookup!$A$2:$F1000,6,FALSE),"")</f>
        <v/>
      </c>
      <c r="D636" s="9"/>
      <c r="E636" s="9"/>
      <c r="F636" s="9"/>
      <c r="G636" s="9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9"/>
      <c r="B637" s="9"/>
      <c r="C637" s="9" t="str">
        <f>if(len(A637)&gt;0, VLOOKUP(A637,Lookup!$A$2:$F1000,6,FALSE),"")</f>
        <v/>
      </c>
      <c r="D637" s="9"/>
      <c r="E637" s="9"/>
      <c r="F637" s="9"/>
      <c r="G637" s="9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9"/>
      <c r="B638" s="9"/>
      <c r="C638" s="9" t="str">
        <f>if(len(A638)&gt;0, VLOOKUP(A638,Lookup!$A$2:$F1000,6,FALSE),"")</f>
        <v/>
      </c>
      <c r="D638" s="9"/>
      <c r="E638" s="9"/>
      <c r="F638" s="9"/>
      <c r="G638" s="9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9"/>
      <c r="B639" s="9"/>
      <c r="C639" s="9" t="str">
        <f>if(len(A639)&gt;0, VLOOKUP(A639,Lookup!$A$2:$F1000,6,FALSE),"")</f>
        <v/>
      </c>
      <c r="D639" s="9"/>
      <c r="E639" s="9"/>
      <c r="F639" s="9"/>
      <c r="G639" s="9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9"/>
      <c r="B640" s="9"/>
      <c r="C640" s="9" t="str">
        <f>if(len(A640)&gt;0, VLOOKUP(A640,Lookup!$A$2:$F1000,6,FALSE),"")</f>
        <v/>
      </c>
      <c r="D640" s="9"/>
      <c r="E640" s="9"/>
      <c r="F640" s="9"/>
      <c r="G640" s="9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9"/>
      <c r="B641" s="9"/>
      <c r="C641" s="9" t="str">
        <f>if(len(A641)&gt;0, VLOOKUP(A641,Lookup!$A$2:$F1000,6,FALSE),"")</f>
        <v/>
      </c>
      <c r="D641" s="9"/>
      <c r="E641" s="9"/>
      <c r="F641" s="9"/>
      <c r="G641" s="9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9"/>
      <c r="B642" s="9"/>
      <c r="C642" s="9" t="str">
        <f>if(len(A642)&gt;0, VLOOKUP(A642,Lookup!$A$2:$F1000,6,FALSE),"")</f>
        <v/>
      </c>
      <c r="D642" s="9"/>
      <c r="E642" s="9"/>
      <c r="F642" s="9"/>
      <c r="G642" s="9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9"/>
      <c r="B643" s="9"/>
      <c r="C643" s="9" t="str">
        <f>if(len(A643)&gt;0, VLOOKUP(A643,Lookup!$A$2:$F1000,6,FALSE),"")</f>
        <v/>
      </c>
      <c r="D643" s="9"/>
      <c r="E643" s="9"/>
      <c r="F643" s="9"/>
      <c r="G643" s="9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9"/>
      <c r="B644" s="9"/>
      <c r="C644" s="9" t="str">
        <f>if(len(A644)&gt;0, VLOOKUP(A644,Lookup!$A$2:$F1000,6,FALSE),"")</f>
        <v/>
      </c>
      <c r="D644" s="9"/>
      <c r="E644" s="9"/>
      <c r="F644" s="9"/>
      <c r="G644" s="9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9"/>
      <c r="B645" s="9"/>
      <c r="C645" s="9" t="str">
        <f>if(len(A645)&gt;0, VLOOKUP(A645,Lookup!$A$2:$F1000,6,FALSE),"")</f>
        <v/>
      </c>
      <c r="D645" s="9"/>
      <c r="E645" s="9"/>
      <c r="F645" s="9"/>
      <c r="G645" s="9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9"/>
      <c r="B646" s="9"/>
      <c r="C646" s="9" t="str">
        <f>if(len(A646)&gt;0, VLOOKUP(A646,Lookup!$A$2:$F1000,6,FALSE),"")</f>
        <v/>
      </c>
      <c r="D646" s="9"/>
      <c r="E646" s="9"/>
      <c r="F646" s="9"/>
      <c r="G646" s="9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9"/>
      <c r="B647" s="9"/>
      <c r="C647" s="9" t="str">
        <f>if(len(A647)&gt;0, VLOOKUP(A647,Lookup!$A$2:$F1000,6,FALSE),"")</f>
        <v/>
      </c>
      <c r="D647" s="9"/>
      <c r="E647" s="9"/>
      <c r="F647" s="9"/>
      <c r="G647" s="9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9"/>
      <c r="B648" s="9"/>
      <c r="C648" s="9" t="str">
        <f>if(len(A648)&gt;0, VLOOKUP(A648,Lookup!$A$2:$F1000,6,FALSE),"")</f>
        <v/>
      </c>
      <c r="D648" s="9"/>
      <c r="E648" s="9"/>
      <c r="F648" s="9"/>
      <c r="G648" s="9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9"/>
      <c r="B649" s="9"/>
      <c r="C649" s="9" t="str">
        <f>if(len(A649)&gt;0, VLOOKUP(A649,Lookup!$A$2:$F1000,6,FALSE),"")</f>
        <v/>
      </c>
      <c r="D649" s="9"/>
      <c r="E649" s="9"/>
      <c r="F649" s="9"/>
      <c r="G649" s="9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9"/>
      <c r="B650" s="9"/>
      <c r="C650" s="9" t="str">
        <f>if(len(A650)&gt;0, VLOOKUP(A650,Lookup!$A$2:$F1000,6,FALSE),"")</f>
        <v/>
      </c>
      <c r="D650" s="9"/>
      <c r="E650" s="9"/>
      <c r="F650" s="9"/>
      <c r="G650" s="9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9"/>
      <c r="B651" s="9"/>
      <c r="C651" s="9" t="str">
        <f>if(len(A651)&gt;0, VLOOKUP(A651,Lookup!$A$2:$F1000,6,FALSE),"")</f>
        <v/>
      </c>
      <c r="D651" s="9"/>
      <c r="E651" s="9"/>
      <c r="F651" s="9"/>
      <c r="G651" s="9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9"/>
      <c r="B652" s="9"/>
      <c r="C652" s="9" t="str">
        <f>if(len(A652)&gt;0, VLOOKUP(A652,Lookup!$A$2:$F1000,6,FALSE),"")</f>
        <v/>
      </c>
      <c r="D652" s="9"/>
      <c r="E652" s="9"/>
      <c r="F652" s="9"/>
      <c r="G652" s="9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9"/>
      <c r="B653" s="9"/>
      <c r="C653" s="9" t="str">
        <f>if(len(A653)&gt;0, VLOOKUP(A653,Lookup!$A$2:$F1000,6,FALSE),"")</f>
        <v/>
      </c>
      <c r="D653" s="9"/>
      <c r="E653" s="9"/>
      <c r="F653" s="9"/>
      <c r="G653" s="9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9"/>
      <c r="B654" s="9"/>
      <c r="C654" s="9" t="str">
        <f>if(len(A654)&gt;0, VLOOKUP(A654,Lookup!$A$2:$F1000,6,FALSE),"")</f>
        <v/>
      </c>
      <c r="D654" s="9"/>
      <c r="E654" s="9"/>
      <c r="F654" s="9"/>
      <c r="G654" s="9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9"/>
      <c r="B655" s="9"/>
      <c r="C655" s="9" t="str">
        <f>if(len(A655)&gt;0, VLOOKUP(A655,Lookup!$A$2:$F1000,6,FALSE),"")</f>
        <v/>
      </c>
      <c r="D655" s="9"/>
      <c r="E655" s="9"/>
      <c r="F655" s="9"/>
      <c r="G655" s="9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9"/>
      <c r="B656" s="9"/>
      <c r="C656" s="9" t="str">
        <f>if(len(A656)&gt;0, VLOOKUP(A656,Lookup!$A$2:$F1000,6,FALSE),"")</f>
        <v/>
      </c>
      <c r="D656" s="9"/>
      <c r="E656" s="9"/>
      <c r="F656" s="9"/>
      <c r="G656" s="9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9"/>
      <c r="B657" s="9"/>
      <c r="C657" s="9" t="str">
        <f>if(len(A657)&gt;0, VLOOKUP(A657,Lookup!$A$2:$F1000,6,FALSE),"")</f>
        <v/>
      </c>
      <c r="D657" s="9"/>
      <c r="E657" s="9"/>
      <c r="F657" s="9"/>
      <c r="G657" s="9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9"/>
      <c r="B658" s="9"/>
      <c r="C658" s="9" t="str">
        <f>if(len(A658)&gt;0, VLOOKUP(A658,Lookup!$A$2:$F1000,6,FALSE),"")</f>
        <v/>
      </c>
      <c r="D658" s="9"/>
      <c r="E658" s="9"/>
      <c r="F658" s="9"/>
      <c r="G658" s="9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9"/>
      <c r="B659" s="9"/>
      <c r="C659" s="9" t="str">
        <f>if(len(A659)&gt;0, VLOOKUP(A659,Lookup!$A$2:$F1000,6,FALSE),"")</f>
        <v/>
      </c>
      <c r="D659" s="9"/>
      <c r="E659" s="9"/>
      <c r="F659" s="9"/>
      <c r="G659" s="9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9"/>
      <c r="B660" s="9"/>
      <c r="C660" s="9" t="str">
        <f>if(len(A660)&gt;0, VLOOKUP(A660,Lookup!$A$2:$F1000,6,FALSE),"")</f>
        <v/>
      </c>
      <c r="D660" s="9"/>
      <c r="E660" s="9"/>
      <c r="F660" s="9"/>
      <c r="G660" s="9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9"/>
      <c r="B661" s="9"/>
      <c r="C661" s="9" t="str">
        <f>if(len(A661)&gt;0, VLOOKUP(A661,Lookup!$A$2:$F1000,6,FALSE),"")</f>
        <v/>
      </c>
      <c r="D661" s="9"/>
      <c r="E661" s="9"/>
      <c r="F661" s="9"/>
      <c r="G661" s="9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9"/>
      <c r="B662" s="9"/>
      <c r="C662" s="9" t="str">
        <f>if(len(A662)&gt;0, VLOOKUP(A662,Lookup!$A$2:$F1000,6,FALSE),"")</f>
        <v/>
      </c>
      <c r="D662" s="9"/>
      <c r="E662" s="9"/>
      <c r="F662" s="9"/>
      <c r="G662" s="9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9"/>
      <c r="B663" s="9"/>
      <c r="C663" s="9" t="str">
        <f>if(len(A663)&gt;0, VLOOKUP(A663,Lookup!$A$2:$F1000,6,FALSE),"")</f>
        <v/>
      </c>
      <c r="D663" s="9"/>
      <c r="E663" s="9"/>
      <c r="F663" s="9"/>
      <c r="G663" s="9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9"/>
      <c r="B664" s="9"/>
      <c r="C664" s="9" t="str">
        <f>if(len(A664)&gt;0, VLOOKUP(A664,Lookup!$A$2:$F1000,6,FALSE),"")</f>
        <v/>
      </c>
      <c r="D664" s="9"/>
      <c r="E664" s="9"/>
      <c r="F664" s="9"/>
      <c r="G664" s="9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9"/>
      <c r="B665" s="9"/>
      <c r="C665" s="9" t="str">
        <f>if(len(A665)&gt;0, VLOOKUP(A665,Lookup!$A$2:$F1000,6,FALSE),"")</f>
        <v/>
      </c>
      <c r="D665" s="9"/>
      <c r="E665" s="9"/>
      <c r="F665" s="9"/>
      <c r="G665" s="9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9"/>
      <c r="B666" s="9"/>
      <c r="C666" s="9" t="str">
        <f>if(len(A666)&gt;0, VLOOKUP(A666,Lookup!$A$2:$F1000,6,FALSE),"")</f>
        <v/>
      </c>
      <c r="D666" s="9"/>
      <c r="E666" s="9"/>
      <c r="F666" s="9"/>
      <c r="G666" s="9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9"/>
      <c r="B667" s="9"/>
      <c r="C667" s="9" t="str">
        <f>if(len(A667)&gt;0, VLOOKUP(A667,Lookup!$A$2:$F1000,6,FALSE),"")</f>
        <v/>
      </c>
      <c r="D667" s="9"/>
      <c r="E667" s="9"/>
      <c r="F667" s="9"/>
      <c r="G667" s="9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9"/>
      <c r="B668" s="9"/>
      <c r="C668" s="9" t="str">
        <f>if(len(A668)&gt;0, VLOOKUP(A668,Lookup!$A$2:$F1000,6,FALSE),"")</f>
        <v/>
      </c>
      <c r="D668" s="9"/>
      <c r="E668" s="9"/>
      <c r="F668" s="9"/>
      <c r="G668" s="9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9"/>
      <c r="B669" s="9"/>
      <c r="C669" s="9" t="str">
        <f>if(len(A669)&gt;0, VLOOKUP(A669,Lookup!$A$2:$F1000,6,FALSE),"")</f>
        <v/>
      </c>
      <c r="D669" s="9"/>
      <c r="E669" s="9"/>
      <c r="F669" s="9"/>
      <c r="G669" s="9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9"/>
      <c r="B670" s="9"/>
      <c r="C670" s="9" t="str">
        <f>if(len(A670)&gt;0, VLOOKUP(A670,Lookup!$A$2:$F1000,6,FALSE),"")</f>
        <v/>
      </c>
      <c r="D670" s="9"/>
      <c r="E670" s="9"/>
      <c r="F670" s="9"/>
      <c r="G670" s="9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9"/>
      <c r="B671" s="9"/>
      <c r="C671" s="9" t="str">
        <f>if(len(A671)&gt;0, VLOOKUP(A671,Lookup!$A$2:$F1000,6,FALSE),"")</f>
        <v/>
      </c>
      <c r="D671" s="9"/>
      <c r="E671" s="9"/>
      <c r="F671" s="9"/>
      <c r="G671" s="9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9"/>
      <c r="B672" s="9"/>
      <c r="C672" s="9" t="str">
        <f>if(len(A672)&gt;0, VLOOKUP(A672,Lookup!$A$2:$F1000,6,FALSE),"")</f>
        <v/>
      </c>
      <c r="D672" s="9"/>
      <c r="E672" s="9"/>
      <c r="F672" s="9"/>
      <c r="G672" s="9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9"/>
      <c r="B673" s="9"/>
      <c r="C673" s="9" t="str">
        <f>if(len(A673)&gt;0, VLOOKUP(A673,Lookup!$A$2:$F1000,6,FALSE),"")</f>
        <v/>
      </c>
      <c r="D673" s="9"/>
      <c r="E673" s="9"/>
      <c r="F673" s="9"/>
      <c r="G673" s="9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9"/>
      <c r="B674" s="9"/>
      <c r="C674" s="9" t="str">
        <f>if(len(A674)&gt;0, VLOOKUP(A674,Lookup!$A$2:$F1000,6,FALSE),"")</f>
        <v/>
      </c>
      <c r="D674" s="9"/>
      <c r="E674" s="9"/>
      <c r="F674" s="9"/>
      <c r="G674" s="9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9"/>
      <c r="B675" s="9"/>
      <c r="C675" s="9" t="str">
        <f>if(len(A675)&gt;0, VLOOKUP(A675,Lookup!$A$2:$F1000,6,FALSE),"")</f>
        <v/>
      </c>
      <c r="D675" s="9"/>
      <c r="E675" s="9"/>
      <c r="F675" s="9"/>
      <c r="G675" s="9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9"/>
      <c r="B676" s="9"/>
      <c r="C676" s="9" t="str">
        <f>if(len(A676)&gt;0, VLOOKUP(A676,Lookup!$A$2:$F1000,6,FALSE),"")</f>
        <v/>
      </c>
      <c r="D676" s="9"/>
      <c r="E676" s="9"/>
      <c r="F676" s="9"/>
      <c r="G676" s="9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9"/>
      <c r="B677" s="9"/>
      <c r="C677" s="9" t="str">
        <f>if(len(A677)&gt;0, VLOOKUP(A677,Lookup!$A$2:$F1000,6,FALSE),"")</f>
        <v/>
      </c>
      <c r="D677" s="9"/>
      <c r="E677" s="9"/>
      <c r="F677" s="9"/>
      <c r="G677" s="9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9"/>
      <c r="B678" s="9"/>
      <c r="C678" s="9" t="str">
        <f>if(len(A678)&gt;0, VLOOKUP(A678,Lookup!$A$2:$F1000,6,FALSE),"")</f>
        <v/>
      </c>
      <c r="D678" s="9"/>
      <c r="E678" s="9"/>
      <c r="F678" s="9"/>
      <c r="G678" s="9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9"/>
      <c r="B679" s="9"/>
      <c r="C679" s="9" t="str">
        <f>if(len(A679)&gt;0, VLOOKUP(A679,Lookup!$A$2:$F1000,6,FALSE),"")</f>
        <v/>
      </c>
      <c r="D679" s="9"/>
      <c r="E679" s="9"/>
      <c r="F679" s="9"/>
      <c r="G679" s="9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9"/>
      <c r="B680" s="9"/>
      <c r="C680" s="9" t="str">
        <f>if(len(A680)&gt;0, VLOOKUP(A680,Lookup!$A$2:$F1000,6,FALSE),"")</f>
        <v/>
      </c>
      <c r="D680" s="9"/>
      <c r="E680" s="9"/>
      <c r="F680" s="9"/>
      <c r="G680" s="9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9"/>
      <c r="B681" s="9"/>
      <c r="C681" s="9" t="str">
        <f>if(len(A681)&gt;0, VLOOKUP(A681,Lookup!$A$2:$F1000,6,FALSE),"")</f>
        <v/>
      </c>
      <c r="D681" s="9"/>
      <c r="E681" s="9"/>
      <c r="F681" s="9"/>
      <c r="G681" s="9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9"/>
      <c r="B682" s="9"/>
      <c r="C682" s="9" t="str">
        <f>if(len(A682)&gt;0, VLOOKUP(A682,Lookup!$A$2:$F1000,6,FALSE),"")</f>
        <v/>
      </c>
      <c r="D682" s="9"/>
      <c r="E682" s="9"/>
      <c r="F682" s="9"/>
      <c r="G682" s="9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9"/>
      <c r="B683" s="9"/>
      <c r="C683" s="9" t="str">
        <f>if(len(A683)&gt;0, VLOOKUP(A683,Lookup!$A$2:$F1000,6,FALSE),"")</f>
        <v/>
      </c>
      <c r="D683" s="9"/>
      <c r="E683" s="9"/>
      <c r="F683" s="9"/>
      <c r="G683" s="9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9"/>
      <c r="B684" s="9"/>
      <c r="C684" s="9" t="str">
        <f>if(len(A684)&gt;0, VLOOKUP(A684,Lookup!$A$2:$F1000,6,FALSE),"")</f>
        <v/>
      </c>
      <c r="D684" s="9"/>
      <c r="E684" s="9"/>
      <c r="F684" s="9"/>
      <c r="G684" s="9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9"/>
      <c r="B685" s="9"/>
      <c r="C685" s="9" t="str">
        <f>if(len(A685)&gt;0, VLOOKUP(A685,Lookup!$A$2:$F1000,6,FALSE),"")</f>
        <v/>
      </c>
      <c r="D685" s="9"/>
      <c r="E685" s="9"/>
      <c r="F685" s="9"/>
      <c r="G685" s="9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9"/>
      <c r="B686" s="9"/>
      <c r="C686" s="9" t="str">
        <f>if(len(A686)&gt;0, VLOOKUP(A686,Lookup!$A$2:$F1000,6,FALSE),"")</f>
        <v/>
      </c>
      <c r="D686" s="9"/>
      <c r="E686" s="9"/>
      <c r="F686" s="9"/>
      <c r="G686" s="9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9"/>
      <c r="B687" s="9"/>
      <c r="C687" s="9" t="str">
        <f>if(len(A687)&gt;0, VLOOKUP(A687,Lookup!$A$2:$F1000,6,FALSE),"")</f>
        <v/>
      </c>
      <c r="D687" s="9"/>
      <c r="E687" s="9"/>
      <c r="F687" s="9"/>
      <c r="G687" s="9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9"/>
      <c r="B688" s="9"/>
      <c r="C688" s="9" t="str">
        <f>if(len(A688)&gt;0, VLOOKUP(A688,Lookup!$A$2:$F1000,6,FALSE),"")</f>
        <v/>
      </c>
      <c r="D688" s="9"/>
      <c r="E688" s="9"/>
      <c r="F688" s="9"/>
      <c r="G688" s="9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9"/>
      <c r="B689" s="9"/>
      <c r="C689" s="9" t="str">
        <f>if(len(A689)&gt;0, VLOOKUP(A689,Lookup!$A$2:$F1000,6,FALSE),"")</f>
        <v/>
      </c>
      <c r="D689" s="9"/>
      <c r="E689" s="9"/>
      <c r="F689" s="9"/>
      <c r="G689" s="9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9"/>
      <c r="B690" s="9"/>
      <c r="C690" s="9" t="str">
        <f>if(len(A690)&gt;0, VLOOKUP(A690,Lookup!$A$2:$F1000,6,FALSE),"")</f>
        <v/>
      </c>
      <c r="D690" s="9"/>
      <c r="E690" s="9"/>
      <c r="F690" s="9"/>
      <c r="G690" s="9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9"/>
      <c r="B691" s="9"/>
      <c r="C691" s="9" t="str">
        <f>if(len(A691)&gt;0, VLOOKUP(A691,Lookup!$A$2:$F1000,6,FALSE),"")</f>
        <v/>
      </c>
      <c r="D691" s="9"/>
      <c r="E691" s="9"/>
      <c r="F691" s="9"/>
      <c r="G691" s="9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9"/>
      <c r="B692" s="9"/>
      <c r="C692" s="9" t="str">
        <f>if(len(A692)&gt;0, VLOOKUP(A692,Lookup!$A$2:$F1000,6,FALSE),"")</f>
        <v/>
      </c>
      <c r="D692" s="9"/>
      <c r="E692" s="9"/>
      <c r="F692" s="9"/>
      <c r="G692" s="9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9"/>
      <c r="B693" s="9"/>
      <c r="C693" s="9" t="str">
        <f>if(len(A693)&gt;0, VLOOKUP(A693,Lookup!$A$2:$F1000,6,FALSE),"")</f>
        <v/>
      </c>
      <c r="D693" s="9"/>
      <c r="E693" s="9"/>
      <c r="F693" s="9"/>
      <c r="G693" s="9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9"/>
      <c r="B694" s="9"/>
      <c r="C694" s="9" t="str">
        <f>if(len(A694)&gt;0, VLOOKUP(A694,Lookup!$A$2:$F1000,6,FALSE),"")</f>
        <v/>
      </c>
      <c r="D694" s="9"/>
      <c r="E694" s="9"/>
      <c r="F694" s="9"/>
      <c r="G694" s="9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9"/>
      <c r="B695" s="9"/>
      <c r="C695" s="9" t="str">
        <f>if(len(A695)&gt;0, VLOOKUP(A695,Lookup!$A$2:$F1000,6,FALSE),"")</f>
        <v/>
      </c>
      <c r="D695" s="9"/>
      <c r="E695" s="9"/>
      <c r="F695" s="9"/>
      <c r="G695" s="9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9"/>
      <c r="B696" s="9"/>
      <c r="C696" s="9" t="str">
        <f>if(len(A696)&gt;0, VLOOKUP(A696,Lookup!$A$2:$F1000,6,FALSE),"")</f>
        <v/>
      </c>
      <c r="D696" s="9"/>
      <c r="E696" s="9"/>
      <c r="F696" s="9"/>
      <c r="G696" s="9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9"/>
      <c r="B697" s="9"/>
      <c r="C697" s="9" t="str">
        <f>if(len(A697)&gt;0, VLOOKUP(A697,Lookup!$A$2:$F1000,6,FALSE),"")</f>
        <v/>
      </c>
      <c r="D697" s="9"/>
      <c r="E697" s="9"/>
      <c r="F697" s="9"/>
      <c r="G697" s="9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9"/>
      <c r="B698" s="9"/>
      <c r="C698" s="9" t="str">
        <f>if(len(A698)&gt;0, VLOOKUP(A698,Lookup!$A$2:$F1000,6,FALSE),"")</f>
        <v/>
      </c>
      <c r="D698" s="9"/>
      <c r="E698" s="9"/>
      <c r="F698" s="9"/>
      <c r="G698" s="9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9"/>
      <c r="B699" s="9"/>
      <c r="C699" s="9" t="str">
        <f>if(len(A699)&gt;0, VLOOKUP(A699,Lookup!$A$2:$F1000,6,FALSE),"")</f>
        <v/>
      </c>
      <c r="D699" s="9"/>
      <c r="E699" s="9"/>
      <c r="F699" s="9"/>
      <c r="G699" s="9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9"/>
      <c r="B700" s="9"/>
      <c r="C700" s="9" t="str">
        <f>if(len(A700)&gt;0, VLOOKUP(A700,Lookup!$A$2:$F1000,6,FALSE),"")</f>
        <v/>
      </c>
      <c r="D700" s="9"/>
      <c r="E700" s="9"/>
      <c r="F700" s="9"/>
      <c r="G700" s="9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9"/>
      <c r="B701" s="9"/>
      <c r="C701" s="9" t="str">
        <f>if(len(A701)&gt;0, VLOOKUP(A701,Lookup!$A$2:$F1000,6,FALSE),"")</f>
        <v/>
      </c>
      <c r="D701" s="9"/>
      <c r="E701" s="9"/>
      <c r="F701" s="9"/>
      <c r="G701" s="9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9"/>
      <c r="B702" s="9"/>
      <c r="C702" s="9" t="str">
        <f>if(len(A702)&gt;0, VLOOKUP(A702,Lookup!$A$2:$F1000,6,FALSE),"")</f>
        <v/>
      </c>
      <c r="D702" s="9"/>
      <c r="E702" s="9"/>
      <c r="F702" s="9"/>
      <c r="G702" s="9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9"/>
      <c r="B703" s="9"/>
      <c r="C703" s="9" t="str">
        <f>if(len(A703)&gt;0, VLOOKUP(A703,Lookup!$A$2:$F1000,6,FALSE),"")</f>
        <v/>
      </c>
      <c r="D703" s="9"/>
      <c r="E703" s="9"/>
      <c r="F703" s="9"/>
      <c r="G703" s="9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9"/>
      <c r="B704" s="9"/>
      <c r="C704" s="9" t="str">
        <f>if(len(A704)&gt;0, VLOOKUP(A704,Lookup!$A$2:$F1000,6,FALSE),"")</f>
        <v/>
      </c>
      <c r="D704" s="9"/>
      <c r="E704" s="9"/>
      <c r="F704" s="9"/>
      <c r="G704" s="9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9"/>
      <c r="B705" s="9"/>
      <c r="C705" s="9" t="str">
        <f>if(len(A705)&gt;0, VLOOKUP(A705,Lookup!$A$2:$F1000,6,FALSE),"")</f>
        <v/>
      </c>
      <c r="D705" s="9"/>
      <c r="E705" s="9"/>
      <c r="F705" s="9"/>
      <c r="G705" s="9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9"/>
      <c r="B706" s="9"/>
      <c r="C706" s="9" t="str">
        <f>if(len(A706)&gt;0, VLOOKUP(A706,Lookup!$A$2:$F1000,6,FALSE),"")</f>
        <v/>
      </c>
      <c r="D706" s="9"/>
      <c r="E706" s="9"/>
      <c r="F706" s="9"/>
      <c r="G706" s="9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9"/>
      <c r="B707" s="9"/>
      <c r="C707" s="9" t="str">
        <f>if(len(A707)&gt;0, VLOOKUP(A707,Lookup!$A$2:$F1000,6,FALSE),"")</f>
        <v/>
      </c>
      <c r="D707" s="9"/>
      <c r="E707" s="9"/>
      <c r="F707" s="9"/>
      <c r="G707" s="9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9"/>
      <c r="B708" s="9"/>
      <c r="C708" s="9" t="str">
        <f>if(len(A708)&gt;0, VLOOKUP(A708,Lookup!$A$2:$F1000,6,FALSE),"")</f>
        <v/>
      </c>
      <c r="D708" s="9"/>
      <c r="E708" s="9"/>
      <c r="F708" s="9"/>
      <c r="G708" s="9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9"/>
      <c r="B709" s="9"/>
      <c r="C709" s="9" t="str">
        <f>if(len(A709)&gt;0, VLOOKUP(A709,Lookup!$A$2:$F1000,6,FALSE),"")</f>
        <v/>
      </c>
      <c r="D709" s="9"/>
      <c r="E709" s="9"/>
      <c r="F709" s="9"/>
      <c r="G709" s="9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9"/>
      <c r="B710" s="9"/>
      <c r="C710" s="9" t="str">
        <f>if(len(A710)&gt;0, VLOOKUP(A710,Lookup!$A$2:$F1000,6,FALSE),"")</f>
        <v/>
      </c>
      <c r="D710" s="9"/>
      <c r="E710" s="9"/>
      <c r="F710" s="9"/>
      <c r="G710" s="9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9"/>
      <c r="B711" s="9"/>
      <c r="C711" s="9" t="str">
        <f>if(len(A711)&gt;0, VLOOKUP(A711,Lookup!$A$2:$F1000,6,FALSE),"")</f>
        <v/>
      </c>
      <c r="D711" s="9"/>
      <c r="E711" s="9"/>
      <c r="F711" s="9"/>
      <c r="G711" s="9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9"/>
      <c r="B712" s="9"/>
      <c r="C712" s="9" t="str">
        <f>if(len(A712)&gt;0, VLOOKUP(A712,Lookup!$A$2:$F1000,6,FALSE),"")</f>
        <v/>
      </c>
      <c r="D712" s="9"/>
      <c r="E712" s="9"/>
      <c r="F712" s="9"/>
      <c r="G712" s="9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9"/>
      <c r="B713" s="9"/>
      <c r="C713" s="9" t="str">
        <f>if(len(A713)&gt;0, VLOOKUP(A713,Lookup!$A$2:$F1000,6,FALSE),"")</f>
        <v/>
      </c>
      <c r="D713" s="9"/>
      <c r="E713" s="9"/>
      <c r="F713" s="9"/>
      <c r="G713" s="9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9"/>
      <c r="B714" s="9"/>
      <c r="C714" s="9" t="str">
        <f>if(len(A714)&gt;0, VLOOKUP(A714,Lookup!$A$2:$F1000,6,FALSE),"")</f>
        <v/>
      </c>
      <c r="D714" s="9"/>
      <c r="E714" s="9"/>
      <c r="F714" s="9"/>
      <c r="G714" s="9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9"/>
      <c r="B715" s="9"/>
      <c r="C715" s="9" t="str">
        <f>if(len(A715)&gt;0, VLOOKUP(A715,Lookup!$A$2:$F1000,6,FALSE),"")</f>
        <v/>
      </c>
      <c r="D715" s="9"/>
      <c r="E715" s="9"/>
      <c r="F715" s="9"/>
      <c r="G715" s="9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9"/>
      <c r="B716" s="9"/>
      <c r="C716" s="9" t="str">
        <f>if(len(A716)&gt;0, VLOOKUP(A716,Lookup!$A$2:$F1000,6,FALSE),"")</f>
        <v/>
      </c>
      <c r="D716" s="9"/>
      <c r="E716" s="9"/>
      <c r="F716" s="9"/>
      <c r="G716" s="9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9"/>
      <c r="B717" s="9"/>
      <c r="C717" s="9" t="str">
        <f>if(len(A717)&gt;0, VLOOKUP(A717,Lookup!$A$2:$F1000,6,FALSE),"")</f>
        <v/>
      </c>
      <c r="D717" s="9"/>
      <c r="E717" s="9"/>
      <c r="F717" s="9"/>
      <c r="G717" s="9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9"/>
      <c r="B718" s="9"/>
      <c r="C718" s="9" t="str">
        <f>if(len(A718)&gt;0, VLOOKUP(A718,Lookup!$A$2:$F1000,6,FALSE),"")</f>
        <v/>
      </c>
      <c r="D718" s="9"/>
      <c r="E718" s="9"/>
      <c r="F718" s="9"/>
      <c r="G718" s="9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9"/>
      <c r="B719" s="9"/>
      <c r="C719" s="9" t="str">
        <f>if(len(A719)&gt;0, VLOOKUP(A719,Lookup!$A$2:$F1000,6,FALSE),"")</f>
        <v/>
      </c>
      <c r="D719" s="9"/>
      <c r="E719" s="9"/>
      <c r="F719" s="9"/>
      <c r="G719" s="9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9"/>
      <c r="B720" s="9"/>
      <c r="C720" s="9" t="str">
        <f>if(len(A720)&gt;0, VLOOKUP(A720,Lookup!$A$2:$F1000,6,FALSE),"")</f>
        <v/>
      </c>
      <c r="D720" s="9"/>
      <c r="E720" s="9"/>
      <c r="F720" s="9"/>
      <c r="G720" s="9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9"/>
      <c r="B721" s="9"/>
      <c r="C721" s="9" t="str">
        <f>if(len(A721)&gt;0, VLOOKUP(A721,Lookup!$A$2:$F1000,6,FALSE),"")</f>
        <v/>
      </c>
      <c r="D721" s="9"/>
      <c r="E721" s="9"/>
      <c r="F721" s="9"/>
      <c r="G721" s="9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9"/>
      <c r="B722" s="9"/>
      <c r="C722" s="9" t="str">
        <f>if(len(A722)&gt;0, VLOOKUP(A722,Lookup!$A$2:$F1000,6,FALSE),"")</f>
        <v/>
      </c>
      <c r="D722" s="9"/>
      <c r="E722" s="9"/>
      <c r="F722" s="9"/>
      <c r="G722" s="9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9"/>
      <c r="B723" s="9"/>
      <c r="C723" s="9" t="str">
        <f>if(len(A723)&gt;0, VLOOKUP(A723,Lookup!$A$2:$F1000,6,FALSE),"")</f>
        <v/>
      </c>
      <c r="D723" s="9"/>
      <c r="E723" s="9"/>
      <c r="F723" s="9"/>
      <c r="G723" s="9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9"/>
      <c r="B724" s="9"/>
      <c r="C724" s="9" t="str">
        <f>if(len(A724)&gt;0, VLOOKUP(A724,Lookup!$A$2:$F1000,6,FALSE),"")</f>
        <v/>
      </c>
      <c r="D724" s="9"/>
      <c r="E724" s="9"/>
      <c r="F724" s="9"/>
      <c r="G724" s="9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9"/>
      <c r="B725" s="9"/>
      <c r="C725" s="9" t="str">
        <f>if(len(A725)&gt;0, VLOOKUP(A725,Lookup!$A$2:$F1000,6,FALSE),"")</f>
        <v/>
      </c>
      <c r="D725" s="9"/>
      <c r="E725" s="9"/>
      <c r="F725" s="9"/>
      <c r="G725" s="9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9"/>
      <c r="B726" s="9"/>
      <c r="C726" s="9" t="str">
        <f>if(len(A726)&gt;0, VLOOKUP(A726,Lookup!$A$2:$F1000,6,FALSE),"")</f>
        <v/>
      </c>
      <c r="D726" s="9"/>
      <c r="E726" s="9"/>
      <c r="F726" s="9"/>
      <c r="G726" s="9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9"/>
      <c r="B727" s="9"/>
      <c r="C727" s="9" t="str">
        <f>if(len(A727)&gt;0, VLOOKUP(A727,Lookup!$A$2:$F1000,6,FALSE),"")</f>
        <v/>
      </c>
      <c r="D727" s="9"/>
      <c r="E727" s="9"/>
      <c r="F727" s="9"/>
      <c r="G727" s="9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9"/>
      <c r="B728" s="9"/>
      <c r="C728" s="9" t="str">
        <f>if(len(A728)&gt;0, VLOOKUP(A728,Lookup!$A$2:$F1000,6,FALSE),"")</f>
        <v/>
      </c>
      <c r="D728" s="9"/>
      <c r="E728" s="9"/>
      <c r="F728" s="9"/>
      <c r="G728" s="9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9"/>
      <c r="B729" s="9"/>
      <c r="C729" s="9" t="str">
        <f>if(len(A729)&gt;0, VLOOKUP(A729,Lookup!$A$2:$F1000,6,FALSE),"")</f>
        <v/>
      </c>
      <c r="D729" s="9"/>
      <c r="E729" s="9"/>
      <c r="F729" s="9"/>
      <c r="G729" s="9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9"/>
      <c r="B730" s="9"/>
      <c r="C730" s="9" t="str">
        <f>if(len(A730)&gt;0, VLOOKUP(A730,Lookup!$A$2:$F1000,6,FALSE),"")</f>
        <v/>
      </c>
      <c r="D730" s="9"/>
      <c r="E730" s="9"/>
      <c r="F730" s="9"/>
      <c r="G730" s="9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9"/>
      <c r="B731" s="9"/>
      <c r="C731" s="9" t="str">
        <f>if(len(A731)&gt;0, VLOOKUP(A731,Lookup!$A$2:$F1000,6,FALSE),"")</f>
        <v/>
      </c>
      <c r="D731" s="9"/>
      <c r="E731" s="9"/>
      <c r="F731" s="9"/>
      <c r="G731" s="9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9"/>
      <c r="B732" s="9"/>
      <c r="C732" s="9" t="str">
        <f>if(len(A732)&gt;0, VLOOKUP(A732,Lookup!$A$2:$F1000,6,FALSE),"")</f>
        <v/>
      </c>
      <c r="D732" s="9"/>
      <c r="E732" s="9"/>
      <c r="F732" s="9"/>
      <c r="G732" s="9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9"/>
      <c r="B733" s="9"/>
      <c r="C733" s="9" t="str">
        <f>if(len(A733)&gt;0, VLOOKUP(A733,Lookup!$A$2:$F1000,6,FALSE),"")</f>
        <v/>
      </c>
      <c r="D733" s="9"/>
      <c r="E733" s="9"/>
      <c r="F733" s="9"/>
      <c r="G733" s="9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9"/>
      <c r="B734" s="9"/>
      <c r="C734" s="9" t="str">
        <f>if(len(A734)&gt;0, VLOOKUP(A734,Lookup!$A$2:$F1000,6,FALSE),"")</f>
        <v/>
      </c>
      <c r="D734" s="9"/>
      <c r="E734" s="9"/>
      <c r="F734" s="9"/>
      <c r="G734" s="9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9"/>
      <c r="B735" s="9"/>
      <c r="C735" s="9" t="str">
        <f>if(len(A735)&gt;0, VLOOKUP(A735,Lookup!$A$2:$F1000,6,FALSE),"")</f>
        <v/>
      </c>
      <c r="D735" s="9"/>
      <c r="E735" s="9"/>
      <c r="F735" s="9"/>
      <c r="G735" s="9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9"/>
      <c r="B736" s="9"/>
      <c r="C736" s="9" t="str">
        <f>if(len(A736)&gt;0, VLOOKUP(A736,Lookup!$A$2:$F1000,6,FALSE),"")</f>
        <v/>
      </c>
      <c r="D736" s="9"/>
      <c r="E736" s="9"/>
      <c r="F736" s="9"/>
      <c r="G736" s="9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9"/>
      <c r="B737" s="9"/>
      <c r="C737" s="9" t="str">
        <f>if(len(A737)&gt;0, VLOOKUP(A737,Lookup!$A$2:$F1000,6,FALSE),"")</f>
        <v/>
      </c>
      <c r="D737" s="9"/>
      <c r="E737" s="9"/>
      <c r="F737" s="9"/>
      <c r="G737" s="9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9"/>
      <c r="B738" s="9"/>
      <c r="C738" s="9" t="str">
        <f>if(len(A738)&gt;0, VLOOKUP(A738,Lookup!$A$2:$F1000,6,FALSE),"")</f>
        <v/>
      </c>
      <c r="D738" s="9"/>
      <c r="E738" s="9"/>
      <c r="F738" s="9"/>
      <c r="G738" s="9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9"/>
      <c r="B739" s="9"/>
      <c r="C739" s="9" t="str">
        <f>if(len(A739)&gt;0, VLOOKUP(A739,Lookup!$A$2:$F1000,6,FALSE),"")</f>
        <v/>
      </c>
      <c r="D739" s="9"/>
      <c r="E739" s="9"/>
      <c r="F739" s="9"/>
      <c r="G739" s="9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9"/>
      <c r="B740" s="9"/>
      <c r="C740" s="9" t="str">
        <f>if(len(A740)&gt;0, VLOOKUP(A740,Lookup!$A$2:$F1000,6,FALSE),"")</f>
        <v/>
      </c>
      <c r="D740" s="9"/>
      <c r="E740" s="9"/>
      <c r="F740" s="9"/>
      <c r="G740" s="9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9"/>
      <c r="B741" s="9"/>
      <c r="C741" s="9" t="str">
        <f>if(len(A741)&gt;0, VLOOKUP(A741,Lookup!$A$2:$F1000,6,FALSE),"")</f>
        <v/>
      </c>
      <c r="D741" s="9"/>
      <c r="E741" s="9"/>
      <c r="F741" s="9"/>
      <c r="G741" s="9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9"/>
      <c r="B742" s="9"/>
      <c r="C742" s="9" t="str">
        <f>if(len(A742)&gt;0, VLOOKUP(A742,Lookup!$A$2:$F1000,6,FALSE),"")</f>
        <v/>
      </c>
      <c r="D742" s="9"/>
      <c r="E742" s="9"/>
      <c r="F742" s="9"/>
      <c r="G742" s="9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9"/>
      <c r="B743" s="9"/>
      <c r="C743" s="9" t="str">
        <f>if(len(A743)&gt;0, VLOOKUP(A743,Lookup!$A$2:$F1000,6,FALSE),"")</f>
        <v/>
      </c>
      <c r="D743" s="9"/>
      <c r="E743" s="9"/>
      <c r="F743" s="9"/>
      <c r="G743" s="9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9"/>
      <c r="B744" s="9"/>
      <c r="C744" s="9" t="str">
        <f>if(len(A744)&gt;0, VLOOKUP(A744,Lookup!$A$2:$F1000,6,FALSE),"")</f>
        <v/>
      </c>
      <c r="D744" s="9"/>
      <c r="E744" s="9"/>
      <c r="F744" s="9"/>
      <c r="G744" s="9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9"/>
      <c r="B745" s="9"/>
      <c r="C745" s="9" t="str">
        <f>if(len(A745)&gt;0, VLOOKUP(A745,Lookup!$A$2:$F1000,6,FALSE),"")</f>
        <v/>
      </c>
      <c r="D745" s="9"/>
      <c r="E745" s="9"/>
      <c r="F745" s="9"/>
      <c r="G745" s="9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9"/>
      <c r="B746" s="9"/>
      <c r="C746" s="9" t="str">
        <f>if(len(A746)&gt;0, VLOOKUP(A746,Lookup!$A$2:$F1000,6,FALSE),"")</f>
        <v/>
      </c>
      <c r="D746" s="9"/>
      <c r="E746" s="9"/>
      <c r="F746" s="9"/>
      <c r="G746" s="9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9"/>
      <c r="B747" s="9"/>
      <c r="C747" s="9" t="str">
        <f>if(len(A747)&gt;0, VLOOKUP(A747,Lookup!$A$2:$F1000,6,FALSE),"")</f>
        <v/>
      </c>
      <c r="D747" s="9"/>
      <c r="E747" s="9"/>
      <c r="F747" s="9"/>
      <c r="G747" s="9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9"/>
      <c r="B748" s="9"/>
      <c r="C748" s="9" t="str">
        <f>if(len(A748)&gt;0, VLOOKUP(A748,Lookup!$A$2:$F1000,6,FALSE),"")</f>
        <v/>
      </c>
      <c r="D748" s="9"/>
      <c r="E748" s="9"/>
      <c r="F748" s="9"/>
      <c r="G748" s="9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9"/>
      <c r="B749" s="9"/>
      <c r="C749" s="9" t="str">
        <f>if(len(A749)&gt;0, VLOOKUP(A749,Lookup!$A$2:$F1000,6,FALSE),"")</f>
        <v/>
      </c>
      <c r="D749" s="9"/>
      <c r="E749" s="9"/>
      <c r="F749" s="9"/>
      <c r="G749" s="9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9"/>
      <c r="B750" s="9"/>
      <c r="C750" s="9" t="str">
        <f>if(len(A750)&gt;0, VLOOKUP(A750,Lookup!$A$2:$F1000,6,FALSE),"")</f>
        <v/>
      </c>
      <c r="D750" s="9"/>
      <c r="E750" s="9"/>
      <c r="F750" s="9"/>
      <c r="G750" s="9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9"/>
      <c r="B751" s="9"/>
      <c r="C751" s="9" t="str">
        <f>if(len(A751)&gt;0, VLOOKUP(A751,Lookup!$A$2:$F1000,6,FALSE),"")</f>
        <v/>
      </c>
      <c r="D751" s="9"/>
      <c r="E751" s="9"/>
      <c r="F751" s="9"/>
      <c r="G751" s="9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9"/>
      <c r="B752" s="9"/>
      <c r="C752" s="9" t="str">
        <f>if(len(A752)&gt;0, VLOOKUP(A752,Lookup!$A$2:$F1000,6,FALSE),"")</f>
        <v/>
      </c>
      <c r="D752" s="9"/>
      <c r="E752" s="9"/>
      <c r="F752" s="9"/>
      <c r="G752" s="9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9"/>
      <c r="B753" s="9"/>
      <c r="C753" s="9" t="str">
        <f>if(len(A753)&gt;0, VLOOKUP(A753,Lookup!$A$2:$F1000,6,FALSE),"")</f>
        <v/>
      </c>
      <c r="D753" s="9"/>
      <c r="E753" s="9"/>
      <c r="F753" s="9"/>
      <c r="G753" s="9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9"/>
      <c r="B754" s="9"/>
      <c r="C754" s="9" t="str">
        <f>if(len(A754)&gt;0, VLOOKUP(A754,Lookup!$A$2:$F1000,6,FALSE),"")</f>
        <v/>
      </c>
      <c r="D754" s="9"/>
      <c r="E754" s="9"/>
      <c r="F754" s="9"/>
      <c r="G754" s="9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9"/>
      <c r="B755" s="9"/>
      <c r="C755" s="9" t="str">
        <f>if(len(A755)&gt;0, VLOOKUP(A755,Lookup!$A$2:$F1000,6,FALSE),"")</f>
        <v/>
      </c>
      <c r="D755" s="9"/>
      <c r="E755" s="9"/>
      <c r="F755" s="9"/>
      <c r="G755" s="9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9"/>
      <c r="B756" s="9"/>
      <c r="C756" s="9" t="str">
        <f>if(len(A756)&gt;0, VLOOKUP(A756,Lookup!$A$2:$F1000,6,FALSE),"")</f>
        <v/>
      </c>
      <c r="D756" s="9"/>
      <c r="E756" s="9"/>
      <c r="F756" s="9"/>
      <c r="G756" s="9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9"/>
      <c r="B757" s="9"/>
      <c r="C757" s="9" t="str">
        <f>if(len(A757)&gt;0, VLOOKUP(A757,Lookup!$A$2:$F1000,6,FALSE),"")</f>
        <v/>
      </c>
      <c r="D757" s="9"/>
      <c r="E757" s="9"/>
      <c r="F757" s="9"/>
      <c r="G757" s="9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9"/>
      <c r="B758" s="9"/>
      <c r="C758" s="9" t="str">
        <f>if(len(A758)&gt;0, VLOOKUP(A758,Lookup!$A$2:$F1000,6,FALSE),"")</f>
        <v/>
      </c>
      <c r="D758" s="9"/>
      <c r="E758" s="9"/>
      <c r="F758" s="9"/>
      <c r="G758" s="9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9"/>
      <c r="B759" s="9"/>
      <c r="C759" s="9" t="str">
        <f>if(len(A759)&gt;0, VLOOKUP(A759,Lookup!$A$2:$F1000,6,FALSE),"")</f>
        <v/>
      </c>
      <c r="D759" s="9"/>
      <c r="E759" s="9"/>
      <c r="F759" s="9"/>
      <c r="G759" s="9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9"/>
      <c r="B760" s="9"/>
      <c r="C760" s="9" t="str">
        <f>if(len(A760)&gt;0, VLOOKUP(A760,Lookup!$A$2:$F1000,6,FALSE),"")</f>
        <v/>
      </c>
      <c r="D760" s="9"/>
      <c r="E760" s="9"/>
      <c r="F760" s="9"/>
      <c r="G760" s="9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9"/>
      <c r="B761" s="9"/>
      <c r="C761" s="9" t="str">
        <f>if(len(A761)&gt;0, VLOOKUP(A761,Lookup!$A$2:$F1000,6,FALSE),"")</f>
        <v/>
      </c>
      <c r="D761" s="9"/>
      <c r="E761" s="9"/>
      <c r="F761" s="9"/>
      <c r="G761" s="9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9"/>
      <c r="B762" s="9"/>
      <c r="C762" s="9" t="str">
        <f>if(len(A762)&gt;0, VLOOKUP(A762,Lookup!$A$2:$F1000,6,FALSE),"")</f>
        <v/>
      </c>
      <c r="D762" s="9"/>
      <c r="E762" s="9"/>
      <c r="F762" s="9"/>
      <c r="G762" s="9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9"/>
      <c r="B763" s="9"/>
      <c r="C763" s="9" t="str">
        <f>if(len(A763)&gt;0, VLOOKUP(A763,Lookup!$A$2:$F1000,6,FALSE),"")</f>
        <v/>
      </c>
      <c r="D763" s="9"/>
      <c r="E763" s="9"/>
      <c r="F763" s="9"/>
      <c r="G763" s="9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9"/>
      <c r="B764" s="9"/>
      <c r="C764" s="9" t="str">
        <f>if(len(A764)&gt;0, VLOOKUP(A764,Lookup!$A$2:$F1000,6,FALSE),"")</f>
        <v/>
      </c>
      <c r="D764" s="9"/>
      <c r="E764" s="9"/>
      <c r="F764" s="9"/>
      <c r="G764" s="9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9"/>
      <c r="B765" s="9"/>
      <c r="C765" s="9" t="str">
        <f>if(len(A765)&gt;0, VLOOKUP(A765,Lookup!$A$2:$F1000,6,FALSE),"")</f>
        <v/>
      </c>
      <c r="D765" s="9"/>
      <c r="E765" s="9"/>
      <c r="F765" s="9"/>
      <c r="G765" s="9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9"/>
      <c r="B766" s="9"/>
      <c r="C766" s="9" t="str">
        <f>if(len(A766)&gt;0, VLOOKUP(A766,Lookup!$A$2:$F1000,6,FALSE),"")</f>
        <v/>
      </c>
      <c r="D766" s="9"/>
      <c r="E766" s="9"/>
      <c r="F766" s="9"/>
      <c r="G766" s="9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9"/>
      <c r="B767" s="9"/>
      <c r="C767" s="9" t="str">
        <f>if(len(A767)&gt;0, VLOOKUP(A767,Lookup!$A$2:$F1000,6,FALSE),"")</f>
        <v/>
      </c>
      <c r="D767" s="9"/>
      <c r="E767" s="9"/>
      <c r="F767" s="9"/>
      <c r="G767" s="9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9"/>
      <c r="B768" s="9"/>
      <c r="C768" s="9" t="str">
        <f>if(len(A768)&gt;0, VLOOKUP(A768,Lookup!$A$2:$F1000,6,FALSE),"")</f>
        <v/>
      </c>
      <c r="D768" s="9"/>
      <c r="E768" s="9"/>
      <c r="F768" s="9"/>
      <c r="G768" s="9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9"/>
      <c r="B769" s="9"/>
      <c r="C769" s="9" t="str">
        <f>if(len(A769)&gt;0, VLOOKUP(A769,Lookup!$A$2:$F1000,6,FALSE),"")</f>
        <v/>
      </c>
      <c r="D769" s="9"/>
      <c r="E769" s="9"/>
      <c r="F769" s="9"/>
      <c r="G769" s="9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9"/>
      <c r="B770" s="9"/>
      <c r="C770" s="9" t="str">
        <f>if(len(A770)&gt;0, VLOOKUP(A770,Lookup!$A$2:$F1000,6,FALSE),"")</f>
        <v/>
      </c>
      <c r="D770" s="9"/>
      <c r="E770" s="9"/>
      <c r="F770" s="9"/>
      <c r="G770" s="9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9"/>
      <c r="B771" s="9"/>
      <c r="C771" s="9" t="str">
        <f>if(len(A771)&gt;0, VLOOKUP(A771,Lookup!$A$2:$F1000,6,FALSE),"")</f>
        <v/>
      </c>
      <c r="D771" s="9"/>
      <c r="E771" s="9"/>
      <c r="F771" s="9"/>
      <c r="G771" s="9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9"/>
      <c r="B772" s="9"/>
      <c r="C772" s="9" t="str">
        <f>if(len(A772)&gt;0, VLOOKUP(A772,Lookup!$A$2:$F1000,6,FALSE),"")</f>
        <v/>
      </c>
      <c r="D772" s="9"/>
      <c r="E772" s="9"/>
      <c r="F772" s="9"/>
      <c r="G772" s="9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9"/>
      <c r="B773" s="9"/>
      <c r="C773" s="9" t="str">
        <f>if(len(A773)&gt;0, VLOOKUP(A773,Lookup!$A$2:$F1000,6,FALSE),"")</f>
        <v/>
      </c>
      <c r="D773" s="9"/>
      <c r="E773" s="9"/>
      <c r="F773" s="9"/>
      <c r="G773" s="9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9"/>
      <c r="B774" s="9"/>
      <c r="C774" s="9" t="str">
        <f>if(len(A774)&gt;0, VLOOKUP(A774,Lookup!$A$2:$F1000,6,FALSE),"")</f>
        <v/>
      </c>
      <c r="D774" s="9"/>
      <c r="E774" s="9"/>
      <c r="F774" s="9"/>
      <c r="G774" s="9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9"/>
      <c r="B775" s="9"/>
      <c r="C775" s="9" t="str">
        <f>if(len(A775)&gt;0, VLOOKUP(A775,Lookup!$A$2:$F1000,6,FALSE),"")</f>
        <v/>
      </c>
      <c r="D775" s="9"/>
      <c r="E775" s="9"/>
      <c r="F775" s="9"/>
      <c r="G775" s="9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9"/>
      <c r="B776" s="9"/>
      <c r="C776" s="9" t="str">
        <f>if(len(A776)&gt;0, VLOOKUP(A776,Lookup!$A$2:$F1000,6,FALSE),"")</f>
        <v/>
      </c>
      <c r="D776" s="9"/>
      <c r="E776" s="9"/>
      <c r="F776" s="9"/>
      <c r="G776" s="9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9"/>
      <c r="B777" s="9"/>
      <c r="C777" s="9" t="str">
        <f>if(len(A777)&gt;0, VLOOKUP(A777,Lookup!$A$2:$F1000,6,FALSE),"")</f>
        <v/>
      </c>
      <c r="D777" s="9"/>
      <c r="E777" s="9"/>
      <c r="F777" s="9"/>
      <c r="G777" s="9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9"/>
      <c r="B778" s="9"/>
      <c r="C778" s="9" t="str">
        <f>if(len(A778)&gt;0, VLOOKUP(A778,Lookup!$A$2:$F1000,6,FALSE),"")</f>
        <v/>
      </c>
      <c r="D778" s="9"/>
      <c r="E778" s="9"/>
      <c r="F778" s="9"/>
      <c r="G778" s="9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9"/>
      <c r="B779" s="9"/>
      <c r="C779" s="9" t="str">
        <f>if(len(A779)&gt;0, VLOOKUP(A779,Lookup!$A$2:$F1000,6,FALSE),"")</f>
        <v/>
      </c>
      <c r="D779" s="9"/>
      <c r="E779" s="9"/>
      <c r="F779" s="9"/>
      <c r="G779" s="9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9"/>
      <c r="B780" s="9"/>
      <c r="C780" s="9" t="str">
        <f>if(len(A780)&gt;0, VLOOKUP(A780,Lookup!$A$2:$F1000,6,FALSE),"")</f>
        <v/>
      </c>
      <c r="D780" s="9"/>
      <c r="E780" s="9"/>
      <c r="F780" s="9"/>
      <c r="G780" s="9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9"/>
      <c r="B781" s="9"/>
      <c r="C781" s="9" t="str">
        <f>if(len(A781)&gt;0, VLOOKUP(A781,Lookup!$A$2:$F1000,6,FALSE),"")</f>
        <v/>
      </c>
      <c r="D781" s="9"/>
      <c r="E781" s="9"/>
      <c r="F781" s="9"/>
      <c r="G781" s="9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9"/>
      <c r="B782" s="9"/>
      <c r="C782" s="9" t="str">
        <f>if(len(A782)&gt;0, VLOOKUP(A782,Lookup!$A$2:$F1000,6,FALSE),"")</f>
        <v/>
      </c>
      <c r="D782" s="9"/>
      <c r="E782" s="9"/>
      <c r="F782" s="9"/>
      <c r="G782" s="9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9"/>
      <c r="B783" s="9"/>
      <c r="C783" s="9" t="str">
        <f>if(len(A783)&gt;0, VLOOKUP(A783,Lookup!$A$2:$F1000,6,FALSE),"")</f>
        <v/>
      </c>
      <c r="D783" s="9"/>
      <c r="E783" s="9"/>
      <c r="F783" s="9"/>
      <c r="G783" s="9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9"/>
      <c r="B784" s="9"/>
      <c r="C784" s="9" t="str">
        <f>if(len(A784)&gt;0, VLOOKUP(A784,Lookup!$A$2:$F1000,6,FALSE),"")</f>
        <v/>
      </c>
      <c r="D784" s="9"/>
      <c r="E784" s="9"/>
      <c r="F784" s="9"/>
      <c r="G784" s="9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9"/>
      <c r="B785" s="9"/>
      <c r="C785" s="9" t="str">
        <f>if(len(A785)&gt;0, VLOOKUP(A785,Lookup!$A$2:$F1000,6,FALSE),"")</f>
        <v/>
      </c>
      <c r="D785" s="9"/>
      <c r="E785" s="9"/>
      <c r="F785" s="9"/>
      <c r="G785" s="9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9"/>
      <c r="B786" s="9"/>
      <c r="C786" s="9" t="str">
        <f>if(len(A786)&gt;0, VLOOKUP(A786,Lookup!$A$2:$F1000,6,FALSE),"")</f>
        <v/>
      </c>
      <c r="D786" s="9"/>
      <c r="E786" s="9"/>
      <c r="F786" s="9"/>
      <c r="G786" s="9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9"/>
      <c r="B787" s="9"/>
      <c r="C787" s="9" t="str">
        <f>if(len(A787)&gt;0, VLOOKUP(A787,Lookup!$A$2:$F1000,6,FALSE),"")</f>
        <v/>
      </c>
      <c r="D787" s="9"/>
      <c r="E787" s="9"/>
      <c r="F787" s="9"/>
      <c r="G787" s="9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9"/>
      <c r="B788" s="9"/>
      <c r="C788" s="9" t="str">
        <f>if(len(A788)&gt;0, VLOOKUP(A788,Lookup!$A$2:$F1000,6,FALSE),"")</f>
        <v/>
      </c>
      <c r="D788" s="9"/>
      <c r="E788" s="9"/>
      <c r="F788" s="9"/>
      <c r="G788" s="9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9"/>
      <c r="B789" s="9"/>
      <c r="C789" s="9" t="str">
        <f>if(len(A789)&gt;0, VLOOKUP(A789,Lookup!$A$2:$F1000,6,FALSE),"")</f>
        <v/>
      </c>
      <c r="D789" s="9"/>
      <c r="E789" s="9"/>
      <c r="F789" s="9"/>
      <c r="G789" s="9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9"/>
      <c r="B790" s="9"/>
      <c r="C790" s="9" t="str">
        <f>if(len(A790)&gt;0, VLOOKUP(A790,Lookup!$A$2:$F1000,6,FALSE),"")</f>
        <v/>
      </c>
      <c r="D790" s="9"/>
      <c r="E790" s="9"/>
      <c r="F790" s="9"/>
      <c r="G790" s="9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9"/>
      <c r="B791" s="9"/>
      <c r="C791" s="9" t="str">
        <f>if(len(A791)&gt;0, VLOOKUP(A791,Lookup!$A$2:$F1000,6,FALSE),"")</f>
        <v/>
      </c>
      <c r="D791" s="9"/>
      <c r="E791" s="9"/>
      <c r="F791" s="9"/>
      <c r="G791" s="9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9"/>
      <c r="B792" s="9"/>
      <c r="C792" s="9" t="str">
        <f>if(len(A792)&gt;0, VLOOKUP(A792,Lookup!$A$2:$F1000,6,FALSE),"")</f>
        <v/>
      </c>
      <c r="D792" s="9"/>
      <c r="E792" s="9"/>
      <c r="F792" s="9"/>
      <c r="G792" s="9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9"/>
      <c r="B793" s="9"/>
      <c r="C793" s="9" t="str">
        <f>if(len(A793)&gt;0, VLOOKUP(A793,Lookup!$A$2:$F1000,6,FALSE),"")</f>
        <v/>
      </c>
      <c r="D793" s="9"/>
      <c r="E793" s="9"/>
      <c r="F793" s="9"/>
      <c r="G793" s="9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9"/>
      <c r="B794" s="9"/>
      <c r="C794" s="9" t="str">
        <f>if(len(A794)&gt;0, VLOOKUP(A794,Lookup!$A$2:$F1000,6,FALSE),"")</f>
        <v/>
      </c>
      <c r="D794" s="9"/>
      <c r="E794" s="9"/>
      <c r="F794" s="9"/>
      <c r="G794" s="9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9"/>
      <c r="B795" s="9"/>
      <c r="C795" s="9" t="str">
        <f>if(len(A795)&gt;0, VLOOKUP(A795,Lookup!$A$2:$F1000,6,FALSE),"")</f>
        <v/>
      </c>
      <c r="D795" s="9"/>
      <c r="E795" s="9"/>
      <c r="F795" s="9"/>
      <c r="G795" s="9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9"/>
      <c r="B796" s="9"/>
      <c r="C796" s="9" t="str">
        <f>if(len(A796)&gt;0, VLOOKUP(A796,Lookup!$A$2:$F1000,6,FALSE),"")</f>
        <v/>
      </c>
      <c r="D796" s="9"/>
      <c r="E796" s="9"/>
      <c r="F796" s="9"/>
      <c r="G796" s="9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9"/>
      <c r="B797" s="9"/>
      <c r="C797" s="9" t="str">
        <f>if(len(A797)&gt;0, VLOOKUP(A797,Lookup!$A$2:$F1000,6,FALSE),"")</f>
        <v/>
      </c>
      <c r="D797" s="9"/>
      <c r="E797" s="9"/>
      <c r="F797" s="9"/>
      <c r="G797" s="9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9"/>
      <c r="B798" s="9"/>
      <c r="C798" s="9" t="str">
        <f>if(len(A798)&gt;0, VLOOKUP(A798,Lookup!$A$2:$F1000,6,FALSE),"")</f>
        <v/>
      </c>
      <c r="D798" s="9"/>
      <c r="E798" s="9"/>
      <c r="F798" s="9"/>
      <c r="G798" s="9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9"/>
      <c r="B799" s="9"/>
      <c r="C799" s="9" t="str">
        <f>if(len(A799)&gt;0, VLOOKUP(A799,Lookup!$A$2:$F1000,6,FALSE),"")</f>
        <v/>
      </c>
      <c r="D799" s="9"/>
      <c r="E799" s="9"/>
      <c r="F799" s="9"/>
      <c r="G799" s="9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9"/>
      <c r="B800" s="9"/>
      <c r="C800" s="9" t="str">
        <f>if(len(A800)&gt;0, VLOOKUP(A800,Lookup!$A$2:$F1000,6,FALSE),"")</f>
        <v/>
      </c>
      <c r="D800" s="9"/>
      <c r="E800" s="9"/>
      <c r="F800" s="9"/>
      <c r="G800" s="9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9"/>
      <c r="B801" s="9"/>
      <c r="C801" s="9" t="str">
        <f>if(len(A801)&gt;0, VLOOKUP(A801,Lookup!$A$2:$F1000,6,FALSE),"")</f>
        <v/>
      </c>
      <c r="D801" s="9"/>
      <c r="E801" s="9"/>
      <c r="F801" s="9"/>
      <c r="G801" s="9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9"/>
      <c r="B802" s="9"/>
      <c r="C802" s="9" t="str">
        <f>if(len(A802)&gt;0, VLOOKUP(A802,Lookup!$A$2:$F1000,6,FALSE),"")</f>
        <v/>
      </c>
      <c r="D802" s="9"/>
      <c r="E802" s="9"/>
      <c r="F802" s="9"/>
      <c r="G802" s="9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9"/>
      <c r="B803" s="9"/>
      <c r="C803" s="9" t="str">
        <f>if(len(A803)&gt;0, VLOOKUP(A803,Lookup!$A$2:$F1000,6,FALSE),"")</f>
        <v/>
      </c>
      <c r="D803" s="9"/>
      <c r="E803" s="9"/>
      <c r="F803" s="9"/>
      <c r="G803" s="9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9"/>
      <c r="B804" s="9"/>
      <c r="C804" s="9" t="str">
        <f>if(len(A804)&gt;0, VLOOKUP(A804,Lookup!$A$2:$F1000,6,FALSE),"")</f>
        <v/>
      </c>
      <c r="D804" s="9"/>
      <c r="E804" s="9"/>
      <c r="F804" s="9"/>
      <c r="G804" s="9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9"/>
      <c r="B805" s="9"/>
      <c r="C805" s="9" t="str">
        <f>if(len(A805)&gt;0, VLOOKUP(A805,Lookup!$A$2:$F1000,6,FALSE),"")</f>
        <v/>
      </c>
      <c r="D805" s="9"/>
      <c r="E805" s="9"/>
      <c r="F805" s="9"/>
      <c r="G805" s="9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9"/>
      <c r="B806" s="9"/>
      <c r="C806" s="9" t="str">
        <f>if(len(A806)&gt;0, VLOOKUP(A806,Lookup!$A$2:$F1000,6,FALSE),"")</f>
        <v/>
      </c>
      <c r="D806" s="9"/>
      <c r="E806" s="9"/>
      <c r="F806" s="9"/>
      <c r="G806" s="9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9"/>
      <c r="B807" s="9"/>
      <c r="C807" s="9" t="str">
        <f>if(len(A807)&gt;0, VLOOKUP(A807,Lookup!$A$2:$F1000,6,FALSE),"")</f>
        <v/>
      </c>
      <c r="D807" s="9"/>
      <c r="E807" s="9"/>
      <c r="F807" s="9"/>
      <c r="G807" s="9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9"/>
      <c r="B808" s="9"/>
      <c r="C808" s="9" t="str">
        <f>if(len(A808)&gt;0, VLOOKUP(A808,Lookup!$A$2:$F1000,6,FALSE),"")</f>
        <v/>
      </c>
      <c r="D808" s="9"/>
      <c r="E808" s="9"/>
      <c r="F808" s="9"/>
      <c r="G808" s="9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9"/>
      <c r="B809" s="9"/>
      <c r="C809" s="9" t="str">
        <f>if(len(A809)&gt;0, VLOOKUP(A809,Lookup!$A$2:$F1000,6,FALSE),"")</f>
        <v/>
      </c>
      <c r="D809" s="9"/>
      <c r="E809" s="9"/>
      <c r="F809" s="9"/>
      <c r="G809" s="9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9"/>
      <c r="B810" s="9"/>
      <c r="C810" s="9" t="str">
        <f>if(len(A810)&gt;0, VLOOKUP(A810,Lookup!$A$2:$F1000,6,FALSE),"")</f>
        <v/>
      </c>
      <c r="D810" s="9"/>
      <c r="E810" s="9"/>
      <c r="F810" s="9"/>
      <c r="G810" s="9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9"/>
      <c r="B811" s="9"/>
      <c r="C811" s="9" t="str">
        <f>if(len(A811)&gt;0, VLOOKUP(A811,Lookup!$A$2:$F1000,6,FALSE),"")</f>
        <v/>
      </c>
      <c r="D811" s="9"/>
      <c r="E811" s="9"/>
      <c r="F811" s="9"/>
      <c r="G811" s="9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9"/>
      <c r="B812" s="9"/>
      <c r="C812" s="9" t="str">
        <f>if(len(A812)&gt;0, VLOOKUP(A812,Lookup!$A$2:$F1000,6,FALSE),"")</f>
        <v/>
      </c>
      <c r="D812" s="9"/>
      <c r="E812" s="9"/>
      <c r="F812" s="9"/>
      <c r="G812" s="9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9"/>
      <c r="B813" s="9"/>
      <c r="C813" s="9" t="str">
        <f>if(len(A813)&gt;0, VLOOKUP(A813,Lookup!$A$2:$F1000,6,FALSE),"")</f>
        <v/>
      </c>
      <c r="D813" s="9"/>
      <c r="E813" s="9"/>
      <c r="F813" s="9"/>
      <c r="G813" s="9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9"/>
      <c r="B814" s="9"/>
      <c r="C814" s="9" t="str">
        <f>if(len(A814)&gt;0, VLOOKUP(A814,Lookup!$A$2:$F1000,6,FALSE),"")</f>
        <v/>
      </c>
      <c r="D814" s="9"/>
      <c r="E814" s="9"/>
      <c r="F814" s="9"/>
      <c r="G814" s="9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9"/>
      <c r="B815" s="9"/>
      <c r="C815" s="9" t="str">
        <f>if(len(A815)&gt;0, VLOOKUP(A815,Lookup!$A$2:$F1000,6,FALSE),"")</f>
        <v/>
      </c>
      <c r="D815" s="9"/>
      <c r="E815" s="9"/>
      <c r="F815" s="9"/>
      <c r="G815" s="9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9"/>
      <c r="B816" s="9"/>
      <c r="C816" s="9" t="str">
        <f>if(len(A816)&gt;0, VLOOKUP(A816,Lookup!$A$2:$F1000,6,FALSE),"")</f>
        <v/>
      </c>
      <c r="D816" s="9"/>
      <c r="E816" s="9"/>
      <c r="F816" s="9"/>
      <c r="G816" s="9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9"/>
      <c r="B817" s="9"/>
      <c r="C817" s="9" t="str">
        <f>if(len(A817)&gt;0, VLOOKUP(A817,Lookup!$A$2:$F1000,6,FALSE),"")</f>
        <v/>
      </c>
      <c r="D817" s="9"/>
      <c r="E817" s="9"/>
      <c r="F817" s="9"/>
      <c r="G817" s="9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9"/>
      <c r="B818" s="9"/>
      <c r="C818" s="9" t="str">
        <f>if(len(A818)&gt;0, VLOOKUP(A818,Lookup!$A$2:$F1000,6,FALSE),"")</f>
        <v/>
      </c>
      <c r="D818" s="9"/>
      <c r="E818" s="9"/>
      <c r="F818" s="9"/>
      <c r="G818" s="9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9"/>
      <c r="B819" s="9"/>
      <c r="C819" s="9" t="str">
        <f>if(len(A819)&gt;0, VLOOKUP(A819,Lookup!$A$2:$F1000,6,FALSE),"")</f>
        <v/>
      </c>
      <c r="D819" s="9"/>
      <c r="E819" s="9"/>
      <c r="F819" s="9"/>
      <c r="G819" s="9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9"/>
      <c r="B820" s="9"/>
      <c r="C820" s="9" t="str">
        <f>if(len(A820)&gt;0, VLOOKUP(A820,Lookup!$A$2:$F1000,6,FALSE),"")</f>
        <v/>
      </c>
      <c r="D820" s="9"/>
      <c r="E820" s="9"/>
      <c r="F820" s="9"/>
      <c r="G820" s="9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9"/>
      <c r="B821" s="9"/>
      <c r="C821" s="9" t="str">
        <f>if(len(A821)&gt;0, VLOOKUP(A821,Lookup!$A$2:$F1000,6,FALSE),"")</f>
        <v/>
      </c>
      <c r="D821" s="9"/>
      <c r="E821" s="9"/>
      <c r="F821" s="9"/>
      <c r="G821" s="9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9"/>
      <c r="B822" s="9"/>
      <c r="C822" s="9" t="str">
        <f>if(len(A822)&gt;0, VLOOKUP(A822,Lookup!$A$2:$F1000,6,FALSE),"")</f>
        <v/>
      </c>
      <c r="D822" s="9"/>
      <c r="E822" s="9"/>
      <c r="F822" s="9"/>
      <c r="G822" s="9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9"/>
      <c r="B823" s="9"/>
      <c r="C823" s="9" t="str">
        <f>if(len(A823)&gt;0, VLOOKUP(A823,Lookup!$A$2:$F1000,6,FALSE),"")</f>
        <v/>
      </c>
      <c r="D823" s="9"/>
      <c r="E823" s="9"/>
      <c r="F823" s="9"/>
      <c r="G823" s="9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9"/>
      <c r="B824" s="9"/>
      <c r="C824" s="9" t="str">
        <f>if(len(A824)&gt;0, VLOOKUP(A824,Lookup!$A$2:$F1000,6,FALSE),"")</f>
        <v/>
      </c>
      <c r="D824" s="9"/>
      <c r="E824" s="9"/>
      <c r="F824" s="9"/>
      <c r="G824" s="9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9"/>
      <c r="B825" s="9"/>
      <c r="C825" s="9" t="str">
        <f>if(len(A825)&gt;0, VLOOKUP(A825,Lookup!$A$2:$F1000,6,FALSE),"")</f>
        <v/>
      </c>
      <c r="D825" s="9"/>
      <c r="E825" s="9"/>
      <c r="F825" s="9"/>
      <c r="G825" s="9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9"/>
      <c r="B826" s="9"/>
      <c r="C826" s="9" t="str">
        <f>if(len(A826)&gt;0, VLOOKUP(A826,Lookup!$A$2:$F1000,6,FALSE),"")</f>
        <v/>
      </c>
      <c r="D826" s="9"/>
      <c r="E826" s="9"/>
      <c r="F826" s="9"/>
      <c r="G826" s="9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9"/>
      <c r="B827" s="9"/>
      <c r="C827" s="9" t="str">
        <f>if(len(A827)&gt;0, VLOOKUP(A827,Lookup!$A$2:$F1000,6,FALSE),"")</f>
        <v/>
      </c>
      <c r="D827" s="9"/>
      <c r="E827" s="9"/>
      <c r="F827" s="9"/>
      <c r="G827" s="9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9"/>
      <c r="B828" s="9"/>
      <c r="C828" s="9" t="str">
        <f>if(len(A828)&gt;0, VLOOKUP(A828,Lookup!$A$2:$F1000,6,FALSE),"")</f>
        <v/>
      </c>
      <c r="D828" s="9"/>
      <c r="E828" s="9"/>
      <c r="F828" s="9"/>
      <c r="G828" s="9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9"/>
      <c r="B829" s="9"/>
      <c r="C829" s="9" t="str">
        <f>if(len(A829)&gt;0, VLOOKUP(A829,Lookup!$A$2:$F1000,6,FALSE),"")</f>
        <v/>
      </c>
      <c r="D829" s="9"/>
      <c r="E829" s="9"/>
      <c r="F829" s="9"/>
      <c r="G829" s="9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9"/>
      <c r="B830" s="9"/>
      <c r="C830" s="9" t="str">
        <f>if(len(A830)&gt;0, VLOOKUP(A830,Lookup!$A$2:$F1000,6,FALSE),"")</f>
        <v/>
      </c>
      <c r="D830" s="9"/>
      <c r="E830" s="9"/>
      <c r="F830" s="9"/>
      <c r="G830" s="9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9"/>
      <c r="B831" s="9"/>
      <c r="C831" s="9" t="str">
        <f>if(len(A831)&gt;0, VLOOKUP(A831,Lookup!$A$2:$F1000,6,FALSE),"")</f>
        <v/>
      </c>
      <c r="D831" s="9"/>
      <c r="E831" s="9"/>
      <c r="F831" s="9"/>
      <c r="G831" s="9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9"/>
      <c r="B832" s="9"/>
      <c r="C832" s="9" t="str">
        <f>if(len(A832)&gt;0, VLOOKUP(A832,Lookup!$A$2:$F1000,6,FALSE),"")</f>
        <v/>
      </c>
      <c r="D832" s="9"/>
      <c r="E832" s="9"/>
      <c r="F832" s="9"/>
      <c r="G832" s="9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9"/>
      <c r="B833" s="9"/>
      <c r="C833" s="9" t="str">
        <f>if(len(A833)&gt;0, VLOOKUP(A833,Lookup!$A$2:$F1000,6,FALSE),"")</f>
        <v/>
      </c>
      <c r="D833" s="9"/>
      <c r="E833" s="9"/>
      <c r="F833" s="9"/>
      <c r="G833" s="9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9"/>
      <c r="B834" s="9"/>
      <c r="C834" s="9" t="str">
        <f>if(len(A834)&gt;0, VLOOKUP(A834,Lookup!$A$2:$F1000,6,FALSE),"")</f>
        <v/>
      </c>
      <c r="D834" s="9"/>
      <c r="E834" s="9"/>
      <c r="F834" s="9"/>
      <c r="G834" s="9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9"/>
      <c r="B835" s="9"/>
      <c r="C835" s="9" t="str">
        <f>if(len(A835)&gt;0, VLOOKUP(A835,Lookup!$A$2:$F1000,6,FALSE),"")</f>
        <v/>
      </c>
      <c r="D835" s="9"/>
      <c r="E835" s="9"/>
      <c r="F835" s="9"/>
      <c r="G835" s="9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9"/>
      <c r="B836" s="9"/>
      <c r="C836" s="9" t="str">
        <f>if(len(A836)&gt;0, VLOOKUP(A836,Lookup!$A$2:$F1000,6,FALSE),"")</f>
        <v/>
      </c>
      <c r="D836" s="9"/>
      <c r="E836" s="9"/>
      <c r="F836" s="9"/>
      <c r="G836" s="9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9"/>
      <c r="B837" s="9"/>
      <c r="C837" s="9" t="str">
        <f>if(len(A837)&gt;0, VLOOKUP(A837,Lookup!$A$2:$F1000,6,FALSE),"")</f>
        <v/>
      </c>
      <c r="D837" s="9"/>
      <c r="E837" s="9"/>
      <c r="F837" s="9"/>
      <c r="G837" s="9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9"/>
      <c r="B838" s="9"/>
      <c r="C838" s="9" t="str">
        <f>if(len(A838)&gt;0, VLOOKUP(A838,Lookup!$A$2:$F1000,6,FALSE),"")</f>
        <v/>
      </c>
      <c r="D838" s="9"/>
      <c r="E838" s="9"/>
      <c r="F838" s="9"/>
      <c r="G838" s="9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9"/>
      <c r="B839" s="9"/>
      <c r="C839" s="9" t="str">
        <f>if(len(A839)&gt;0, VLOOKUP(A839,Lookup!$A$2:$F1000,6,FALSE),"")</f>
        <v/>
      </c>
      <c r="D839" s="9"/>
      <c r="E839" s="9"/>
      <c r="F839" s="9"/>
      <c r="G839" s="9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9"/>
      <c r="B840" s="9"/>
      <c r="C840" s="9" t="str">
        <f>if(len(A840)&gt;0, VLOOKUP(A840,Lookup!$A$2:$F1000,6,FALSE),"")</f>
        <v/>
      </c>
      <c r="D840" s="9"/>
      <c r="E840" s="9"/>
      <c r="F840" s="9"/>
      <c r="G840" s="9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9"/>
      <c r="B841" s="9"/>
      <c r="C841" s="9" t="str">
        <f>if(len(A841)&gt;0, VLOOKUP(A841,Lookup!$A$2:$F1000,6,FALSE),"")</f>
        <v/>
      </c>
      <c r="D841" s="9"/>
      <c r="E841" s="9"/>
      <c r="F841" s="9"/>
      <c r="G841" s="9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9"/>
      <c r="B842" s="9"/>
      <c r="C842" s="9" t="str">
        <f>if(len(A842)&gt;0, VLOOKUP(A842,Lookup!$A$2:$F1000,6,FALSE),"")</f>
        <v/>
      </c>
      <c r="D842" s="9"/>
      <c r="E842" s="9"/>
      <c r="F842" s="9"/>
      <c r="G842" s="9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9"/>
      <c r="B843" s="9"/>
      <c r="C843" s="9" t="str">
        <f>if(len(A843)&gt;0, VLOOKUP(A843,Lookup!$A$2:$F1000,6,FALSE),"")</f>
        <v/>
      </c>
      <c r="D843" s="9"/>
      <c r="E843" s="9"/>
      <c r="F843" s="9"/>
      <c r="G843" s="9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9"/>
      <c r="B844" s="9"/>
      <c r="C844" s="9" t="str">
        <f>if(len(A844)&gt;0, VLOOKUP(A844,Lookup!$A$2:$F1000,6,FALSE),"")</f>
        <v/>
      </c>
      <c r="D844" s="9"/>
      <c r="E844" s="9"/>
      <c r="F844" s="9"/>
      <c r="G844" s="9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9"/>
      <c r="B845" s="9"/>
      <c r="C845" s="9" t="str">
        <f>if(len(A845)&gt;0, VLOOKUP(A845,Lookup!$A$2:$F1000,6,FALSE),"")</f>
        <v/>
      </c>
      <c r="D845" s="9"/>
      <c r="E845" s="9"/>
      <c r="F845" s="9"/>
      <c r="G845" s="9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9"/>
      <c r="B846" s="9"/>
      <c r="C846" s="9" t="str">
        <f>if(len(A846)&gt;0, VLOOKUP(A846,Lookup!$A$2:$F1000,6,FALSE),"")</f>
        <v/>
      </c>
      <c r="D846" s="9"/>
      <c r="E846" s="9"/>
      <c r="F846" s="9"/>
      <c r="G846" s="9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9"/>
      <c r="B847" s="9"/>
      <c r="C847" s="9" t="str">
        <f>if(len(A847)&gt;0, VLOOKUP(A847,Lookup!$A$2:$F1000,6,FALSE),"")</f>
        <v/>
      </c>
      <c r="D847" s="9"/>
      <c r="E847" s="9"/>
      <c r="F847" s="9"/>
      <c r="G847" s="9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9"/>
      <c r="B848" s="9"/>
      <c r="C848" s="9" t="str">
        <f>if(len(A848)&gt;0, VLOOKUP(A848,Lookup!$A$2:$F1000,6,FALSE),"")</f>
        <v/>
      </c>
      <c r="D848" s="9"/>
      <c r="E848" s="9"/>
      <c r="F848" s="9"/>
      <c r="G848" s="9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9"/>
      <c r="B849" s="9"/>
      <c r="C849" s="9" t="str">
        <f>if(len(A849)&gt;0, VLOOKUP(A849,Lookup!$A$2:$F1000,6,FALSE),"")</f>
        <v/>
      </c>
      <c r="D849" s="9"/>
      <c r="E849" s="9"/>
      <c r="F849" s="9"/>
      <c r="G849" s="9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9"/>
      <c r="B850" s="9"/>
      <c r="C850" s="9" t="str">
        <f>if(len(A850)&gt;0, VLOOKUP(A850,Lookup!$A$2:$F1000,6,FALSE),"")</f>
        <v/>
      </c>
      <c r="D850" s="9"/>
      <c r="E850" s="9"/>
      <c r="F850" s="9"/>
      <c r="G850" s="9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9"/>
      <c r="B851" s="9"/>
      <c r="C851" s="9" t="str">
        <f>if(len(A851)&gt;0, VLOOKUP(A851,Lookup!$A$2:$F1000,6,FALSE),"")</f>
        <v/>
      </c>
      <c r="D851" s="9"/>
      <c r="E851" s="9"/>
      <c r="F851" s="9"/>
      <c r="G851" s="9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9"/>
      <c r="B852" s="9"/>
      <c r="C852" s="9" t="str">
        <f>if(len(A852)&gt;0, VLOOKUP(A852,Lookup!$A$2:$F1000,6,FALSE),"")</f>
        <v/>
      </c>
      <c r="D852" s="9"/>
      <c r="E852" s="9"/>
      <c r="F852" s="9"/>
      <c r="G852" s="9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9"/>
      <c r="B853" s="9"/>
      <c r="C853" s="9" t="str">
        <f>if(len(A853)&gt;0, VLOOKUP(A853,Lookup!$A$2:$F1000,6,FALSE),"")</f>
        <v/>
      </c>
      <c r="D853" s="9"/>
      <c r="E853" s="9"/>
      <c r="F853" s="9"/>
      <c r="G853" s="9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9"/>
      <c r="B854" s="9"/>
      <c r="C854" s="9" t="str">
        <f>if(len(A854)&gt;0, VLOOKUP(A854,Lookup!$A$2:$F1000,6,FALSE),"")</f>
        <v/>
      </c>
      <c r="D854" s="9"/>
      <c r="E854" s="9"/>
      <c r="F854" s="9"/>
      <c r="G854" s="9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9"/>
      <c r="B855" s="9"/>
      <c r="C855" s="9" t="str">
        <f>if(len(A855)&gt;0, VLOOKUP(A855,Lookup!$A$2:$F1000,6,FALSE),"")</f>
        <v/>
      </c>
      <c r="D855" s="9"/>
      <c r="E855" s="9"/>
      <c r="F855" s="9"/>
      <c r="G855" s="9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9"/>
      <c r="B856" s="9"/>
      <c r="C856" s="9" t="str">
        <f>if(len(A856)&gt;0, VLOOKUP(A856,Lookup!$A$2:$F1000,6,FALSE),"")</f>
        <v/>
      </c>
      <c r="D856" s="9"/>
      <c r="E856" s="9"/>
      <c r="F856" s="9"/>
      <c r="G856" s="9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9"/>
      <c r="B857" s="9"/>
      <c r="C857" s="9" t="str">
        <f>if(len(A857)&gt;0, VLOOKUP(A857,Lookup!$A$2:$F1000,6,FALSE),"")</f>
        <v/>
      </c>
      <c r="D857" s="9"/>
      <c r="E857" s="9"/>
      <c r="F857" s="9"/>
      <c r="G857" s="9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9"/>
      <c r="B858" s="9"/>
      <c r="C858" s="9" t="str">
        <f>if(len(A858)&gt;0, VLOOKUP(A858,Lookup!$A$2:$F1000,6,FALSE),"")</f>
        <v/>
      </c>
      <c r="D858" s="9"/>
      <c r="E858" s="9"/>
      <c r="F858" s="9"/>
      <c r="G858" s="9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9"/>
      <c r="B859" s="9"/>
      <c r="C859" s="9" t="str">
        <f>if(len(A859)&gt;0, VLOOKUP(A859,Lookup!$A$2:$F1000,6,FALSE),"")</f>
        <v/>
      </c>
      <c r="D859" s="9"/>
      <c r="E859" s="9"/>
      <c r="F859" s="9"/>
      <c r="G859" s="9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9"/>
      <c r="B860" s="9"/>
      <c r="C860" s="9" t="str">
        <f>if(len(A860)&gt;0, VLOOKUP(A860,Lookup!$A$2:$F1000,6,FALSE),"")</f>
        <v/>
      </c>
      <c r="D860" s="9"/>
      <c r="E860" s="9"/>
      <c r="F860" s="9"/>
      <c r="G860" s="9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9"/>
      <c r="B861" s="9"/>
      <c r="C861" s="9" t="str">
        <f>if(len(A861)&gt;0, VLOOKUP(A861,Lookup!$A$2:$F1000,6,FALSE),"")</f>
        <v/>
      </c>
      <c r="D861" s="9"/>
      <c r="E861" s="9"/>
      <c r="F861" s="9"/>
      <c r="G861" s="9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9"/>
      <c r="B862" s="9"/>
      <c r="C862" s="9" t="str">
        <f>if(len(A862)&gt;0, VLOOKUP(A862,Lookup!$A$2:$F1000,6,FALSE),"")</f>
        <v/>
      </c>
      <c r="D862" s="9"/>
      <c r="E862" s="9"/>
      <c r="F862" s="9"/>
      <c r="G862" s="9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9"/>
      <c r="B863" s="9"/>
      <c r="C863" s="9" t="str">
        <f>if(len(A863)&gt;0, VLOOKUP(A863,Lookup!$A$2:$F1000,6,FALSE),"")</f>
        <v/>
      </c>
      <c r="D863" s="9"/>
      <c r="E863" s="9"/>
      <c r="F863" s="9"/>
      <c r="G863" s="9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9"/>
      <c r="B864" s="9"/>
      <c r="C864" s="9" t="str">
        <f>if(len(A864)&gt;0, VLOOKUP(A864,Lookup!$A$2:$F1000,6,FALSE),"")</f>
        <v/>
      </c>
      <c r="D864" s="9"/>
      <c r="E864" s="9"/>
      <c r="F864" s="9"/>
      <c r="G864" s="9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9"/>
      <c r="B865" s="9"/>
      <c r="C865" s="9" t="str">
        <f>if(len(A865)&gt;0, VLOOKUP(A865,Lookup!$A$2:$F1000,6,FALSE),"")</f>
        <v/>
      </c>
      <c r="D865" s="9"/>
      <c r="E865" s="9"/>
      <c r="F865" s="9"/>
      <c r="G865" s="9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9"/>
      <c r="B866" s="9"/>
      <c r="C866" s="9" t="str">
        <f>if(len(A866)&gt;0, VLOOKUP(A866,Lookup!$A$2:$F1000,6,FALSE),"")</f>
        <v/>
      </c>
      <c r="D866" s="9"/>
      <c r="E866" s="9"/>
      <c r="F866" s="9"/>
      <c r="G866" s="9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9"/>
      <c r="B867" s="9"/>
      <c r="C867" s="9" t="str">
        <f>if(len(A867)&gt;0, VLOOKUP(A867,Lookup!$A$2:$F1000,6,FALSE),"")</f>
        <v/>
      </c>
      <c r="D867" s="9"/>
      <c r="E867" s="9"/>
      <c r="F867" s="9"/>
      <c r="G867" s="9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9"/>
      <c r="B868" s="9"/>
      <c r="C868" s="9" t="str">
        <f>if(len(A868)&gt;0, VLOOKUP(A868,Lookup!$A$2:$F1000,6,FALSE),"")</f>
        <v/>
      </c>
      <c r="D868" s="9"/>
      <c r="E868" s="9"/>
      <c r="F868" s="9"/>
      <c r="G868" s="9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9"/>
      <c r="B869" s="9"/>
      <c r="C869" s="9" t="str">
        <f>if(len(A869)&gt;0, VLOOKUP(A869,Lookup!$A$2:$F1000,6,FALSE),"")</f>
        <v/>
      </c>
      <c r="D869" s="9"/>
      <c r="E869" s="9"/>
      <c r="F869" s="9"/>
      <c r="G869" s="9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9"/>
      <c r="B870" s="9"/>
      <c r="C870" s="9" t="str">
        <f>if(len(A870)&gt;0, VLOOKUP(A870,Lookup!$A$2:$F1000,6,FALSE),"")</f>
        <v/>
      </c>
      <c r="D870" s="9"/>
      <c r="E870" s="9"/>
      <c r="F870" s="9"/>
      <c r="G870" s="9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9"/>
      <c r="B871" s="9"/>
      <c r="C871" s="9" t="str">
        <f>if(len(A871)&gt;0, VLOOKUP(A871,Lookup!$A$2:$F1000,6,FALSE),"")</f>
        <v/>
      </c>
      <c r="D871" s="9"/>
      <c r="E871" s="9"/>
      <c r="F871" s="9"/>
      <c r="G871" s="9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9"/>
      <c r="B872" s="9"/>
      <c r="C872" s="9" t="str">
        <f>if(len(A872)&gt;0, VLOOKUP(A872,Lookup!$A$2:$F1000,6,FALSE),"")</f>
        <v/>
      </c>
      <c r="D872" s="9"/>
      <c r="E872" s="9"/>
      <c r="F872" s="9"/>
      <c r="G872" s="9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9"/>
      <c r="B873" s="9"/>
      <c r="C873" s="9" t="str">
        <f>if(len(A873)&gt;0, VLOOKUP(A873,Lookup!$A$2:$F1000,6,FALSE),"")</f>
        <v/>
      </c>
      <c r="D873" s="9"/>
      <c r="E873" s="9"/>
      <c r="F873" s="9"/>
      <c r="G873" s="9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9"/>
      <c r="B874" s="9"/>
      <c r="C874" s="9" t="str">
        <f>if(len(A874)&gt;0, VLOOKUP(A874,Lookup!$A$2:$F1000,6,FALSE),"")</f>
        <v/>
      </c>
      <c r="D874" s="9"/>
      <c r="E874" s="9"/>
      <c r="F874" s="9"/>
      <c r="G874" s="9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9"/>
      <c r="B875" s="9"/>
      <c r="C875" s="9" t="str">
        <f>if(len(A875)&gt;0, VLOOKUP(A875,Lookup!$A$2:$F1000,6,FALSE),"")</f>
        <v/>
      </c>
      <c r="D875" s="9"/>
      <c r="E875" s="9"/>
      <c r="F875" s="9"/>
      <c r="G875" s="9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9"/>
      <c r="B876" s="9"/>
      <c r="C876" s="9" t="str">
        <f>if(len(A876)&gt;0, VLOOKUP(A876,Lookup!$A$2:$F1000,6,FALSE),"")</f>
        <v/>
      </c>
      <c r="D876" s="9"/>
      <c r="E876" s="9"/>
      <c r="F876" s="9"/>
      <c r="G876" s="9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9"/>
      <c r="B877" s="9"/>
      <c r="C877" s="9" t="str">
        <f>if(len(A877)&gt;0, VLOOKUP(A877,Lookup!$A$2:$F1000,6,FALSE),"")</f>
        <v/>
      </c>
      <c r="D877" s="9"/>
      <c r="E877" s="9"/>
      <c r="F877" s="9"/>
      <c r="G877" s="9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9"/>
      <c r="B878" s="9"/>
      <c r="C878" s="9" t="str">
        <f>if(len(A878)&gt;0, VLOOKUP(A878,Lookup!$A$2:$F1000,6,FALSE),"")</f>
        <v/>
      </c>
      <c r="D878" s="9"/>
      <c r="E878" s="9"/>
      <c r="F878" s="9"/>
      <c r="G878" s="9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9"/>
      <c r="B879" s="9"/>
      <c r="C879" s="9" t="str">
        <f>if(len(A879)&gt;0, VLOOKUP(A879,Lookup!$A$2:$F1000,6,FALSE),"")</f>
        <v/>
      </c>
      <c r="D879" s="9"/>
      <c r="E879" s="9"/>
      <c r="F879" s="9"/>
      <c r="G879" s="9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9"/>
      <c r="B880" s="9"/>
      <c r="C880" s="9" t="str">
        <f>if(len(A880)&gt;0, VLOOKUP(A880,Lookup!$A$2:$F1000,6,FALSE),"")</f>
        <v/>
      </c>
      <c r="D880" s="9"/>
      <c r="E880" s="9"/>
      <c r="F880" s="9"/>
      <c r="G880" s="9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9"/>
      <c r="B881" s="9"/>
      <c r="C881" s="9" t="str">
        <f>if(len(A881)&gt;0, VLOOKUP(A881,Lookup!$A$2:$F1000,6,FALSE),"")</f>
        <v/>
      </c>
      <c r="D881" s="9"/>
      <c r="E881" s="9"/>
      <c r="F881" s="9"/>
      <c r="G881" s="9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9"/>
      <c r="B882" s="9"/>
      <c r="C882" s="9" t="str">
        <f>if(len(A882)&gt;0, VLOOKUP(A882,Lookup!$A$2:$F1000,6,FALSE),"")</f>
        <v/>
      </c>
      <c r="D882" s="9"/>
      <c r="E882" s="9"/>
      <c r="F882" s="9"/>
      <c r="G882" s="9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9"/>
      <c r="B883" s="9"/>
      <c r="C883" s="9" t="str">
        <f>if(len(A883)&gt;0, VLOOKUP(A883,Lookup!$A$2:$F1000,6,FALSE),"")</f>
        <v/>
      </c>
      <c r="D883" s="9"/>
      <c r="E883" s="9"/>
      <c r="F883" s="9"/>
      <c r="G883" s="9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9"/>
      <c r="B884" s="9"/>
      <c r="C884" s="9" t="str">
        <f>if(len(A884)&gt;0, VLOOKUP(A884,Lookup!$A$2:$F1000,6,FALSE),"")</f>
        <v/>
      </c>
      <c r="D884" s="9"/>
      <c r="E884" s="9"/>
      <c r="F884" s="9"/>
      <c r="G884" s="9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9"/>
      <c r="B885" s="9"/>
      <c r="C885" s="9" t="str">
        <f>if(len(A885)&gt;0, VLOOKUP(A885,Lookup!$A$2:$F1000,6,FALSE),"")</f>
        <v/>
      </c>
      <c r="D885" s="9"/>
      <c r="E885" s="9"/>
      <c r="F885" s="9"/>
      <c r="G885" s="9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9"/>
      <c r="B886" s="9"/>
      <c r="C886" s="9" t="str">
        <f>if(len(A886)&gt;0, VLOOKUP(A886,Lookup!$A$2:$F1000,6,FALSE),"")</f>
        <v/>
      </c>
      <c r="D886" s="9"/>
      <c r="E886" s="9"/>
      <c r="F886" s="9"/>
      <c r="G886" s="9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9"/>
      <c r="B887" s="9"/>
      <c r="C887" s="9" t="str">
        <f>if(len(A887)&gt;0, VLOOKUP(A887,Lookup!$A$2:$F1000,6,FALSE),"")</f>
        <v/>
      </c>
      <c r="D887" s="9"/>
      <c r="E887" s="9"/>
      <c r="F887" s="9"/>
      <c r="G887" s="9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9"/>
      <c r="B888" s="9"/>
      <c r="C888" s="9" t="str">
        <f>if(len(A888)&gt;0, VLOOKUP(A888,Lookup!$A$2:$F1000,6,FALSE),"")</f>
        <v/>
      </c>
      <c r="D888" s="9"/>
      <c r="E888" s="9"/>
      <c r="F888" s="9"/>
      <c r="G888" s="9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9"/>
      <c r="B889" s="9"/>
      <c r="C889" s="9" t="str">
        <f>if(len(A889)&gt;0, VLOOKUP(A889,Lookup!$A$2:$F1000,6,FALSE),"")</f>
        <v/>
      </c>
      <c r="D889" s="9"/>
      <c r="E889" s="9"/>
      <c r="F889" s="9"/>
      <c r="G889" s="9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9"/>
      <c r="B890" s="9"/>
      <c r="C890" s="9" t="str">
        <f>if(len(A890)&gt;0, VLOOKUP(A890,Lookup!$A$2:$F1000,6,FALSE),"")</f>
        <v/>
      </c>
      <c r="D890" s="9"/>
      <c r="E890" s="9"/>
      <c r="F890" s="9"/>
      <c r="G890" s="9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9"/>
      <c r="B891" s="9"/>
      <c r="C891" s="9" t="str">
        <f>if(len(A891)&gt;0, VLOOKUP(A891,Lookup!$A$2:$F1000,6,FALSE),"")</f>
        <v/>
      </c>
      <c r="D891" s="9"/>
      <c r="E891" s="9"/>
      <c r="F891" s="9"/>
      <c r="G891" s="9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9"/>
      <c r="B892" s="9"/>
      <c r="C892" s="9" t="str">
        <f>if(len(A892)&gt;0, VLOOKUP(A892,Lookup!$A$2:$F1000,6,FALSE),"")</f>
        <v/>
      </c>
      <c r="D892" s="9"/>
      <c r="E892" s="9"/>
      <c r="F892" s="9"/>
      <c r="G892" s="9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9"/>
      <c r="B893" s="9"/>
      <c r="C893" s="9" t="str">
        <f>if(len(A893)&gt;0, VLOOKUP(A893,Lookup!$A$2:$F1000,6,FALSE),"")</f>
        <v/>
      </c>
      <c r="D893" s="9"/>
      <c r="E893" s="9"/>
      <c r="F893" s="9"/>
      <c r="G893" s="9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9"/>
      <c r="B894" s="9"/>
      <c r="C894" s="9" t="str">
        <f>if(len(A894)&gt;0, VLOOKUP(A894,Lookup!$A$2:$F1000,6,FALSE),"")</f>
        <v/>
      </c>
      <c r="D894" s="9"/>
      <c r="E894" s="9"/>
      <c r="F894" s="9"/>
      <c r="G894" s="9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9"/>
      <c r="B895" s="9"/>
      <c r="C895" s="9" t="str">
        <f>if(len(A895)&gt;0, VLOOKUP(A895,Lookup!$A$2:$F1000,6,FALSE),"")</f>
        <v/>
      </c>
      <c r="D895" s="9"/>
      <c r="E895" s="9"/>
      <c r="F895" s="9"/>
      <c r="G895" s="9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9"/>
      <c r="B896" s="9"/>
      <c r="C896" s="9" t="str">
        <f>if(len(A896)&gt;0, VLOOKUP(A896,Lookup!$A$2:$F1000,6,FALSE),"")</f>
        <v/>
      </c>
      <c r="D896" s="9"/>
      <c r="E896" s="9"/>
      <c r="F896" s="9"/>
      <c r="G896" s="9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9"/>
      <c r="B897" s="9"/>
      <c r="C897" s="9" t="str">
        <f>if(len(A897)&gt;0, VLOOKUP(A897,Lookup!$A$2:$F1000,6,FALSE),"")</f>
        <v/>
      </c>
      <c r="D897" s="9"/>
      <c r="E897" s="9"/>
      <c r="F897" s="9"/>
      <c r="G897" s="9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9"/>
      <c r="B898" s="9"/>
      <c r="C898" s="9" t="str">
        <f>if(len(A898)&gt;0, VLOOKUP(A898,Lookup!$A$2:$F1000,6,FALSE),"")</f>
        <v/>
      </c>
      <c r="D898" s="9"/>
      <c r="E898" s="9"/>
      <c r="F898" s="9"/>
      <c r="G898" s="9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9"/>
      <c r="B899" s="9"/>
      <c r="C899" s="9" t="str">
        <f>if(len(A899)&gt;0, VLOOKUP(A899,Lookup!$A$2:$F1000,6,FALSE),"")</f>
        <v/>
      </c>
      <c r="D899" s="9"/>
      <c r="E899" s="9"/>
      <c r="F899" s="9"/>
      <c r="G899" s="9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9"/>
      <c r="B900" s="9"/>
      <c r="C900" s="9" t="str">
        <f>if(len(A900)&gt;0, VLOOKUP(A900,Lookup!$A$2:$F1000,6,FALSE),"")</f>
        <v/>
      </c>
      <c r="D900" s="9"/>
      <c r="E900" s="9"/>
      <c r="F900" s="9"/>
      <c r="G900" s="9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9"/>
      <c r="B901" s="9"/>
      <c r="C901" s="9" t="str">
        <f>if(len(A901)&gt;0, VLOOKUP(A901,Lookup!$A$2:$F1000,6,FALSE),"")</f>
        <v/>
      </c>
      <c r="D901" s="9"/>
      <c r="E901" s="9"/>
      <c r="F901" s="9"/>
      <c r="G901" s="9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9"/>
      <c r="B902" s="9"/>
      <c r="C902" s="9" t="str">
        <f>if(len(A902)&gt;0, VLOOKUP(A902,Lookup!$A$2:$F1000,6,FALSE),"")</f>
        <v/>
      </c>
      <c r="D902" s="9"/>
      <c r="E902" s="9"/>
      <c r="F902" s="9"/>
      <c r="G902" s="9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9"/>
      <c r="B903" s="9"/>
      <c r="C903" s="9" t="str">
        <f>if(len(A903)&gt;0, VLOOKUP(A903,Lookup!$A$2:$F1000,6,FALSE),"")</f>
        <v/>
      </c>
      <c r="D903" s="9"/>
      <c r="E903" s="9"/>
      <c r="F903" s="9"/>
      <c r="G903" s="9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9"/>
      <c r="B904" s="9"/>
      <c r="C904" s="9" t="str">
        <f>if(len(A904)&gt;0, VLOOKUP(A904,Lookup!$A$2:$F1000,6,FALSE),"")</f>
        <v/>
      </c>
      <c r="D904" s="9"/>
      <c r="E904" s="9"/>
      <c r="F904" s="9"/>
      <c r="G904" s="9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9"/>
      <c r="B905" s="9"/>
      <c r="C905" s="9" t="str">
        <f>if(len(A905)&gt;0, VLOOKUP(A905,Lookup!$A$2:$F1000,6,FALSE),"")</f>
        <v/>
      </c>
      <c r="D905" s="9"/>
      <c r="E905" s="9"/>
      <c r="F905" s="9"/>
      <c r="G905" s="9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9"/>
      <c r="B906" s="9"/>
      <c r="C906" s="9" t="str">
        <f>if(len(A906)&gt;0, VLOOKUP(A906,Lookup!$A$2:$F1000,6,FALSE),"")</f>
        <v/>
      </c>
      <c r="D906" s="9"/>
      <c r="E906" s="9"/>
      <c r="F906" s="9"/>
      <c r="G906" s="9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9"/>
      <c r="B907" s="9"/>
      <c r="C907" s="9" t="str">
        <f>if(len(A907)&gt;0, VLOOKUP(A907,Lookup!$A$2:$F1000,6,FALSE),"")</f>
        <v/>
      </c>
      <c r="D907" s="9"/>
      <c r="E907" s="9"/>
      <c r="F907" s="9"/>
      <c r="G907" s="9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9"/>
      <c r="B908" s="9"/>
      <c r="C908" s="9" t="str">
        <f>if(len(A908)&gt;0, VLOOKUP(A908,Lookup!$A$2:$F1000,6,FALSE),"")</f>
        <v/>
      </c>
      <c r="D908" s="9"/>
      <c r="E908" s="9"/>
      <c r="F908" s="9"/>
      <c r="G908" s="9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9"/>
      <c r="B909" s="9"/>
      <c r="C909" s="9" t="str">
        <f>if(len(A909)&gt;0, VLOOKUP(A909,Lookup!$A$2:$F1000,6,FALSE),"")</f>
        <v/>
      </c>
      <c r="D909" s="9"/>
      <c r="E909" s="9"/>
      <c r="F909" s="9"/>
      <c r="G909" s="9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9"/>
      <c r="B910" s="9"/>
      <c r="C910" s="9" t="str">
        <f>if(len(A910)&gt;0, VLOOKUP(A910,Lookup!$A$2:$F1000,6,FALSE),"")</f>
        <v/>
      </c>
      <c r="D910" s="9"/>
      <c r="E910" s="9"/>
      <c r="F910" s="9"/>
      <c r="G910" s="9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9"/>
      <c r="B911" s="9"/>
      <c r="C911" s="9" t="str">
        <f>if(len(A911)&gt;0, VLOOKUP(A911,Lookup!$A$2:$F1000,6,FALSE),"")</f>
        <v/>
      </c>
      <c r="D911" s="9"/>
      <c r="E911" s="9"/>
      <c r="F911" s="9"/>
      <c r="G911" s="9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9"/>
      <c r="B912" s="9"/>
      <c r="C912" s="9" t="str">
        <f>if(len(A912)&gt;0, VLOOKUP(A912,Lookup!$A$2:$F1000,6,FALSE),"")</f>
        <v/>
      </c>
      <c r="D912" s="9"/>
      <c r="E912" s="9"/>
      <c r="F912" s="9"/>
      <c r="G912" s="9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9"/>
      <c r="B913" s="9"/>
      <c r="C913" s="9" t="str">
        <f>if(len(A913)&gt;0, VLOOKUP(A913,Lookup!$A$2:$F1000,6,FALSE),"")</f>
        <v/>
      </c>
      <c r="D913" s="9"/>
      <c r="E913" s="9"/>
      <c r="F913" s="9"/>
      <c r="G913" s="9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9"/>
      <c r="B914" s="9"/>
      <c r="C914" s="9" t="str">
        <f>if(len(A914)&gt;0, VLOOKUP(A914,Lookup!$A$2:$F1000,6,FALSE),"")</f>
        <v/>
      </c>
      <c r="D914" s="9"/>
      <c r="E914" s="9"/>
      <c r="F914" s="9"/>
      <c r="G914" s="9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9"/>
      <c r="B915" s="9"/>
      <c r="C915" s="9" t="str">
        <f>if(len(A915)&gt;0, VLOOKUP(A915,Lookup!$A$2:$F1000,6,FALSE),"")</f>
        <v/>
      </c>
      <c r="D915" s="9"/>
      <c r="E915" s="9"/>
      <c r="F915" s="9"/>
      <c r="G915" s="9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9"/>
      <c r="B916" s="9"/>
      <c r="C916" s="9" t="str">
        <f>if(len(A916)&gt;0, VLOOKUP(A916,Lookup!$A$2:$F1000,6,FALSE),"")</f>
        <v/>
      </c>
      <c r="D916" s="9"/>
      <c r="E916" s="9"/>
      <c r="F916" s="9"/>
      <c r="G916" s="9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9"/>
      <c r="B917" s="9"/>
      <c r="C917" s="9" t="str">
        <f>if(len(A917)&gt;0, VLOOKUP(A917,Lookup!$A$2:$F1000,6,FALSE),"")</f>
        <v/>
      </c>
      <c r="D917" s="9"/>
      <c r="E917" s="9"/>
      <c r="F917" s="9"/>
      <c r="G917" s="9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9"/>
      <c r="B918" s="9"/>
      <c r="C918" s="9" t="str">
        <f>if(len(A918)&gt;0, VLOOKUP(A918,Lookup!$A$2:$F1000,6,FALSE),"")</f>
        <v/>
      </c>
      <c r="D918" s="9"/>
      <c r="E918" s="9"/>
      <c r="F918" s="9"/>
      <c r="G918" s="9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9"/>
      <c r="B919" s="9"/>
      <c r="C919" s="9" t="str">
        <f>if(len(A919)&gt;0, VLOOKUP(A919,Lookup!$A$2:$F1000,6,FALSE),"")</f>
        <v/>
      </c>
      <c r="D919" s="9"/>
      <c r="E919" s="9"/>
      <c r="F919" s="9"/>
      <c r="G919" s="9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9"/>
      <c r="B920" s="9"/>
      <c r="C920" s="9" t="str">
        <f>if(len(A920)&gt;0, VLOOKUP(A920,Lookup!$A$2:$F1000,6,FALSE),"")</f>
        <v/>
      </c>
      <c r="D920" s="9"/>
      <c r="E920" s="9"/>
      <c r="F920" s="9"/>
      <c r="G920" s="9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9"/>
      <c r="B921" s="9"/>
      <c r="C921" s="9" t="str">
        <f>if(len(A921)&gt;0, VLOOKUP(A921,Lookup!$A$2:$F1000,6,FALSE),"")</f>
        <v/>
      </c>
      <c r="D921" s="9"/>
      <c r="E921" s="9"/>
      <c r="F921" s="9"/>
      <c r="G921" s="9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9"/>
      <c r="B922" s="9"/>
      <c r="C922" s="9" t="str">
        <f>if(len(A922)&gt;0, VLOOKUP(A922,Lookup!$A$2:$F1000,6,FALSE),"")</f>
        <v/>
      </c>
      <c r="D922" s="9"/>
      <c r="E922" s="9"/>
      <c r="F922" s="9"/>
      <c r="G922" s="9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9"/>
      <c r="B923" s="9"/>
      <c r="C923" s="9" t="str">
        <f>if(len(A923)&gt;0, VLOOKUP(A923,Lookup!$A$2:$F1000,6,FALSE),"")</f>
        <v/>
      </c>
      <c r="D923" s="9"/>
      <c r="E923" s="9"/>
      <c r="F923" s="9"/>
      <c r="G923" s="9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9"/>
      <c r="B924" s="9"/>
      <c r="C924" s="9" t="str">
        <f>if(len(A924)&gt;0, VLOOKUP(A924,Lookup!$A$2:$F1000,6,FALSE),"")</f>
        <v/>
      </c>
      <c r="D924" s="9"/>
      <c r="E924" s="9"/>
      <c r="F924" s="9"/>
      <c r="G924" s="9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9"/>
      <c r="B925" s="9"/>
      <c r="C925" s="9" t="str">
        <f>if(len(A925)&gt;0, VLOOKUP(A925,Lookup!$A$2:$F1000,6,FALSE),"")</f>
        <v/>
      </c>
      <c r="D925" s="9"/>
      <c r="E925" s="9"/>
      <c r="F925" s="9"/>
      <c r="G925" s="9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9"/>
      <c r="B926" s="9"/>
      <c r="C926" s="9" t="str">
        <f>if(len(A926)&gt;0, VLOOKUP(A926,Lookup!$A$2:$F1000,6,FALSE),"")</f>
        <v/>
      </c>
      <c r="D926" s="9"/>
      <c r="E926" s="9"/>
      <c r="F926" s="9"/>
      <c r="G926" s="9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9"/>
      <c r="B927" s="9"/>
      <c r="C927" s="9" t="str">
        <f>if(len(A927)&gt;0, VLOOKUP(A927,Lookup!$A$2:$F1000,6,FALSE),"")</f>
        <v/>
      </c>
      <c r="D927" s="9"/>
      <c r="E927" s="9"/>
      <c r="F927" s="9"/>
      <c r="G927" s="9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9"/>
      <c r="B928" s="9"/>
      <c r="C928" s="9" t="str">
        <f>if(len(A928)&gt;0, VLOOKUP(A928,Lookup!$A$2:$F1000,6,FALSE),"")</f>
        <v/>
      </c>
      <c r="D928" s="9"/>
      <c r="E928" s="9"/>
      <c r="F928" s="9"/>
      <c r="G928" s="9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9"/>
      <c r="B929" s="9"/>
      <c r="C929" s="9" t="str">
        <f>if(len(A929)&gt;0, VLOOKUP(A929,Lookup!$A$2:$F1000,6,FALSE),"")</f>
        <v/>
      </c>
      <c r="D929" s="9"/>
      <c r="E929" s="9"/>
      <c r="F929" s="9"/>
      <c r="G929" s="9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9"/>
      <c r="B930" s="9"/>
      <c r="C930" s="9" t="str">
        <f>if(len(A930)&gt;0, VLOOKUP(A930,Lookup!$A$2:$F1000,6,FALSE),"")</f>
        <v/>
      </c>
      <c r="D930" s="9"/>
      <c r="E930" s="9"/>
      <c r="F930" s="9"/>
      <c r="G930" s="9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9"/>
      <c r="B931" s="9"/>
      <c r="C931" s="9" t="str">
        <f>if(len(A931)&gt;0, VLOOKUP(A931,Lookup!$A$2:$F1000,6,FALSE),"")</f>
        <v/>
      </c>
      <c r="D931" s="9"/>
      <c r="E931" s="9"/>
      <c r="F931" s="9"/>
      <c r="G931" s="9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9"/>
      <c r="B932" s="9"/>
      <c r="C932" s="9" t="str">
        <f>if(len(A932)&gt;0, VLOOKUP(A932,Lookup!$A$2:$F1000,6,FALSE),"")</f>
        <v/>
      </c>
      <c r="D932" s="9"/>
      <c r="E932" s="9"/>
      <c r="F932" s="9"/>
      <c r="G932" s="9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9"/>
      <c r="B933" s="9"/>
      <c r="C933" s="9" t="str">
        <f>if(len(A933)&gt;0, VLOOKUP(A933,Lookup!$A$2:$F1000,6,FALSE),"")</f>
        <v/>
      </c>
      <c r="D933" s="9"/>
      <c r="E933" s="9"/>
      <c r="F933" s="9"/>
      <c r="G933" s="9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9"/>
      <c r="B934" s="9"/>
      <c r="C934" s="9" t="str">
        <f>if(len(A934)&gt;0, VLOOKUP(A934,Lookup!$A$2:$F1000,6,FALSE),"")</f>
        <v/>
      </c>
      <c r="D934" s="9"/>
      <c r="E934" s="9"/>
      <c r="F934" s="9"/>
      <c r="G934" s="9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9"/>
      <c r="B935" s="9"/>
      <c r="C935" s="9" t="str">
        <f>if(len(A935)&gt;0, VLOOKUP(A935,Lookup!$A$2:$F1000,6,FALSE),"")</f>
        <v/>
      </c>
      <c r="D935" s="9"/>
      <c r="E935" s="9"/>
      <c r="F935" s="9"/>
      <c r="G935" s="9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9"/>
      <c r="B936" s="9"/>
      <c r="C936" s="9" t="str">
        <f>if(len(A936)&gt;0, VLOOKUP(A936,Lookup!$A$2:$F1000,6,FALSE),"")</f>
        <v/>
      </c>
      <c r="D936" s="9"/>
      <c r="E936" s="9"/>
      <c r="F936" s="9"/>
      <c r="G936" s="9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9"/>
      <c r="B937" s="9"/>
      <c r="C937" s="9" t="str">
        <f>if(len(A937)&gt;0, VLOOKUP(A937,Lookup!$A$2:$F1000,6,FALSE),"")</f>
        <v/>
      </c>
      <c r="D937" s="9"/>
      <c r="E937" s="9"/>
      <c r="F937" s="9"/>
      <c r="G937" s="9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9"/>
      <c r="B938" s="9"/>
      <c r="C938" s="9" t="str">
        <f>if(len(A938)&gt;0, VLOOKUP(A938,Lookup!$A$2:$F1000,6,FALSE),"")</f>
        <v/>
      </c>
      <c r="D938" s="9"/>
      <c r="E938" s="9"/>
      <c r="F938" s="9"/>
      <c r="G938" s="9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9"/>
      <c r="B939" s="9"/>
      <c r="C939" s="9" t="str">
        <f>if(len(A939)&gt;0, VLOOKUP(A939,Lookup!$A$2:$F1000,6,FALSE),"")</f>
        <v/>
      </c>
      <c r="D939" s="9"/>
      <c r="E939" s="9"/>
      <c r="F939" s="9"/>
      <c r="G939" s="9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9"/>
      <c r="B940" s="9"/>
      <c r="C940" s="9" t="str">
        <f>if(len(A940)&gt;0, VLOOKUP(A940,Lookup!$A$2:$F1000,6,FALSE),"")</f>
        <v/>
      </c>
      <c r="D940" s="9"/>
      <c r="E940" s="9"/>
      <c r="F940" s="9"/>
      <c r="G940" s="9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9"/>
      <c r="B941" s="9"/>
      <c r="C941" s="9" t="str">
        <f>if(len(A941)&gt;0, VLOOKUP(A941,Lookup!$A$2:$F1000,6,FALSE),"")</f>
        <v/>
      </c>
      <c r="D941" s="9"/>
      <c r="E941" s="9"/>
      <c r="F941" s="9"/>
      <c r="G941" s="9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9"/>
      <c r="B942" s="9"/>
      <c r="C942" s="9" t="str">
        <f>if(len(A942)&gt;0, VLOOKUP(A942,Lookup!$A$2:$F1000,6,FALSE),"")</f>
        <v/>
      </c>
      <c r="D942" s="9"/>
      <c r="E942" s="9"/>
      <c r="F942" s="9"/>
      <c r="G942" s="9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9"/>
      <c r="B943" s="9"/>
      <c r="C943" s="9" t="str">
        <f>if(len(A943)&gt;0, VLOOKUP(A943,Lookup!$A$2:$F1000,6,FALSE),"")</f>
        <v/>
      </c>
      <c r="D943" s="9"/>
      <c r="E943" s="9"/>
      <c r="F943" s="9"/>
      <c r="G943" s="9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9"/>
      <c r="B944" s="9"/>
      <c r="C944" s="9" t="str">
        <f>if(len(A944)&gt;0, VLOOKUP(A944,Lookup!$A$2:$F1000,6,FALSE),"")</f>
        <v/>
      </c>
      <c r="D944" s="9"/>
      <c r="E944" s="9"/>
      <c r="F944" s="9"/>
      <c r="G944" s="9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9"/>
      <c r="B945" s="9"/>
      <c r="C945" s="9" t="str">
        <f>if(len(A945)&gt;0, VLOOKUP(A945,Lookup!$A$2:$F1000,6,FALSE),"")</f>
        <v/>
      </c>
      <c r="D945" s="9"/>
      <c r="E945" s="9"/>
      <c r="F945" s="9"/>
      <c r="G945" s="9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9"/>
      <c r="B946" s="9"/>
      <c r="C946" s="9" t="str">
        <f>if(len(A946)&gt;0, VLOOKUP(A946,Lookup!$A$2:$F1000,6,FALSE),"")</f>
        <v/>
      </c>
      <c r="D946" s="9"/>
      <c r="E946" s="9"/>
      <c r="F946" s="9"/>
      <c r="G946" s="9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9"/>
      <c r="B947" s="9"/>
      <c r="C947" s="9" t="str">
        <f>if(len(A947)&gt;0, VLOOKUP(A947,Lookup!$A$2:$F1000,6,FALSE),"")</f>
        <v/>
      </c>
      <c r="D947" s="9"/>
      <c r="E947" s="9"/>
      <c r="F947" s="9"/>
      <c r="G947" s="9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9"/>
      <c r="B948" s="9"/>
      <c r="C948" s="9" t="str">
        <f>if(len(A948)&gt;0, VLOOKUP(A948,Lookup!$A$2:$F1000,6,FALSE),"")</f>
        <v/>
      </c>
      <c r="D948" s="9"/>
      <c r="E948" s="9"/>
      <c r="F948" s="9"/>
      <c r="G948" s="9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9"/>
      <c r="B949" s="9"/>
      <c r="C949" s="9" t="str">
        <f>if(len(A949)&gt;0, VLOOKUP(A949,Lookup!$A$2:$F1000,6,FALSE),"")</f>
        <v/>
      </c>
      <c r="D949" s="9"/>
      <c r="E949" s="9"/>
      <c r="F949" s="9"/>
      <c r="G949" s="9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9"/>
      <c r="B950" s="9"/>
      <c r="C950" s="9" t="str">
        <f>if(len(A950)&gt;0, VLOOKUP(A950,Lookup!$A$2:$F1000,6,FALSE),"")</f>
        <v/>
      </c>
      <c r="D950" s="9"/>
      <c r="E950" s="9"/>
      <c r="F950" s="9"/>
      <c r="G950" s="9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9"/>
      <c r="B951" s="9"/>
      <c r="C951" s="9" t="str">
        <f>if(len(A951)&gt;0, VLOOKUP(A951,Lookup!$A$2:$F1000,6,FALSE),"")</f>
        <v/>
      </c>
      <c r="D951" s="9"/>
      <c r="E951" s="9"/>
      <c r="F951" s="9"/>
      <c r="G951" s="9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9"/>
      <c r="B952" s="9"/>
      <c r="C952" s="9" t="str">
        <f>if(len(A952)&gt;0, VLOOKUP(A952,Lookup!$A$2:$F1000,6,FALSE),"")</f>
        <v/>
      </c>
      <c r="D952" s="9"/>
      <c r="E952" s="9"/>
      <c r="F952" s="9"/>
      <c r="G952" s="9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9"/>
      <c r="B953" s="9"/>
      <c r="C953" s="9" t="str">
        <f>if(len(A953)&gt;0, VLOOKUP(A953,Lookup!$A$2:$F1000,6,FALSE),"")</f>
        <v/>
      </c>
      <c r="D953" s="9"/>
      <c r="E953" s="9"/>
      <c r="F953" s="9"/>
      <c r="G953" s="9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9"/>
      <c r="B954" s="9"/>
      <c r="C954" s="9" t="str">
        <f>if(len(A954)&gt;0, VLOOKUP(A954,Lookup!$A$2:$F1000,6,FALSE),"")</f>
        <v/>
      </c>
      <c r="D954" s="9"/>
      <c r="E954" s="9"/>
      <c r="F954" s="9"/>
      <c r="G954" s="9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9"/>
      <c r="B955" s="9"/>
      <c r="C955" s="9" t="str">
        <f>if(len(A955)&gt;0, VLOOKUP(A955,Lookup!$A$2:$F1000,6,FALSE),"")</f>
        <v/>
      </c>
      <c r="D955" s="9"/>
      <c r="E955" s="9"/>
      <c r="F955" s="9"/>
      <c r="G955" s="9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9"/>
      <c r="B956" s="9"/>
      <c r="C956" s="9" t="str">
        <f>if(len(A956)&gt;0, VLOOKUP(A956,Lookup!$A$2:$F1000,6,FALSE),"")</f>
        <v/>
      </c>
      <c r="D956" s="9"/>
      <c r="E956" s="9"/>
      <c r="F956" s="9"/>
      <c r="G956" s="9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9"/>
      <c r="B957" s="9"/>
      <c r="C957" s="9" t="str">
        <f>if(len(A957)&gt;0, VLOOKUP(A957,Lookup!$A$2:$F1000,6,FALSE),"")</f>
        <v/>
      </c>
      <c r="D957" s="9"/>
      <c r="E957" s="9"/>
      <c r="F957" s="9"/>
      <c r="G957" s="9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9"/>
      <c r="B958" s="9"/>
      <c r="C958" s="9" t="str">
        <f>if(len(A958)&gt;0, VLOOKUP(A958,Lookup!$A$2:$F1000,6,FALSE),"")</f>
        <v/>
      </c>
      <c r="D958" s="9"/>
      <c r="E958" s="9"/>
      <c r="F958" s="9"/>
      <c r="G958" s="9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9"/>
      <c r="B959" s="9"/>
      <c r="C959" s="9" t="str">
        <f>if(len(A959)&gt;0, VLOOKUP(A959,Lookup!$A$2:$F1000,6,FALSE),"")</f>
        <v/>
      </c>
      <c r="D959" s="9"/>
      <c r="E959" s="9"/>
      <c r="F959" s="9"/>
      <c r="G959" s="9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9"/>
      <c r="B960" s="9"/>
      <c r="C960" s="9" t="str">
        <f>if(len(A960)&gt;0, VLOOKUP(A960,Lookup!$A$2:$F1000,6,FALSE),"")</f>
        <v/>
      </c>
      <c r="D960" s="9"/>
      <c r="E960" s="9"/>
      <c r="F960" s="9"/>
      <c r="G960" s="9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9"/>
      <c r="B961" s="9"/>
      <c r="C961" s="9" t="str">
        <f>if(len(A961)&gt;0, VLOOKUP(A961,Lookup!$A$2:$F1000,6,FALSE),"")</f>
        <v/>
      </c>
      <c r="D961" s="9"/>
      <c r="E961" s="9"/>
      <c r="F961" s="9"/>
      <c r="G961" s="9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9"/>
      <c r="B962" s="9"/>
      <c r="C962" s="9" t="str">
        <f>if(len(A962)&gt;0, VLOOKUP(A962,Lookup!$A$2:$F1000,6,FALSE),"")</f>
        <v/>
      </c>
      <c r="D962" s="9"/>
      <c r="E962" s="9"/>
      <c r="F962" s="9"/>
      <c r="G962" s="9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9"/>
      <c r="B963" s="9"/>
      <c r="C963" s="9" t="str">
        <f>if(len(A963)&gt;0, VLOOKUP(A963,Lookup!$A$2:$F1000,6,FALSE),"")</f>
        <v/>
      </c>
      <c r="D963" s="9"/>
      <c r="E963" s="9"/>
      <c r="F963" s="9"/>
      <c r="G963" s="9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9"/>
      <c r="B964" s="9"/>
      <c r="C964" s="9" t="str">
        <f>if(len(A964)&gt;0, VLOOKUP(A964,Lookup!$A$2:$F1000,6,FALSE),"")</f>
        <v/>
      </c>
      <c r="D964" s="9"/>
      <c r="E964" s="9"/>
      <c r="F964" s="9"/>
      <c r="G964" s="9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9"/>
      <c r="B965" s="9"/>
      <c r="C965" s="9" t="str">
        <f>if(len(A965)&gt;0, VLOOKUP(A965,Lookup!$A$2:$F1000,6,FALSE),"")</f>
        <v/>
      </c>
      <c r="D965" s="9"/>
      <c r="E965" s="9"/>
      <c r="F965" s="9"/>
      <c r="G965" s="9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9"/>
      <c r="B966" s="9"/>
      <c r="C966" s="9" t="str">
        <f>if(len(A966)&gt;0, VLOOKUP(A966,Lookup!$A$2:$F1000,6,FALSE),"")</f>
        <v/>
      </c>
      <c r="D966" s="9"/>
      <c r="E966" s="9"/>
      <c r="F966" s="9"/>
      <c r="G966" s="9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9"/>
      <c r="B967" s="9"/>
      <c r="C967" s="9" t="str">
        <f>if(len(A967)&gt;0, VLOOKUP(A967,Lookup!$A$2:$F1000,6,FALSE),"")</f>
        <v/>
      </c>
      <c r="D967" s="9"/>
      <c r="E967" s="9"/>
      <c r="F967" s="9"/>
      <c r="G967" s="9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9"/>
      <c r="B968" s="9"/>
      <c r="C968" s="9" t="str">
        <f>if(len(A968)&gt;0, VLOOKUP(A968,Lookup!$A$2:$F1000,6,FALSE),"")</f>
        <v/>
      </c>
      <c r="D968" s="9"/>
      <c r="E968" s="9"/>
      <c r="F968" s="9"/>
      <c r="G968" s="9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9"/>
      <c r="B969" s="9"/>
      <c r="C969" s="9" t="str">
        <f>if(len(A969)&gt;0, VLOOKUP(A969,Lookup!$A$2:$F1000,6,FALSE),"")</f>
        <v/>
      </c>
      <c r="D969" s="9"/>
      <c r="E969" s="9"/>
      <c r="F969" s="9"/>
      <c r="G969" s="9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9"/>
      <c r="B970" s="9"/>
      <c r="C970" s="9" t="str">
        <f>if(len(A970)&gt;0, VLOOKUP(A970,Lookup!$A$2:$F1000,6,FALSE),"")</f>
        <v/>
      </c>
      <c r="D970" s="9"/>
      <c r="E970" s="9"/>
      <c r="F970" s="9"/>
      <c r="G970" s="9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9"/>
      <c r="B971" s="9"/>
      <c r="C971" s="9" t="str">
        <f>if(len(A971)&gt;0, VLOOKUP(A971,Lookup!$A$2:$F1000,6,FALSE),"")</f>
        <v/>
      </c>
      <c r="D971" s="9"/>
      <c r="E971" s="9"/>
      <c r="F971" s="9"/>
      <c r="G971" s="9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9"/>
      <c r="B972" s="9"/>
      <c r="C972" s="9" t="str">
        <f>if(len(A972)&gt;0, VLOOKUP(A972,Lookup!$A$2:$F1000,6,FALSE),"")</f>
        <v/>
      </c>
      <c r="D972" s="9"/>
      <c r="E972" s="9"/>
      <c r="F972" s="9"/>
      <c r="G972" s="9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9"/>
      <c r="B973" s="9"/>
      <c r="C973" s="9" t="str">
        <f>if(len(A973)&gt;0, VLOOKUP(A973,Lookup!$A$2:$F1000,6,FALSE),"")</f>
        <v/>
      </c>
      <c r="D973" s="9"/>
      <c r="E973" s="9"/>
      <c r="F973" s="9"/>
      <c r="G973" s="9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9"/>
      <c r="B974" s="9"/>
      <c r="C974" s="9" t="str">
        <f>if(len(A974)&gt;0, VLOOKUP(A974,Lookup!$A$2:$F1000,6,FALSE),"")</f>
        <v/>
      </c>
      <c r="D974" s="9"/>
      <c r="E974" s="9"/>
      <c r="F974" s="9"/>
      <c r="G974" s="9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9"/>
      <c r="B975" s="9"/>
      <c r="C975" s="9" t="str">
        <f>if(len(A975)&gt;0, VLOOKUP(A975,Lookup!$A$2:$F1000,6,FALSE),"")</f>
        <v/>
      </c>
      <c r="D975" s="9"/>
      <c r="E975" s="9"/>
      <c r="F975" s="9"/>
      <c r="G975" s="9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9"/>
      <c r="B976" s="9"/>
      <c r="C976" s="9" t="str">
        <f>if(len(A976)&gt;0, VLOOKUP(A976,Lookup!$A$2:$F1000,6,FALSE),"")</f>
        <v/>
      </c>
      <c r="D976" s="9"/>
      <c r="E976" s="9"/>
      <c r="F976" s="9"/>
      <c r="G976" s="9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9"/>
      <c r="B977" s="9"/>
      <c r="C977" s="9" t="str">
        <f>if(len(A977)&gt;0, VLOOKUP(A977,Lookup!$A$2:$F1000,6,FALSE),"")</f>
        <v/>
      </c>
      <c r="D977" s="9"/>
      <c r="E977" s="9"/>
      <c r="F977" s="9"/>
      <c r="G977" s="9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9"/>
      <c r="B978" s="9"/>
      <c r="C978" s="9" t="str">
        <f>if(len(A978)&gt;0, VLOOKUP(A978,Lookup!$A$2:$F1000,6,FALSE),"")</f>
        <v/>
      </c>
      <c r="D978" s="9"/>
      <c r="E978" s="9"/>
      <c r="F978" s="9"/>
      <c r="G978" s="9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9"/>
      <c r="B979" s="9"/>
      <c r="C979" s="9" t="str">
        <f>if(len(A979)&gt;0, VLOOKUP(A979,Lookup!$A$2:$F1000,6,FALSE),"")</f>
        <v/>
      </c>
      <c r="D979" s="9"/>
      <c r="E979" s="9"/>
      <c r="F979" s="9"/>
      <c r="G979" s="9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9"/>
      <c r="B980" s="9"/>
      <c r="C980" s="9" t="str">
        <f>if(len(A980)&gt;0, VLOOKUP(A980,Lookup!$A$2:$F1000,6,FALSE),"")</f>
        <v/>
      </c>
      <c r="D980" s="9"/>
      <c r="E980" s="9"/>
      <c r="F980" s="9"/>
      <c r="G980" s="9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9"/>
      <c r="B981" s="9"/>
      <c r="C981" s="9" t="str">
        <f>if(len(A981)&gt;0, VLOOKUP(A981,Lookup!$A$2:$F1000,6,FALSE),"")</f>
        <v/>
      </c>
      <c r="D981" s="9"/>
      <c r="E981" s="9"/>
      <c r="F981" s="9"/>
      <c r="G981" s="9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9"/>
      <c r="B982" s="9"/>
      <c r="C982" s="9" t="str">
        <f>if(len(A982)&gt;0, VLOOKUP(A982,Lookup!$A$2:$F1000,6,FALSE),"")</f>
        <v/>
      </c>
      <c r="D982" s="9"/>
      <c r="E982" s="9"/>
      <c r="F982" s="9"/>
      <c r="G982" s="9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9"/>
      <c r="B983" s="9"/>
      <c r="C983" s="9" t="str">
        <f>if(len(A983)&gt;0, VLOOKUP(A983,Lookup!$A$2:$F1000,6,FALSE),"")</f>
        <v/>
      </c>
      <c r="D983" s="9"/>
      <c r="E983" s="9"/>
      <c r="F983" s="9"/>
      <c r="G983" s="9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9"/>
      <c r="B984" s="9"/>
      <c r="C984" s="9" t="str">
        <f>if(len(A984)&gt;0, VLOOKUP(A984,Lookup!$A$2:$F1000,6,FALSE),"")</f>
        <v/>
      </c>
      <c r="D984" s="9"/>
      <c r="E984" s="9"/>
      <c r="F984" s="9"/>
      <c r="G984" s="9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9"/>
      <c r="B985" s="9"/>
      <c r="C985" s="9" t="str">
        <f>if(len(A985)&gt;0, VLOOKUP(A985,Lookup!$A$2:$F1000,6,FALSE),"")</f>
        <v/>
      </c>
      <c r="D985" s="9"/>
      <c r="E985" s="9"/>
      <c r="F985" s="9"/>
      <c r="G985" s="9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9"/>
      <c r="B986" s="9"/>
      <c r="C986" s="9" t="str">
        <f>if(len(A986)&gt;0, VLOOKUP(A986,Lookup!$A$2:$F1000,6,FALSE),"")</f>
        <v/>
      </c>
      <c r="D986" s="9"/>
      <c r="E986" s="9"/>
      <c r="F986" s="9"/>
      <c r="G986" s="9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9"/>
      <c r="B987" s="9"/>
      <c r="C987" s="9" t="str">
        <f>if(len(A987)&gt;0, VLOOKUP(A987,Lookup!$A$2:$F1000,6,FALSE),"")</f>
        <v/>
      </c>
      <c r="D987" s="9"/>
      <c r="E987" s="9"/>
      <c r="F987" s="9"/>
      <c r="G987" s="9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9"/>
      <c r="B988" s="9"/>
      <c r="C988" s="9" t="str">
        <f>if(len(A988)&gt;0, VLOOKUP(A988,Lookup!$A$2:$F1000,6,FALSE),"")</f>
        <v/>
      </c>
      <c r="D988" s="9"/>
      <c r="E988" s="9"/>
      <c r="F988" s="9"/>
      <c r="G988" s="9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9"/>
      <c r="B989" s="9"/>
      <c r="C989" s="9" t="str">
        <f>if(len(A989)&gt;0, VLOOKUP(A989,Lookup!$A$2:$F1000,6,FALSE),"")</f>
        <v/>
      </c>
      <c r="D989" s="9"/>
      <c r="E989" s="9"/>
      <c r="F989" s="9"/>
      <c r="G989" s="9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9"/>
      <c r="B990" s="9"/>
      <c r="C990" s="9" t="str">
        <f>if(len(A990)&gt;0, VLOOKUP(A990,Lookup!$A$2:$F1000,6,FALSE),"")</f>
        <v/>
      </c>
      <c r="D990" s="9"/>
      <c r="E990" s="9"/>
      <c r="F990" s="9"/>
      <c r="G990" s="9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9"/>
      <c r="B991" s="9"/>
      <c r="C991" s="9" t="str">
        <f>if(len(A991)&gt;0, VLOOKUP(A991,Lookup!$A$2:$F1000,6,FALSE),"")</f>
        <v/>
      </c>
      <c r="D991" s="9"/>
      <c r="E991" s="9"/>
      <c r="F991" s="9"/>
      <c r="G991" s="9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9"/>
      <c r="B992" s="9"/>
      <c r="C992" s="9" t="str">
        <f>if(len(A992)&gt;0, VLOOKUP(A992,Lookup!$A$2:$F1000,6,FALSE),"")</f>
        <v/>
      </c>
      <c r="D992" s="9"/>
      <c r="E992" s="9"/>
      <c r="F992" s="9"/>
      <c r="G992" s="9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9"/>
      <c r="B993" s="9"/>
      <c r="C993" s="9" t="str">
        <f>if(len(A993)&gt;0, VLOOKUP(A993,Lookup!$A$2:$F1000,6,FALSE),"")</f>
        <v/>
      </c>
      <c r="D993" s="9"/>
      <c r="E993" s="9"/>
      <c r="F993" s="9"/>
      <c r="G993" s="9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9"/>
      <c r="B994" s="9"/>
      <c r="C994" s="9" t="str">
        <f>if(len(A994)&gt;0, VLOOKUP(A994,Lookup!$A$2:$F1000,6,FALSE),"")</f>
        <v/>
      </c>
      <c r="D994" s="9"/>
      <c r="E994" s="9"/>
      <c r="F994" s="9"/>
      <c r="G994" s="9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9"/>
      <c r="B995" s="9"/>
      <c r="C995" s="9" t="str">
        <f>if(len(A995)&gt;0, VLOOKUP(A995,Lookup!$A$2:$F1000,6,FALSE),"")</f>
        <v/>
      </c>
      <c r="D995" s="9"/>
      <c r="E995" s="9"/>
      <c r="F995" s="9"/>
      <c r="G995" s="9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9"/>
      <c r="B996" s="9"/>
      <c r="C996" s="9" t="str">
        <f>if(len(A996)&gt;0, VLOOKUP(A996,Lookup!$A$2:$F1000,6,FALSE),"")</f>
        <v/>
      </c>
      <c r="D996" s="9"/>
      <c r="E996" s="9"/>
      <c r="F996" s="9"/>
      <c r="G996" s="9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9"/>
      <c r="B997" s="9"/>
      <c r="C997" s="9" t="str">
        <f>if(len(A997)&gt;0, VLOOKUP(A997,Lookup!$A$2:$F1000,6,FALSE),"")</f>
        <v/>
      </c>
      <c r="D997" s="9"/>
      <c r="E997" s="9"/>
      <c r="F997" s="9"/>
      <c r="G997" s="9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9"/>
      <c r="B998" s="9"/>
      <c r="C998" s="9" t="str">
        <f>if(len(A998)&gt;0, VLOOKUP(A998,Lookup!$A$2:$F1000,6,FALSE),"")</f>
        <v/>
      </c>
      <c r="D998" s="9"/>
      <c r="E998" s="9"/>
      <c r="F998" s="9"/>
      <c r="G998" s="9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9"/>
      <c r="B999" s="9"/>
      <c r="C999" s="9" t="str">
        <f>if(len(A999)&gt;0, VLOOKUP(A999,Lookup!$A$2:$F1000,6,FALSE),"")</f>
        <v/>
      </c>
      <c r="D999" s="9"/>
      <c r="E999" s="9"/>
      <c r="F999" s="9"/>
      <c r="G999" s="9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9"/>
      <c r="B1000" s="9"/>
      <c r="C1000" s="9" t="str">
        <f>if(len(A1000)&gt;0, VLOOKUP(A1000,Lookup!$A$2:$F1000,6,FALSE),"")</f>
        <v/>
      </c>
      <c r="D1000" s="9"/>
      <c r="E1000" s="9"/>
      <c r="F1000" s="9"/>
      <c r="G1000" s="9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dataValidations>
    <dataValidation type="list" allowBlank="1" sqref="A2:A1000">
      <formula1>Lookup!$A$2:$A1000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/>
  </sheetViews>
  <sheetFormatPr customHeight="1" defaultColWidth="12.63" defaultRowHeight="15.75"/>
  <cols>
    <col customWidth="1" min="1" max="1" width="5.63"/>
    <col customWidth="1" min="2" max="2" width="33.5"/>
    <col customWidth="1" min="3" max="3" width="40.13"/>
    <col customWidth="1" min="4" max="6" width="18.0"/>
    <col customWidth="1" min="7" max="7" width="17.75"/>
    <col customWidth="1" min="8" max="8" width="60.25"/>
  </cols>
  <sheetData>
    <row r="1">
      <c r="A1" s="7" t="s">
        <v>33</v>
      </c>
      <c r="B1" s="7" t="s">
        <v>34</v>
      </c>
      <c r="C1" s="7" t="s">
        <v>35</v>
      </c>
      <c r="D1" s="7" t="s">
        <v>36</v>
      </c>
      <c r="E1" s="7" t="s">
        <v>37</v>
      </c>
      <c r="F1" s="7" t="s">
        <v>38</v>
      </c>
      <c r="G1" s="7" t="s">
        <v>6</v>
      </c>
      <c r="H1" s="7" t="s">
        <v>39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>
      <c r="A2" s="8">
        <v>1.0</v>
      </c>
      <c r="B2" s="8"/>
      <c r="C2" s="8"/>
      <c r="D2" s="9"/>
      <c r="E2" s="9"/>
      <c r="F2" s="9"/>
      <c r="G2" s="8"/>
      <c r="H2" s="8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8">
        <v>2.0</v>
      </c>
      <c r="B3" s="8"/>
      <c r="C3" s="8"/>
      <c r="D3" s="9"/>
      <c r="E3" s="9"/>
      <c r="F3" s="9"/>
      <c r="G3" s="8"/>
      <c r="H3" s="8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8">
        <v>3.0</v>
      </c>
      <c r="B4" s="8"/>
      <c r="C4" s="8"/>
      <c r="D4" s="9"/>
      <c r="E4" s="9"/>
      <c r="G4" s="8"/>
      <c r="H4" s="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8">
        <v>4.0</v>
      </c>
      <c r="B5" s="8"/>
      <c r="C5" s="8"/>
      <c r="D5" s="9"/>
      <c r="E5" s="9"/>
      <c r="F5" s="9"/>
      <c r="G5" s="8"/>
      <c r="H5" s="8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8">
        <v>5.0</v>
      </c>
      <c r="B6" s="8"/>
      <c r="C6" s="8"/>
      <c r="D6" s="11"/>
      <c r="E6" s="11"/>
      <c r="F6" s="9"/>
      <c r="G6" s="8"/>
      <c r="H6" s="8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8">
        <v>6.0</v>
      </c>
      <c r="B7" s="8"/>
      <c r="C7" s="8"/>
      <c r="D7" s="11"/>
      <c r="E7" s="11"/>
      <c r="F7" s="9"/>
      <c r="G7" s="8"/>
      <c r="H7" s="8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8">
        <v>7.0</v>
      </c>
      <c r="B8" s="8"/>
      <c r="C8" s="8"/>
      <c r="D8" s="11"/>
      <c r="E8" s="11"/>
      <c r="F8" s="9"/>
      <c r="G8" s="8"/>
      <c r="H8" s="8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8">
        <v>8.0</v>
      </c>
      <c r="B9" s="8"/>
      <c r="C9" s="8"/>
      <c r="D9" s="12"/>
      <c r="E9" s="9"/>
      <c r="F9" s="9"/>
      <c r="G9" s="8"/>
      <c r="H9" s="9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8">
        <v>9.0</v>
      </c>
      <c r="B10" s="8"/>
      <c r="C10" s="8"/>
      <c r="D10" s="12"/>
      <c r="E10" s="9"/>
      <c r="F10" s="9"/>
      <c r="G10" s="8"/>
      <c r="H10" s="8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9"/>
      <c r="B11" s="9"/>
      <c r="C11" s="9"/>
      <c r="D11" s="9"/>
      <c r="E11" s="9"/>
      <c r="F11" s="9"/>
      <c r="G11" s="9"/>
      <c r="H11" s="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9"/>
      <c r="B12" s="9"/>
      <c r="C12" s="9"/>
      <c r="D12" s="9"/>
      <c r="E12" s="9"/>
      <c r="F12" s="9"/>
      <c r="G12" s="9"/>
      <c r="H12" s="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9"/>
      <c r="B13" s="9"/>
      <c r="C13" s="9"/>
      <c r="D13" s="9"/>
      <c r="E13" s="9"/>
      <c r="F13" s="9"/>
      <c r="G13" s="9"/>
      <c r="H13" s="9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9"/>
      <c r="B14" s="9"/>
      <c r="C14" s="9"/>
      <c r="D14" s="9"/>
      <c r="E14" s="9"/>
      <c r="F14" s="9"/>
      <c r="G14" s="9"/>
      <c r="H14" s="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9"/>
      <c r="B15" s="9"/>
      <c r="C15" s="9"/>
      <c r="D15" s="9"/>
      <c r="E15" s="9"/>
      <c r="F15" s="9"/>
      <c r="G15" s="9"/>
      <c r="H15" s="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9"/>
      <c r="B16" s="9"/>
      <c r="C16" s="9"/>
      <c r="D16" s="9"/>
      <c r="E16" s="9"/>
      <c r="F16" s="9"/>
      <c r="G16" s="9"/>
      <c r="H16" s="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9"/>
      <c r="B17" s="9"/>
      <c r="C17" s="9"/>
      <c r="D17" s="9"/>
      <c r="E17" s="9"/>
      <c r="F17" s="9"/>
      <c r="G17" s="9"/>
      <c r="H17" s="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9"/>
      <c r="B18" s="9"/>
      <c r="C18" s="9"/>
      <c r="D18" s="9"/>
      <c r="E18" s="9"/>
      <c r="F18" s="9"/>
      <c r="G18" s="9"/>
      <c r="H18" s="9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9"/>
      <c r="B19" s="9"/>
      <c r="C19" s="9"/>
      <c r="D19" s="9"/>
      <c r="E19" s="9"/>
      <c r="F19" s="9"/>
      <c r="G19" s="9"/>
      <c r="H19" s="9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9"/>
      <c r="B20" s="9"/>
      <c r="C20" s="9"/>
      <c r="D20" s="9"/>
      <c r="E20" s="9"/>
      <c r="F20" s="9"/>
      <c r="G20" s="9"/>
      <c r="H20" s="9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9"/>
      <c r="B21" s="9"/>
      <c r="C21" s="9"/>
      <c r="D21" s="9"/>
      <c r="E21" s="9"/>
      <c r="F21" s="9"/>
      <c r="G21" s="9"/>
      <c r="H21" s="9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9"/>
      <c r="B22" s="9"/>
      <c r="C22" s="9"/>
      <c r="D22" s="9"/>
      <c r="E22" s="9"/>
      <c r="F22" s="9"/>
      <c r="G22" s="9"/>
      <c r="H22" s="9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9"/>
      <c r="B23" s="9"/>
      <c r="C23" s="9"/>
      <c r="D23" s="9"/>
      <c r="E23" s="9"/>
      <c r="F23" s="9"/>
      <c r="G23" s="9"/>
      <c r="H23" s="9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9"/>
      <c r="B24" s="9"/>
      <c r="C24" s="9"/>
      <c r="D24" s="9"/>
      <c r="E24" s="9"/>
      <c r="F24" s="9"/>
      <c r="G24" s="9"/>
      <c r="H24" s="9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9"/>
      <c r="B25" s="9"/>
      <c r="C25" s="9"/>
      <c r="D25" s="9"/>
      <c r="E25" s="9"/>
      <c r="F25" s="9"/>
      <c r="G25" s="9"/>
      <c r="H25" s="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9"/>
      <c r="B26" s="9"/>
      <c r="C26" s="9"/>
      <c r="D26" s="9"/>
      <c r="E26" s="9"/>
      <c r="F26" s="9"/>
      <c r="G26" s="9"/>
      <c r="H26" s="9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9"/>
      <c r="B27" s="9"/>
      <c r="C27" s="9"/>
      <c r="D27" s="9"/>
      <c r="E27" s="9"/>
      <c r="F27" s="9"/>
      <c r="G27" s="9"/>
      <c r="H27" s="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9"/>
      <c r="B28" s="9"/>
      <c r="C28" s="9"/>
      <c r="D28" s="9"/>
      <c r="E28" s="9"/>
      <c r="F28" s="9"/>
      <c r="G28" s="9"/>
      <c r="H28" s="9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9"/>
      <c r="B29" s="9"/>
      <c r="C29" s="9"/>
      <c r="D29" s="9"/>
      <c r="E29" s="9"/>
      <c r="F29" s="9"/>
      <c r="G29" s="9"/>
      <c r="H29" s="9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9"/>
      <c r="B30" s="9"/>
      <c r="C30" s="9"/>
      <c r="D30" s="9"/>
      <c r="E30" s="9"/>
      <c r="F30" s="9"/>
      <c r="G30" s="9"/>
      <c r="H30" s="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9"/>
      <c r="B31" s="9"/>
      <c r="C31" s="9"/>
      <c r="D31" s="9"/>
      <c r="E31" s="9"/>
      <c r="F31" s="9"/>
      <c r="G31" s="9"/>
      <c r="H31" s="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9"/>
      <c r="B32" s="9"/>
      <c r="C32" s="9"/>
      <c r="D32" s="9"/>
      <c r="E32" s="9"/>
      <c r="F32" s="9"/>
      <c r="G32" s="9"/>
      <c r="H32" s="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9"/>
      <c r="B33" s="9"/>
      <c r="C33" s="9"/>
      <c r="D33" s="9"/>
      <c r="E33" s="9"/>
      <c r="F33" s="9"/>
      <c r="G33" s="9"/>
      <c r="H33" s="9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9"/>
      <c r="B34" s="9"/>
      <c r="C34" s="9"/>
      <c r="D34" s="9"/>
      <c r="E34" s="9"/>
      <c r="F34" s="9"/>
      <c r="G34" s="9"/>
      <c r="H34" s="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9"/>
      <c r="B35" s="9"/>
      <c r="C35" s="9"/>
      <c r="D35" s="9"/>
      <c r="E35" s="9"/>
      <c r="F35" s="9"/>
      <c r="G35" s="9"/>
      <c r="H35" s="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9"/>
      <c r="B36" s="9"/>
      <c r="C36" s="9"/>
      <c r="D36" s="9"/>
      <c r="E36" s="9"/>
      <c r="F36" s="9"/>
      <c r="G36" s="9"/>
      <c r="H36" s="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9"/>
      <c r="B37" s="9"/>
      <c r="C37" s="9"/>
      <c r="D37" s="9"/>
      <c r="E37" s="9"/>
      <c r="F37" s="9"/>
      <c r="G37" s="9"/>
      <c r="H37" s="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9"/>
      <c r="B38" s="9"/>
      <c r="C38" s="9"/>
      <c r="D38" s="9"/>
      <c r="E38" s="9"/>
      <c r="F38" s="9"/>
      <c r="G38" s="9"/>
      <c r="H38" s="9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9"/>
      <c r="B39" s="9"/>
      <c r="C39" s="9"/>
      <c r="D39" s="9"/>
      <c r="E39" s="9"/>
      <c r="F39" s="9"/>
      <c r="G39" s="9"/>
      <c r="H39" s="9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9"/>
      <c r="B40" s="9"/>
      <c r="C40" s="9"/>
      <c r="D40" s="9"/>
      <c r="E40" s="9"/>
      <c r="F40" s="9"/>
      <c r="G40" s="9"/>
      <c r="H40" s="9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9"/>
      <c r="B41" s="9"/>
      <c r="C41" s="9"/>
      <c r="D41" s="9"/>
      <c r="E41" s="9"/>
      <c r="F41" s="9"/>
      <c r="G41" s="9"/>
      <c r="H41" s="9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9"/>
      <c r="B42" s="9"/>
      <c r="C42" s="9"/>
      <c r="D42" s="9"/>
      <c r="E42" s="9"/>
      <c r="F42" s="9"/>
      <c r="G42" s="9"/>
      <c r="H42" s="9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9"/>
      <c r="B43" s="9"/>
      <c r="C43" s="9"/>
      <c r="D43" s="9"/>
      <c r="E43" s="9"/>
      <c r="F43" s="9"/>
      <c r="G43" s="9"/>
      <c r="H43" s="9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9"/>
      <c r="B44" s="9"/>
      <c r="C44" s="9"/>
      <c r="D44" s="9"/>
      <c r="E44" s="9"/>
      <c r="F44" s="9"/>
      <c r="G44" s="9"/>
      <c r="H44" s="9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9"/>
      <c r="B45" s="9"/>
      <c r="C45" s="9"/>
      <c r="D45" s="9"/>
      <c r="E45" s="9"/>
      <c r="F45" s="9"/>
      <c r="G45" s="9"/>
      <c r="H45" s="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9"/>
      <c r="B46" s="9"/>
      <c r="C46" s="9"/>
      <c r="D46" s="9"/>
      <c r="E46" s="9"/>
      <c r="F46" s="9"/>
      <c r="G46" s="9"/>
      <c r="H46" s="9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9"/>
      <c r="B47" s="9"/>
      <c r="C47" s="9"/>
      <c r="D47" s="9"/>
      <c r="E47" s="9"/>
      <c r="F47" s="9"/>
      <c r="G47" s="9"/>
      <c r="H47" s="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9"/>
      <c r="B48" s="9"/>
      <c r="C48" s="9"/>
      <c r="D48" s="9"/>
      <c r="E48" s="9"/>
      <c r="F48" s="9"/>
      <c r="G48" s="9"/>
      <c r="H48" s="9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9"/>
      <c r="B49" s="9"/>
      <c r="C49" s="9"/>
      <c r="D49" s="9"/>
      <c r="E49" s="9"/>
      <c r="F49" s="9"/>
      <c r="G49" s="9"/>
      <c r="H49" s="9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9"/>
      <c r="B50" s="9"/>
      <c r="C50" s="9"/>
      <c r="D50" s="9"/>
      <c r="E50" s="9"/>
      <c r="F50" s="9"/>
      <c r="G50" s="9"/>
      <c r="H50" s="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9"/>
      <c r="B51" s="9"/>
      <c r="C51" s="9"/>
      <c r="D51" s="9"/>
      <c r="E51" s="9"/>
      <c r="F51" s="9"/>
      <c r="G51" s="9"/>
      <c r="H51" s="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9"/>
      <c r="B52" s="9"/>
      <c r="C52" s="9"/>
      <c r="D52" s="9"/>
      <c r="E52" s="9"/>
      <c r="F52" s="9"/>
      <c r="G52" s="9"/>
      <c r="H52" s="9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9"/>
      <c r="B53" s="9"/>
      <c r="C53" s="9"/>
      <c r="D53" s="9"/>
      <c r="E53" s="9"/>
      <c r="F53" s="9"/>
      <c r="G53" s="9"/>
      <c r="H53" s="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9"/>
      <c r="B54" s="9"/>
      <c r="C54" s="9"/>
      <c r="D54" s="9"/>
      <c r="E54" s="9"/>
      <c r="F54" s="9"/>
      <c r="G54" s="9"/>
      <c r="H54" s="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9"/>
      <c r="B55" s="9"/>
      <c r="C55" s="9"/>
      <c r="D55" s="9"/>
      <c r="E55" s="9"/>
      <c r="F55" s="9"/>
      <c r="G55" s="9"/>
      <c r="H55" s="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9"/>
      <c r="B56" s="9"/>
      <c r="C56" s="9"/>
      <c r="D56" s="9"/>
      <c r="E56" s="9"/>
      <c r="F56" s="9"/>
      <c r="G56" s="9"/>
      <c r="H56" s="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9"/>
      <c r="B57" s="9"/>
      <c r="C57" s="9"/>
      <c r="D57" s="9"/>
      <c r="E57" s="9"/>
      <c r="F57" s="9"/>
      <c r="G57" s="9"/>
      <c r="H57" s="9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9"/>
      <c r="B58" s="9"/>
      <c r="C58" s="9"/>
      <c r="D58" s="9"/>
      <c r="E58" s="9"/>
      <c r="F58" s="9"/>
      <c r="G58" s="9"/>
      <c r="H58" s="9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9"/>
      <c r="B59" s="9"/>
      <c r="C59" s="9"/>
      <c r="D59" s="9"/>
      <c r="E59" s="9"/>
      <c r="F59" s="9"/>
      <c r="G59" s="9"/>
      <c r="H59" s="9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9"/>
      <c r="B60" s="9"/>
      <c r="C60" s="9"/>
      <c r="D60" s="9"/>
      <c r="E60" s="9"/>
      <c r="F60" s="9"/>
      <c r="G60" s="9"/>
      <c r="H60" s="9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9"/>
      <c r="B61" s="9"/>
      <c r="C61" s="9"/>
      <c r="D61" s="9"/>
      <c r="E61" s="9"/>
      <c r="F61" s="9"/>
      <c r="G61" s="9"/>
      <c r="H61" s="9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9"/>
      <c r="B62" s="9"/>
      <c r="C62" s="9"/>
      <c r="D62" s="9"/>
      <c r="E62" s="9"/>
      <c r="F62" s="9"/>
      <c r="G62" s="9"/>
      <c r="H62" s="9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9"/>
      <c r="B63" s="9"/>
      <c r="C63" s="9"/>
      <c r="D63" s="9"/>
      <c r="E63" s="9"/>
      <c r="F63" s="9"/>
      <c r="G63" s="9"/>
      <c r="H63" s="9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9"/>
      <c r="B64" s="9"/>
      <c r="C64" s="9"/>
      <c r="D64" s="9"/>
      <c r="E64" s="9"/>
      <c r="F64" s="9"/>
      <c r="G64" s="9"/>
      <c r="H64" s="9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9"/>
      <c r="B65" s="9"/>
      <c r="C65" s="9"/>
      <c r="D65" s="9"/>
      <c r="E65" s="9"/>
      <c r="F65" s="9"/>
      <c r="G65" s="9"/>
      <c r="H65" s="9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9"/>
      <c r="B66" s="9"/>
      <c r="C66" s="9"/>
      <c r="D66" s="9"/>
      <c r="E66" s="9"/>
      <c r="F66" s="9"/>
      <c r="G66" s="9"/>
      <c r="H66" s="9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9"/>
      <c r="B67" s="9"/>
      <c r="C67" s="9"/>
      <c r="D67" s="9"/>
      <c r="E67" s="9"/>
      <c r="F67" s="9"/>
      <c r="G67" s="9"/>
      <c r="H67" s="9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9"/>
      <c r="B68" s="9"/>
      <c r="C68" s="9"/>
      <c r="D68" s="9"/>
      <c r="E68" s="9"/>
      <c r="F68" s="9"/>
      <c r="G68" s="9"/>
      <c r="H68" s="9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9"/>
      <c r="B69" s="9"/>
      <c r="C69" s="9"/>
      <c r="D69" s="9"/>
      <c r="E69" s="9"/>
      <c r="F69" s="9"/>
      <c r="G69" s="9"/>
      <c r="H69" s="9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9"/>
      <c r="B70" s="9"/>
      <c r="C70" s="9"/>
      <c r="D70" s="9"/>
      <c r="E70" s="9"/>
      <c r="F70" s="9"/>
      <c r="G70" s="9"/>
      <c r="H70" s="9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9"/>
      <c r="B71" s="9"/>
      <c r="C71" s="9"/>
      <c r="D71" s="9"/>
      <c r="E71" s="9"/>
      <c r="F71" s="9"/>
      <c r="G71" s="9"/>
      <c r="H71" s="9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9"/>
      <c r="B72" s="9"/>
      <c r="C72" s="9"/>
      <c r="D72" s="9"/>
      <c r="E72" s="9"/>
      <c r="F72" s="9"/>
      <c r="G72" s="9"/>
      <c r="H72" s="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9"/>
      <c r="B73" s="9"/>
      <c r="C73" s="9"/>
      <c r="D73" s="9"/>
      <c r="E73" s="9"/>
      <c r="F73" s="9"/>
      <c r="G73" s="9"/>
      <c r="H73" s="9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9"/>
      <c r="B74" s="9"/>
      <c r="C74" s="9"/>
      <c r="D74" s="9"/>
      <c r="E74" s="9"/>
      <c r="F74" s="9"/>
      <c r="G74" s="9"/>
      <c r="H74" s="9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9"/>
      <c r="B75" s="9"/>
      <c r="C75" s="9"/>
      <c r="D75" s="9"/>
      <c r="E75" s="9"/>
      <c r="F75" s="9"/>
      <c r="G75" s="9"/>
      <c r="H75" s="9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9"/>
      <c r="B76" s="9"/>
      <c r="C76" s="9"/>
      <c r="D76" s="9"/>
      <c r="E76" s="9"/>
      <c r="F76" s="9"/>
      <c r="G76" s="9"/>
      <c r="H76" s="9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9"/>
      <c r="B77" s="9"/>
      <c r="C77" s="9"/>
      <c r="D77" s="9"/>
      <c r="E77" s="9"/>
      <c r="F77" s="9"/>
      <c r="G77" s="9"/>
      <c r="H77" s="9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9"/>
      <c r="B78" s="9"/>
      <c r="C78" s="9"/>
      <c r="D78" s="9"/>
      <c r="E78" s="9"/>
      <c r="F78" s="9"/>
      <c r="G78" s="9"/>
      <c r="H78" s="9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9"/>
      <c r="B79" s="9"/>
      <c r="C79" s="9"/>
      <c r="D79" s="9"/>
      <c r="E79" s="9"/>
      <c r="F79" s="9"/>
      <c r="G79" s="9"/>
      <c r="H79" s="9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9"/>
      <c r="B80" s="9"/>
      <c r="C80" s="9"/>
      <c r="D80" s="9"/>
      <c r="E80" s="9"/>
      <c r="F80" s="9"/>
      <c r="G80" s="9"/>
      <c r="H80" s="9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9"/>
      <c r="B81" s="9"/>
      <c r="C81" s="9"/>
      <c r="D81" s="9"/>
      <c r="E81" s="9"/>
      <c r="F81" s="9"/>
      <c r="G81" s="9"/>
      <c r="H81" s="9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9"/>
      <c r="B82" s="9"/>
      <c r="C82" s="9"/>
      <c r="D82" s="9"/>
      <c r="E82" s="9"/>
      <c r="F82" s="9"/>
      <c r="G82" s="9"/>
      <c r="H82" s="9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9"/>
      <c r="B83" s="9"/>
      <c r="C83" s="9"/>
      <c r="D83" s="9"/>
      <c r="E83" s="9"/>
      <c r="F83" s="9"/>
      <c r="G83" s="9"/>
      <c r="H83" s="9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9"/>
      <c r="B84" s="9"/>
      <c r="C84" s="9"/>
      <c r="D84" s="9"/>
      <c r="E84" s="9"/>
      <c r="F84" s="9"/>
      <c r="G84" s="9"/>
      <c r="H84" s="9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9"/>
      <c r="B85" s="9"/>
      <c r="C85" s="9"/>
      <c r="D85" s="9"/>
      <c r="E85" s="9"/>
      <c r="F85" s="9"/>
      <c r="G85" s="9"/>
      <c r="H85" s="9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9"/>
      <c r="B86" s="9"/>
      <c r="C86" s="9"/>
      <c r="D86" s="9"/>
      <c r="E86" s="9"/>
      <c r="F86" s="9"/>
      <c r="G86" s="9"/>
      <c r="H86" s="9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9"/>
      <c r="B87" s="9"/>
      <c r="C87" s="9"/>
      <c r="D87" s="9"/>
      <c r="E87" s="9"/>
      <c r="F87" s="9"/>
      <c r="G87" s="9"/>
      <c r="H87" s="9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9"/>
      <c r="B88" s="9"/>
      <c r="C88" s="9"/>
      <c r="D88" s="9"/>
      <c r="E88" s="9"/>
      <c r="F88" s="9"/>
      <c r="G88" s="9"/>
      <c r="H88" s="9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9"/>
      <c r="B89" s="9"/>
      <c r="C89" s="9"/>
      <c r="D89" s="9"/>
      <c r="E89" s="9"/>
      <c r="F89" s="9"/>
      <c r="G89" s="9"/>
      <c r="H89" s="9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9"/>
      <c r="B90" s="9"/>
      <c r="C90" s="9"/>
      <c r="D90" s="9"/>
      <c r="E90" s="9"/>
      <c r="F90" s="9"/>
      <c r="G90" s="9"/>
      <c r="H90" s="9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9"/>
      <c r="B91" s="9"/>
      <c r="C91" s="9"/>
      <c r="D91" s="9"/>
      <c r="E91" s="9"/>
      <c r="F91" s="9"/>
      <c r="G91" s="9"/>
      <c r="H91" s="9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9"/>
      <c r="B92" s="9"/>
      <c r="C92" s="9"/>
      <c r="D92" s="9"/>
      <c r="E92" s="9"/>
      <c r="F92" s="9"/>
      <c r="G92" s="9"/>
      <c r="H92" s="9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9"/>
      <c r="B93" s="9"/>
      <c r="C93" s="9"/>
      <c r="D93" s="9"/>
      <c r="E93" s="9"/>
      <c r="F93" s="9"/>
      <c r="G93" s="9"/>
      <c r="H93" s="9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9"/>
      <c r="B94" s="9"/>
      <c r="C94" s="9"/>
      <c r="D94" s="9"/>
      <c r="E94" s="9"/>
      <c r="F94" s="9"/>
      <c r="G94" s="9"/>
      <c r="H94" s="9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9"/>
      <c r="B95" s="9"/>
      <c r="C95" s="9"/>
      <c r="D95" s="9"/>
      <c r="E95" s="9"/>
      <c r="F95" s="9"/>
      <c r="G95" s="9"/>
      <c r="H95" s="9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9"/>
      <c r="B96" s="9"/>
      <c r="C96" s="9"/>
      <c r="D96" s="9"/>
      <c r="E96" s="9"/>
      <c r="F96" s="9"/>
      <c r="G96" s="9"/>
      <c r="H96" s="9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9"/>
      <c r="B97" s="9"/>
      <c r="C97" s="9"/>
      <c r="D97" s="9"/>
      <c r="E97" s="9"/>
      <c r="F97" s="9"/>
      <c r="G97" s="9"/>
      <c r="H97" s="9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9"/>
      <c r="B98" s="9"/>
      <c r="C98" s="9"/>
      <c r="D98" s="9"/>
      <c r="E98" s="9"/>
      <c r="F98" s="9"/>
      <c r="G98" s="9"/>
      <c r="H98" s="9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9"/>
      <c r="B99" s="9"/>
      <c r="C99" s="9"/>
      <c r="D99" s="9"/>
      <c r="E99" s="9"/>
      <c r="F99" s="9"/>
      <c r="G99" s="9"/>
      <c r="H99" s="9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9"/>
      <c r="B100" s="9"/>
      <c r="C100" s="9"/>
      <c r="D100" s="9"/>
      <c r="E100" s="9"/>
      <c r="F100" s="9"/>
      <c r="G100" s="9"/>
      <c r="H100" s="9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9"/>
      <c r="B101" s="9"/>
      <c r="C101" s="9"/>
      <c r="D101" s="9"/>
      <c r="E101" s="9"/>
      <c r="F101" s="9"/>
      <c r="G101" s="9"/>
      <c r="H101" s="9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9"/>
      <c r="B102" s="9"/>
      <c r="C102" s="9"/>
      <c r="D102" s="9"/>
      <c r="E102" s="9"/>
      <c r="F102" s="9"/>
      <c r="G102" s="9"/>
      <c r="H102" s="9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9"/>
      <c r="B103" s="9"/>
      <c r="C103" s="9"/>
      <c r="D103" s="9"/>
      <c r="E103" s="9"/>
      <c r="F103" s="9"/>
      <c r="G103" s="9"/>
      <c r="H103" s="9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9"/>
      <c r="B104" s="9"/>
      <c r="C104" s="9"/>
      <c r="D104" s="9"/>
      <c r="E104" s="9"/>
      <c r="F104" s="9"/>
      <c r="G104" s="9"/>
      <c r="H104" s="9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9"/>
      <c r="B105" s="9"/>
      <c r="C105" s="9"/>
      <c r="D105" s="9"/>
      <c r="E105" s="9"/>
      <c r="F105" s="9"/>
      <c r="G105" s="9"/>
      <c r="H105" s="9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9"/>
      <c r="B106" s="9"/>
      <c r="C106" s="9"/>
      <c r="D106" s="9"/>
      <c r="E106" s="9"/>
      <c r="F106" s="9"/>
      <c r="G106" s="9"/>
      <c r="H106" s="9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9"/>
      <c r="B107" s="9"/>
      <c r="C107" s="9"/>
      <c r="D107" s="9"/>
      <c r="E107" s="9"/>
      <c r="F107" s="9"/>
      <c r="G107" s="9"/>
      <c r="H107" s="9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9"/>
      <c r="B108" s="9"/>
      <c r="C108" s="9"/>
      <c r="D108" s="9"/>
      <c r="E108" s="9"/>
      <c r="F108" s="9"/>
      <c r="G108" s="9"/>
      <c r="H108" s="9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9"/>
      <c r="B109" s="9"/>
      <c r="C109" s="9"/>
      <c r="D109" s="9"/>
      <c r="E109" s="9"/>
      <c r="F109" s="9"/>
      <c r="G109" s="9"/>
      <c r="H109" s="9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9"/>
      <c r="B110" s="9"/>
      <c r="C110" s="9"/>
      <c r="D110" s="9"/>
      <c r="E110" s="9"/>
      <c r="F110" s="9"/>
      <c r="G110" s="9"/>
      <c r="H110" s="9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9"/>
      <c r="B111" s="9"/>
      <c r="C111" s="9"/>
      <c r="D111" s="9"/>
      <c r="E111" s="9"/>
      <c r="F111" s="9"/>
      <c r="G111" s="9"/>
      <c r="H111" s="9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9"/>
      <c r="B112" s="9"/>
      <c r="C112" s="9"/>
      <c r="D112" s="9"/>
      <c r="E112" s="9"/>
      <c r="F112" s="9"/>
      <c r="G112" s="9"/>
      <c r="H112" s="9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9"/>
      <c r="B113" s="9"/>
      <c r="C113" s="9"/>
      <c r="D113" s="9"/>
      <c r="E113" s="9"/>
      <c r="F113" s="9"/>
      <c r="G113" s="9"/>
      <c r="H113" s="9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9"/>
      <c r="B114" s="9"/>
      <c r="C114" s="9"/>
      <c r="D114" s="9"/>
      <c r="E114" s="9"/>
      <c r="F114" s="9"/>
      <c r="G114" s="9"/>
      <c r="H114" s="9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9"/>
      <c r="B115" s="9"/>
      <c r="C115" s="9"/>
      <c r="D115" s="9"/>
      <c r="E115" s="9"/>
      <c r="F115" s="9"/>
      <c r="G115" s="9"/>
      <c r="H115" s="9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9"/>
      <c r="B116" s="9"/>
      <c r="C116" s="9"/>
      <c r="D116" s="9"/>
      <c r="E116" s="9"/>
      <c r="F116" s="9"/>
      <c r="G116" s="9"/>
      <c r="H116" s="9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9"/>
      <c r="B117" s="9"/>
      <c r="C117" s="9"/>
      <c r="D117" s="9"/>
      <c r="E117" s="9"/>
      <c r="F117" s="9"/>
      <c r="G117" s="9"/>
      <c r="H117" s="9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9"/>
      <c r="B118" s="9"/>
      <c r="C118" s="9"/>
      <c r="D118" s="9"/>
      <c r="E118" s="9"/>
      <c r="F118" s="9"/>
      <c r="G118" s="9"/>
      <c r="H118" s="9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9"/>
      <c r="B119" s="9"/>
      <c r="C119" s="9"/>
      <c r="D119" s="9"/>
      <c r="E119" s="9"/>
      <c r="F119" s="9"/>
      <c r="G119" s="9"/>
      <c r="H119" s="9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9"/>
      <c r="B120" s="9"/>
      <c r="C120" s="9"/>
      <c r="D120" s="9"/>
      <c r="E120" s="9"/>
      <c r="F120" s="9"/>
      <c r="G120" s="9"/>
      <c r="H120" s="9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9"/>
      <c r="B121" s="9"/>
      <c r="C121" s="9"/>
      <c r="D121" s="9"/>
      <c r="E121" s="9"/>
      <c r="F121" s="9"/>
      <c r="G121" s="9"/>
      <c r="H121" s="9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9"/>
      <c r="B122" s="9"/>
      <c r="C122" s="9"/>
      <c r="D122" s="9"/>
      <c r="E122" s="9"/>
      <c r="F122" s="9"/>
      <c r="G122" s="9"/>
      <c r="H122" s="9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9"/>
      <c r="B123" s="9"/>
      <c r="C123" s="9"/>
      <c r="D123" s="9"/>
      <c r="E123" s="9"/>
      <c r="F123" s="9"/>
      <c r="G123" s="9"/>
      <c r="H123" s="9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9"/>
      <c r="B124" s="9"/>
      <c r="C124" s="9"/>
      <c r="D124" s="9"/>
      <c r="E124" s="9"/>
      <c r="F124" s="9"/>
      <c r="G124" s="9"/>
      <c r="H124" s="9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9"/>
      <c r="B125" s="9"/>
      <c r="C125" s="9"/>
      <c r="D125" s="9"/>
      <c r="E125" s="9"/>
      <c r="F125" s="9"/>
      <c r="G125" s="9"/>
      <c r="H125" s="9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9"/>
      <c r="B126" s="9"/>
      <c r="C126" s="9"/>
      <c r="D126" s="9"/>
      <c r="E126" s="9"/>
      <c r="F126" s="9"/>
      <c r="G126" s="9"/>
      <c r="H126" s="9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9"/>
      <c r="B127" s="9"/>
      <c r="C127" s="9"/>
      <c r="D127" s="9"/>
      <c r="E127" s="9"/>
      <c r="F127" s="9"/>
      <c r="G127" s="9"/>
      <c r="H127" s="9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9"/>
      <c r="B128" s="9"/>
      <c r="C128" s="9"/>
      <c r="D128" s="9"/>
      <c r="E128" s="9"/>
      <c r="F128" s="9"/>
      <c r="G128" s="9"/>
      <c r="H128" s="9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9"/>
      <c r="B129" s="9"/>
      <c r="C129" s="9"/>
      <c r="D129" s="9"/>
      <c r="E129" s="9"/>
      <c r="F129" s="9"/>
      <c r="G129" s="9"/>
      <c r="H129" s="9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9"/>
      <c r="B130" s="9"/>
      <c r="C130" s="9"/>
      <c r="D130" s="9"/>
      <c r="E130" s="9"/>
      <c r="F130" s="9"/>
      <c r="G130" s="9"/>
      <c r="H130" s="9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9"/>
      <c r="B131" s="9"/>
      <c r="C131" s="9"/>
      <c r="D131" s="9"/>
      <c r="E131" s="9"/>
      <c r="F131" s="9"/>
      <c r="G131" s="9"/>
      <c r="H131" s="9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9"/>
      <c r="B132" s="9"/>
      <c r="C132" s="9"/>
      <c r="D132" s="9"/>
      <c r="E132" s="9"/>
      <c r="F132" s="9"/>
      <c r="G132" s="9"/>
      <c r="H132" s="9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9"/>
      <c r="B133" s="9"/>
      <c r="C133" s="9"/>
      <c r="D133" s="9"/>
      <c r="E133" s="9"/>
      <c r="F133" s="9"/>
      <c r="G133" s="9"/>
      <c r="H133" s="9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9"/>
      <c r="B134" s="9"/>
      <c r="C134" s="9"/>
      <c r="D134" s="9"/>
      <c r="E134" s="9"/>
      <c r="F134" s="9"/>
      <c r="G134" s="9"/>
      <c r="H134" s="9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9"/>
      <c r="B135" s="9"/>
      <c r="C135" s="9"/>
      <c r="D135" s="9"/>
      <c r="E135" s="9"/>
      <c r="F135" s="9"/>
      <c r="G135" s="9"/>
      <c r="H135" s="9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9"/>
      <c r="B136" s="9"/>
      <c r="C136" s="9"/>
      <c r="D136" s="9"/>
      <c r="E136" s="9"/>
      <c r="F136" s="9"/>
      <c r="G136" s="9"/>
      <c r="H136" s="9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9"/>
      <c r="B137" s="9"/>
      <c r="C137" s="9"/>
      <c r="D137" s="9"/>
      <c r="E137" s="9"/>
      <c r="F137" s="9"/>
      <c r="G137" s="9"/>
      <c r="H137" s="9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9"/>
      <c r="B138" s="9"/>
      <c r="C138" s="9"/>
      <c r="D138" s="9"/>
      <c r="E138" s="9"/>
      <c r="F138" s="9"/>
      <c r="G138" s="9"/>
      <c r="H138" s="9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9"/>
      <c r="B139" s="9"/>
      <c r="C139" s="9"/>
      <c r="D139" s="9"/>
      <c r="E139" s="9"/>
      <c r="F139" s="9"/>
      <c r="G139" s="9"/>
      <c r="H139" s="9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9"/>
      <c r="B140" s="9"/>
      <c r="C140" s="9"/>
      <c r="D140" s="9"/>
      <c r="E140" s="9"/>
      <c r="F140" s="9"/>
      <c r="G140" s="9"/>
      <c r="H140" s="9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9"/>
      <c r="B141" s="9"/>
      <c r="C141" s="9"/>
      <c r="D141" s="9"/>
      <c r="E141" s="9"/>
      <c r="F141" s="9"/>
      <c r="G141" s="9"/>
      <c r="H141" s="9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9"/>
      <c r="B142" s="9"/>
      <c r="C142" s="9"/>
      <c r="D142" s="9"/>
      <c r="E142" s="9"/>
      <c r="F142" s="9"/>
      <c r="G142" s="9"/>
      <c r="H142" s="9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9"/>
      <c r="B143" s="9"/>
      <c r="C143" s="9"/>
      <c r="D143" s="9"/>
      <c r="E143" s="9"/>
      <c r="F143" s="9"/>
      <c r="G143" s="9"/>
      <c r="H143" s="9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9"/>
      <c r="B144" s="9"/>
      <c r="C144" s="9"/>
      <c r="D144" s="9"/>
      <c r="E144" s="9"/>
      <c r="F144" s="9"/>
      <c r="G144" s="9"/>
      <c r="H144" s="9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9"/>
      <c r="B145" s="9"/>
      <c r="C145" s="9"/>
      <c r="D145" s="9"/>
      <c r="E145" s="9"/>
      <c r="F145" s="9"/>
      <c r="G145" s="9"/>
      <c r="H145" s="9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9"/>
      <c r="B146" s="9"/>
      <c r="C146" s="9"/>
      <c r="D146" s="9"/>
      <c r="E146" s="9"/>
      <c r="F146" s="9"/>
      <c r="G146" s="9"/>
      <c r="H146" s="9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9"/>
      <c r="B147" s="9"/>
      <c r="C147" s="9"/>
      <c r="D147" s="9"/>
      <c r="E147" s="9"/>
      <c r="F147" s="9"/>
      <c r="G147" s="9"/>
      <c r="H147" s="9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9"/>
      <c r="B148" s="9"/>
      <c r="C148" s="9"/>
      <c r="D148" s="9"/>
      <c r="E148" s="9"/>
      <c r="F148" s="9"/>
      <c r="G148" s="9"/>
      <c r="H148" s="9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9"/>
      <c r="B149" s="9"/>
      <c r="C149" s="9"/>
      <c r="D149" s="9"/>
      <c r="E149" s="9"/>
      <c r="F149" s="9"/>
      <c r="G149" s="9"/>
      <c r="H149" s="9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9"/>
      <c r="B150" s="9"/>
      <c r="C150" s="9"/>
      <c r="D150" s="9"/>
      <c r="E150" s="9"/>
      <c r="F150" s="9"/>
      <c r="G150" s="9"/>
      <c r="H150" s="9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9"/>
      <c r="B151" s="9"/>
      <c r="C151" s="9"/>
      <c r="D151" s="9"/>
      <c r="E151" s="9"/>
      <c r="F151" s="9"/>
      <c r="G151" s="9"/>
      <c r="H151" s="9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9"/>
      <c r="B152" s="9"/>
      <c r="C152" s="9"/>
      <c r="D152" s="9"/>
      <c r="E152" s="9"/>
      <c r="F152" s="9"/>
      <c r="G152" s="9"/>
      <c r="H152" s="9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9"/>
      <c r="B153" s="9"/>
      <c r="C153" s="9"/>
      <c r="D153" s="9"/>
      <c r="E153" s="9"/>
      <c r="F153" s="9"/>
      <c r="G153" s="9"/>
      <c r="H153" s="9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9"/>
      <c r="B154" s="9"/>
      <c r="C154" s="9"/>
      <c r="D154" s="9"/>
      <c r="E154" s="9"/>
      <c r="F154" s="9"/>
      <c r="G154" s="9"/>
      <c r="H154" s="9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9"/>
      <c r="B155" s="9"/>
      <c r="C155" s="9"/>
      <c r="D155" s="9"/>
      <c r="E155" s="9"/>
      <c r="F155" s="9"/>
      <c r="G155" s="9"/>
      <c r="H155" s="9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9"/>
      <c r="B156" s="9"/>
      <c r="C156" s="9"/>
      <c r="D156" s="9"/>
      <c r="E156" s="9"/>
      <c r="F156" s="9"/>
      <c r="G156" s="9"/>
      <c r="H156" s="9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9"/>
      <c r="B157" s="9"/>
      <c r="C157" s="9"/>
      <c r="D157" s="9"/>
      <c r="E157" s="9"/>
      <c r="F157" s="9"/>
      <c r="G157" s="9"/>
      <c r="H157" s="9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9"/>
      <c r="B158" s="9"/>
      <c r="C158" s="9"/>
      <c r="D158" s="9"/>
      <c r="E158" s="9"/>
      <c r="F158" s="9"/>
      <c r="G158" s="9"/>
      <c r="H158" s="9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9"/>
      <c r="B159" s="9"/>
      <c r="C159" s="9"/>
      <c r="D159" s="9"/>
      <c r="E159" s="9"/>
      <c r="F159" s="9"/>
      <c r="G159" s="9"/>
      <c r="H159" s="9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9"/>
      <c r="B160" s="9"/>
      <c r="C160" s="9"/>
      <c r="D160" s="9"/>
      <c r="E160" s="9"/>
      <c r="F160" s="9"/>
      <c r="G160" s="9"/>
      <c r="H160" s="9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9"/>
      <c r="B161" s="9"/>
      <c r="C161" s="9"/>
      <c r="D161" s="9"/>
      <c r="E161" s="9"/>
      <c r="F161" s="9"/>
      <c r="G161" s="9"/>
      <c r="H161" s="9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9"/>
      <c r="B162" s="9"/>
      <c r="C162" s="9"/>
      <c r="D162" s="9"/>
      <c r="E162" s="9"/>
      <c r="F162" s="9"/>
      <c r="G162" s="9"/>
      <c r="H162" s="9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9"/>
      <c r="B163" s="9"/>
      <c r="C163" s="9"/>
      <c r="D163" s="9"/>
      <c r="E163" s="9"/>
      <c r="F163" s="9"/>
      <c r="G163" s="9"/>
      <c r="H163" s="9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9"/>
      <c r="B164" s="9"/>
      <c r="C164" s="9"/>
      <c r="D164" s="9"/>
      <c r="E164" s="9"/>
      <c r="F164" s="9"/>
      <c r="G164" s="9"/>
      <c r="H164" s="9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9"/>
      <c r="B165" s="9"/>
      <c r="C165" s="9"/>
      <c r="D165" s="9"/>
      <c r="E165" s="9"/>
      <c r="F165" s="9"/>
      <c r="G165" s="9"/>
      <c r="H165" s="9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9"/>
      <c r="B166" s="9"/>
      <c r="C166" s="9"/>
      <c r="D166" s="9"/>
      <c r="E166" s="9"/>
      <c r="F166" s="9"/>
      <c r="G166" s="9"/>
      <c r="H166" s="9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9"/>
      <c r="B167" s="9"/>
      <c r="C167" s="9"/>
      <c r="D167" s="9"/>
      <c r="E167" s="9"/>
      <c r="F167" s="9"/>
      <c r="G167" s="9"/>
      <c r="H167" s="9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9"/>
      <c r="B168" s="9"/>
      <c r="C168" s="9"/>
      <c r="D168" s="9"/>
      <c r="E168" s="9"/>
      <c r="F168" s="9"/>
      <c r="G168" s="9"/>
      <c r="H168" s="9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9"/>
      <c r="B169" s="9"/>
      <c r="C169" s="9"/>
      <c r="D169" s="9"/>
      <c r="E169" s="9"/>
      <c r="F169" s="9"/>
      <c r="G169" s="9"/>
      <c r="H169" s="9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9"/>
      <c r="B170" s="9"/>
      <c r="C170" s="9"/>
      <c r="D170" s="9"/>
      <c r="E170" s="9"/>
      <c r="F170" s="9"/>
      <c r="G170" s="9"/>
      <c r="H170" s="9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9"/>
      <c r="B171" s="9"/>
      <c r="C171" s="9"/>
      <c r="D171" s="9"/>
      <c r="E171" s="9"/>
      <c r="F171" s="9"/>
      <c r="G171" s="9"/>
      <c r="H171" s="9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9"/>
      <c r="B172" s="9"/>
      <c r="C172" s="9"/>
      <c r="D172" s="9"/>
      <c r="E172" s="9"/>
      <c r="F172" s="9"/>
      <c r="G172" s="9"/>
      <c r="H172" s="9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9"/>
      <c r="B173" s="9"/>
      <c r="C173" s="9"/>
      <c r="D173" s="9"/>
      <c r="E173" s="9"/>
      <c r="F173" s="9"/>
      <c r="G173" s="9"/>
      <c r="H173" s="9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9"/>
      <c r="B174" s="9"/>
      <c r="C174" s="9"/>
      <c r="D174" s="9"/>
      <c r="E174" s="9"/>
      <c r="F174" s="9"/>
      <c r="G174" s="9"/>
      <c r="H174" s="9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9"/>
      <c r="B175" s="9"/>
      <c r="C175" s="9"/>
      <c r="D175" s="9"/>
      <c r="E175" s="9"/>
      <c r="F175" s="9"/>
      <c r="G175" s="9"/>
      <c r="H175" s="9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9"/>
      <c r="B176" s="9"/>
      <c r="C176" s="9"/>
      <c r="D176" s="9"/>
      <c r="E176" s="9"/>
      <c r="F176" s="9"/>
      <c r="G176" s="9"/>
      <c r="H176" s="9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9"/>
      <c r="B177" s="9"/>
      <c r="C177" s="9"/>
      <c r="D177" s="9"/>
      <c r="E177" s="9"/>
      <c r="F177" s="9"/>
      <c r="G177" s="9"/>
      <c r="H177" s="9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9"/>
      <c r="B178" s="9"/>
      <c r="C178" s="9"/>
      <c r="D178" s="9"/>
      <c r="E178" s="9"/>
      <c r="F178" s="9"/>
      <c r="G178" s="9"/>
      <c r="H178" s="9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9"/>
      <c r="B179" s="9"/>
      <c r="C179" s="9"/>
      <c r="D179" s="9"/>
      <c r="E179" s="9"/>
      <c r="F179" s="9"/>
      <c r="G179" s="9"/>
      <c r="H179" s="9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9"/>
      <c r="B180" s="9"/>
      <c r="C180" s="9"/>
      <c r="D180" s="9"/>
      <c r="E180" s="9"/>
      <c r="F180" s="9"/>
      <c r="G180" s="9"/>
      <c r="H180" s="9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9"/>
      <c r="B181" s="9"/>
      <c r="C181" s="9"/>
      <c r="D181" s="9"/>
      <c r="E181" s="9"/>
      <c r="F181" s="9"/>
      <c r="G181" s="9"/>
      <c r="H181" s="9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9"/>
      <c r="B182" s="9"/>
      <c r="C182" s="9"/>
      <c r="D182" s="9"/>
      <c r="E182" s="9"/>
      <c r="F182" s="9"/>
      <c r="G182" s="9"/>
      <c r="H182" s="9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9"/>
      <c r="B183" s="9"/>
      <c r="C183" s="9"/>
      <c r="D183" s="9"/>
      <c r="E183" s="9"/>
      <c r="F183" s="9"/>
      <c r="G183" s="9"/>
      <c r="H183" s="9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9"/>
      <c r="B184" s="9"/>
      <c r="C184" s="9"/>
      <c r="D184" s="9"/>
      <c r="E184" s="9"/>
      <c r="F184" s="9"/>
      <c r="G184" s="9"/>
      <c r="H184" s="9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9"/>
      <c r="B185" s="9"/>
      <c r="C185" s="9"/>
      <c r="D185" s="9"/>
      <c r="E185" s="9"/>
      <c r="F185" s="9"/>
      <c r="G185" s="9"/>
      <c r="H185" s="9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9"/>
      <c r="B186" s="9"/>
      <c r="C186" s="9"/>
      <c r="D186" s="9"/>
      <c r="E186" s="9"/>
      <c r="F186" s="9"/>
      <c r="G186" s="9"/>
      <c r="H186" s="9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9"/>
      <c r="B187" s="9"/>
      <c r="C187" s="9"/>
      <c r="D187" s="9"/>
      <c r="E187" s="9"/>
      <c r="F187" s="9"/>
      <c r="G187" s="9"/>
      <c r="H187" s="9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9"/>
      <c r="B188" s="9"/>
      <c r="C188" s="9"/>
      <c r="D188" s="9"/>
      <c r="E188" s="9"/>
      <c r="F188" s="9"/>
      <c r="G188" s="9"/>
      <c r="H188" s="9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9"/>
      <c r="B189" s="9"/>
      <c r="C189" s="9"/>
      <c r="D189" s="9"/>
      <c r="E189" s="9"/>
      <c r="F189" s="9"/>
      <c r="G189" s="9"/>
      <c r="H189" s="9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9"/>
      <c r="B190" s="9"/>
      <c r="C190" s="9"/>
      <c r="D190" s="9"/>
      <c r="E190" s="9"/>
      <c r="F190" s="9"/>
      <c r="G190" s="9"/>
      <c r="H190" s="9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9"/>
      <c r="B191" s="9"/>
      <c r="C191" s="9"/>
      <c r="D191" s="9"/>
      <c r="E191" s="9"/>
      <c r="F191" s="9"/>
      <c r="G191" s="9"/>
      <c r="H191" s="9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9"/>
      <c r="B192" s="9"/>
      <c r="C192" s="9"/>
      <c r="D192" s="9"/>
      <c r="E192" s="9"/>
      <c r="F192" s="9"/>
      <c r="G192" s="9"/>
      <c r="H192" s="9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9"/>
      <c r="B193" s="9"/>
      <c r="C193" s="9"/>
      <c r="D193" s="9"/>
      <c r="E193" s="9"/>
      <c r="F193" s="9"/>
      <c r="G193" s="9"/>
      <c r="H193" s="9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9"/>
      <c r="B194" s="9"/>
      <c r="C194" s="9"/>
      <c r="D194" s="9"/>
      <c r="E194" s="9"/>
      <c r="F194" s="9"/>
      <c r="G194" s="9"/>
      <c r="H194" s="9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9"/>
      <c r="B195" s="9"/>
      <c r="C195" s="9"/>
      <c r="D195" s="9"/>
      <c r="E195" s="9"/>
      <c r="F195" s="9"/>
      <c r="G195" s="9"/>
      <c r="H195" s="9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9"/>
      <c r="B196" s="9"/>
      <c r="C196" s="9"/>
      <c r="D196" s="9"/>
      <c r="E196" s="9"/>
      <c r="F196" s="9"/>
      <c r="G196" s="9"/>
      <c r="H196" s="9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9"/>
      <c r="B197" s="9"/>
      <c r="C197" s="9"/>
      <c r="D197" s="9"/>
      <c r="E197" s="9"/>
      <c r="F197" s="9"/>
      <c r="G197" s="9"/>
      <c r="H197" s="9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9"/>
      <c r="B198" s="9"/>
      <c r="C198" s="9"/>
      <c r="D198" s="9"/>
      <c r="E198" s="9"/>
      <c r="F198" s="9"/>
      <c r="G198" s="9"/>
      <c r="H198" s="9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9"/>
      <c r="B199" s="9"/>
      <c r="C199" s="9"/>
      <c r="D199" s="9"/>
      <c r="E199" s="9"/>
      <c r="F199" s="9"/>
      <c r="G199" s="9"/>
      <c r="H199" s="9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9"/>
      <c r="B200" s="9"/>
      <c r="C200" s="9"/>
      <c r="D200" s="9"/>
      <c r="E200" s="9"/>
      <c r="F200" s="9"/>
      <c r="G200" s="9"/>
      <c r="H200" s="9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9"/>
      <c r="B201" s="9"/>
      <c r="C201" s="9"/>
      <c r="D201" s="9"/>
      <c r="E201" s="9"/>
      <c r="F201" s="9"/>
      <c r="G201" s="9"/>
      <c r="H201" s="9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9"/>
      <c r="B202" s="9"/>
      <c r="C202" s="9"/>
      <c r="D202" s="9"/>
      <c r="E202" s="9"/>
      <c r="F202" s="9"/>
      <c r="G202" s="9"/>
      <c r="H202" s="9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9"/>
      <c r="B203" s="9"/>
      <c r="C203" s="9"/>
      <c r="D203" s="9"/>
      <c r="E203" s="9"/>
      <c r="F203" s="9"/>
      <c r="G203" s="9"/>
      <c r="H203" s="9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9"/>
      <c r="B204" s="9"/>
      <c r="C204" s="9"/>
      <c r="D204" s="9"/>
      <c r="E204" s="9"/>
      <c r="F204" s="9"/>
      <c r="G204" s="9"/>
      <c r="H204" s="9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9"/>
      <c r="B205" s="9"/>
      <c r="C205" s="9"/>
      <c r="D205" s="9"/>
      <c r="E205" s="9"/>
      <c r="F205" s="9"/>
      <c r="G205" s="9"/>
      <c r="H205" s="9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9"/>
      <c r="B206" s="9"/>
      <c r="C206" s="9"/>
      <c r="D206" s="9"/>
      <c r="E206" s="9"/>
      <c r="F206" s="9"/>
      <c r="G206" s="9"/>
      <c r="H206" s="9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9"/>
      <c r="B207" s="9"/>
      <c r="C207" s="9"/>
      <c r="D207" s="9"/>
      <c r="E207" s="9"/>
      <c r="F207" s="9"/>
      <c r="G207" s="9"/>
      <c r="H207" s="9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9"/>
      <c r="B208" s="9"/>
      <c r="C208" s="9"/>
      <c r="D208" s="9"/>
      <c r="E208" s="9"/>
      <c r="F208" s="9"/>
      <c r="G208" s="9"/>
      <c r="H208" s="9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9"/>
      <c r="B209" s="9"/>
      <c r="C209" s="9"/>
      <c r="D209" s="9"/>
      <c r="E209" s="9"/>
      <c r="F209" s="9"/>
      <c r="G209" s="9"/>
      <c r="H209" s="9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9"/>
      <c r="B210" s="9"/>
      <c r="C210" s="9"/>
      <c r="D210" s="9"/>
      <c r="E210" s="9"/>
      <c r="F210" s="9"/>
      <c r="G210" s="9"/>
      <c r="H210" s="9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9"/>
      <c r="B211" s="9"/>
      <c r="C211" s="9"/>
      <c r="D211" s="9"/>
      <c r="E211" s="9"/>
      <c r="F211" s="9"/>
      <c r="G211" s="9"/>
      <c r="H211" s="9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9"/>
      <c r="B212" s="9"/>
      <c r="C212" s="9"/>
      <c r="D212" s="9"/>
      <c r="E212" s="9"/>
      <c r="F212" s="9"/>
      <c r="G212" s="9"/>
      <c r="H212" s="9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9"/>
      <c r="B213" s="9"/>
      <c r="C213" s="9"/>
      <c r="D213" s="9"/>
      <c r="E213" s="9"/>
      <c r="F213" s="9"/>
      <c r="G213" s="9"/>
      <c r="H213" s="9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9"/>
      <c r="B214" s="9"/>
      <c r="C214" s="9"/>
      <c r="D214" s="9"/>
      <c r="E214" s="9"/>
      <c r="F214" s="9"/>
      <c r="G214" s="9"/>
      <c r="H214" s="9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9"/>
      <c r="B215" s="9"/>
      <c r="C215" s="9"/>
      <c r="D215" s="9"/>
      <c r="E215" s="9"/>
      <c r="F215" s="9"/>
      <c r="G215" s="9"/>
      <c r="H215" s="9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9"/>
      <c r="B216" s="9"/>
      <c r="C216" s="9"/>
      <c r="D216" s="9"/>
      <c r="E216" s="9"/>
      <c r="F216" s="9"/>
      <c r="G216" s="9"/>
      <c r="H216" s="9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9"/>
      <c r="B217" s="9"/>
      <c r="C217" s="9"/>
      <c r="D217" s="9"/>
      <c r="E217" s="9"/>
      <c r="F217" s="9"/>
      <c r="G217" s="9"/>
      <c r="H217" s="9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9"/>
      <c r="B218" s="9"/>
      <c r="C218" s="9"/>
      <c r="D218" s="9"/>
      <c r="E218" s="9"/>
      <c r="F218" s="9"/>
      <c r="G218" s="9"/>
      <c r="H218" s="9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9"/>
      <c r="B219" s="9"/>
      <c r="C219" s="9"/>
      <c r="D219" s="9"/>
      <c r="E219" s="9"/>
      <c r="F219" s="9"/>
      <c r="G219" s="9"/>
      <c r="H219" s="9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9"/>
      <c r="B220" s="9"/>
      <c r="C220" s="9"/>
      <c r="D220" s="9"/>
      <c r="E220" s="9"/>
      <c r="F220" s="9"/>
      <c r="G220" s="9"/>
      <c r="H220" s="9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9"/>
      <c r="B221" s="9"/>
      <c r="C221" s="9"/>
      <c r="D221" s="9"/>
      <c r="E221" s="9"/>
      <c r="F221" s="9"/>
      <c r="G221" s="9"/>
      <c r="H221" s="9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9"/>
      <c r="B222" s="9"/>
      <c r="C222" s="9"/>
      <c r="D222" s="9"/>
      <c r="E222" s="9"/>
      <c r="F222" s="9"/>
      <c r="G222" s="9"/>
      <c r="H222" s="9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9"/>
      <c r="B223" s="9"/>
      <c r="C223" s="9"/>
      <c r="D223" s="9"/>
      <c r="E223" s="9"/>
      <c r="F223" s="9"/>
      <c r="G223" s="9"/>
      <c r="H223" s="9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9"/>
      <c r="B224" s="9"/>
      <c r="C224" s="9"/>
      <c r="D224" s="9"/>
      <c r="E224" s="9"/>
      <c r="F224" s="9"/>
      <c r="G224" s="9"/>
      <c r="H224" s="9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9"/>
      <c r="B225" s="9"/>
      <c r="C225" s="9"/>
      <c r="D225" s="9"/>
      <c r="E225" s="9"/>
      <c r="F225" s="9"/>
      <c r="G225" s="9"/>
      <c r="H225" s="9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9"/>
      <c r="B226" s="9"/>
      <c r="C226" s="9"/>
      <c r="D226" s="9"/>
      <c r="E226" s="9"/>
      <c r="F226" s="9"/>
      <c r="G226" s="9"/>
      <c r="H226" s="9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9"/>
      <c r="B227" s="9"/>
      <c r="C227" s="9"/>
      <c r="D227" s="9"/>
      <c r="E227" s="9"/>
      <c r="F227" s="9"/>
      <c r="G227" s="9"/>
      <c r="H227" s="9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9"/>
      <c r="B228" s="9"/>
      <c r="C228" s="9"/>
      <c r="D228" s="9"/>
      <c r="E228" s="9"/>
      <c r="F228" s="9"/>
      <c r="G228" s="9"/>
      <c r="H228" s="9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9"/>
      <c r="B229" s="9"/>
      <c r="C229" s="9"/>
      <c r="D229" s="9"/>
      <c r="E229" s="9"/>
      <c r="F229" s="9"/>
      <c r="G229" s="9"/>
      <c r="H229" s="9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9"/>
      <c r="B230" s="9"/>
      <c r="C230" s="9"/>
      <c r="D230" s="9"/>
      <c r="E230" s="9"/>
      <c r="F230" s="9"/>
      <c r="G230" s="9"/>
      <c r="H230" s="9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9"/>
      <c r="B231" s="9"/>
      <c r="C231" s="9"/>
      <c r="D231" s="9"/>
      <c r="E231" s="9"/>
      <c r="F231" s="9"/>
      <c r="G231" s="9"/>
      <c r="H231" s="9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9"/>
      <c r="B232" s="9"/>
      <c r="C232" s="9"/>
      <c r="D232" s="9"/>
      <c r="E232" s="9"/>
      <c r="F232" s="9"/>
      <c r="G232" s="9"/>
      <c r="H232" s="9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9"/>
      <c r="B233" s="9"/>
      <c r="C233" s="9"/>
      <c r="D233" s="9"/>
      <c r="E233" s="9"/>
      <c r="F233" s="9"/>
      <c r="G233" s="9"/>
      <c r="H233" s="9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9"/>
      <c r="B234" s="9"/>
      <c r="C234" s="9"/>
      <c r="D234" s="9"/>
      <c r="E234" s="9"/>
      <c r="F234" s="9"/>
      <c r="G234" s="9"/>
      <c r="H234" s="9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9"/>
      <c r="B235" s="9"/>
      <c r="C235" s="9"/>
      <c r="D235" s="9"/>
      <c r="E235" s="9"/>
      <c r="F235" s="9"/>
      <c r="G235" s="9"/>
      <c r="H235" s="9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9"/>
      <c r="B236" s="9"/>
      <c r="C236" s="9"/>
      <c r="D236" s="9"/>
      <c r="E236" s="9"/>
      <c r="F236" s="9"/>
      <c r="G236" s="9"/>
      <c r="H236" s="9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9"/>
      <c r="B237" s="9"/>
      <c r="C237" s="9"/>
      <c r="D237" s="9"/>
      <c r="E237" s="9"/>
      <c r="F237" s="9"/>
      <c r="G237" s="9"/>
      <c r="H237" s="9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9"/>
      <c r="B238" s="9"/>
      <c r="C238" s="9"/>
      <c r="D238" s="9"/>
      <c r="E238" s="9"/>
      <c r="F238" s="9"/>
      <c r="G238" s="9"/>
      <c r="H238" s="9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9"/>
      <c r="B239" s="9"/>
      <c r="C239" s="9"/>
      <c r="D239" s="9"/>
      <c r="E239" s="9"/>
      <c r="F239" s="9"/>
      <c r="G239" s="9"/>
      <c r="H239" s="9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9"/>
      <c r="B240" s="9"/>
      <c r="C240" s="9"/>
      <c r="D240" s="9"/>
      <c r="E240" s="9"/>
      <c r="F240" s="9"/>
      <c r="G240" s="9"/>
      <c r="H240" s="9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9"/>
      <c r="B241" s="9"/>
      <c r="C241" s="9"/>
      <c r="D241" s="9"/>
      <c r="E241" s="9"/>
      <c r="F241" s="9"/>
      <c r="G241" s="9"/>
      <c r="H241" s="9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9"/>
      <c r="B242" s="9"/>
      <c r="C242" s="9"/>
      <c r="D242" s="9"/>
      <c r="E242" s="9"/>
      <c r="F242" s="9"/>
      <c r="G242" s="9"/>
      <c r="H242" s="9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9"/>
      <c r="B243" s="9"/>
      <c r="C243" s="9"/>
      <c r="D243" s="9"/>
      <c r="E243" s="9"/>
      <c r="F243" s="9"/>
      <c r="G243" s="9"/>
      <c r="H243" s="9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9"/>
      <c r="B244" s="9"/>
      <c r="C244" s="9"/>
      <c r="D244" s="9"/>
      <c r="E244" s="9"/>
      <c r="F244" s="9"/>
      <c r="G244" s="9"/>
      <c r="H244" s="9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9"/>
      <c r="B245" s="9"/>
      <c r="C245" s="9"/>
      <c r="D245" s="9"/>
      <c r="E245" s="9"/>
      <c r="F245" s="9"/>
      <c r="G245" s="9"/>
      <c r="H245" s="9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9"/>
      <c r="B246" s="9"/>
      <c r="C246" s="9"/>
      <c r="D246" s="9"/>
      <c r="E246" s="9"/>
      <c r="F246" s="9"/>
      <c r="G246" s="9"/>
      <c r="H246" s="9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9"/>
      <c r="B247" s="9"/>
      <c r="C247" s="9"/>
      <c r="D247" s="9"/>
      <c r="E247" s="9"/>
      <c r="F247" s="9"/>
      <c r="G247" s="9"/>
      <c r="H247" s="9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9"/>
      <c r="B248" s="9"/>
      <c r="C248" s="9"/>
      <c r="D248" s="9"/>
      <c r="E248" s="9"/>
      <c r="F248" s="9"/>
      <c r="G248" s="9"/>
      <c r="H248" s="9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9"/>
      <c r="B249" s="9"/>
      <c r="C249" s="9"/>
      <c r="D249" s="9"/>
      <c r="E249" s="9"/>
      <c r="F249" s="9"/>
      <c r="G249" s="9"/>
      <c r="H249" s="9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9"/>
      <c r="B250" s="9"/>
      <c r="C250" s="9"/>
      <c r="D250" s="9"/>
      <c r="E250" s="9"/>
      <c r="F250" s="9"/>
      <c r="G250" s="9"/>
      <c r="H250" s="9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9"/>
      <c r="B251" s="9"/>
      <c r="C251" s="9"/>
      <c r="D251" s="9"/>
      <c r="E251" s="9"/>
      <c r="F251" s="9"/>
      <c r="G251" s="9"/>
      <c r="H251" s="9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9"/>
      <c r="B252" s="9"/>
      <c r="C252" s="9"/>
      <c r="D252" s="9"/>
      <c r="E252" s="9"/>
      <c r="F252" s="9"/>
      <c r="G252" s="9"/>
      <c r="H252" s="9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9"/>
      <c r="B253" s="9"/>
      <c r="C253" s="9"/>
      <c r="D253" s="9"/>
      <c r="E253" s="9"/>
      <c r="F253" s="9"/>
      <c r="G253" s="9"/>
      <c r="H253" s="9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9"/>
      <c r="B254" s="9"/>
      <c r="C254" s="9"/>
      <c r="D254" s="9"/>
      <c r="E254" s="9"/>
      <c r="F254" s="9"/>
      <c r="G254" s="9"/>
      <c r="H254" s="9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9"/>
      <c r="B255" s="9"/>
      <c r="C255" s="9"/>
      <c r="D255" s="9"/>
      <c r="E255" s="9"/>
      <c r="F255" s="9"/>
      <c r="G255" s="9"/>
      <c r="H255" s="9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9"/>
      <c r="B256" s="9"/>
      <c r="C256" s="9"/>
      <c r="D256" s="9"/>
      <c r="E256" s="9"/>
      <c r="F256" s="9"/>
      <c r="G256" s="9"/>
      <c r="H256" s="9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9"/>
      <c r="B257" s="9"/>
      <c r="C257" s="9"/>
      <c r="D257" s="9"/>
      <c r="E257" s="9"/>
      <c r="F257" s="9"/>
      <c r="G257" s="9"/>
      <c r="H257" s="9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9"/>
      <c r="B258" s="9"/>
      <c r="C258" s="9"/>
      <c r="D258" s="9"/>
      <c r="E258" s="9"/>
      <c r="F258" s="9"/>
      <c r="G258" s="9"/>
      <c r="H258" s="9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9"/>
      <c r="B259" s="9"/>
      <c r="C259" s="9"/>
      <c r="D259" s="9"/>
      <c r="E259" s="9"/>
      <c r="F259" s="9"/>
      <c r="G259" s="9"/>
      <c r="H259" s="9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9"/>
      <c r="B260" s="9"/>
      <c r="C260" s="9"/>
      <c r="D260" s="9"/>
      <c r="E260" s="9"/>
      <c r="F260" s="9"/>
      <c r="G260" s="9"/>
      <c r="H260" s="9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9"/>
      <c r="B261" s="9"/>
      <c r="C261" s="9"/>
      <c r="D261" s="9"/>
      <c r="E261" s="9"/>
      <c r="F261" s="9"/>
      <c r="G261" s="9"/>
      <c r="H261" s="9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9"/>
      <c r="B262" s="9"/>
      <c r="C262" s="9"/>
      <c r="D262" s="9"/>
      <c r="E262" s="9"/>
      <c r="F262" s="9"/>
      <c r="G262" s="9"/>
      <c r="H262" s="9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9"/>
      <c r="B263" s="9"/>
      <c r="C263" s="9"/>
      <c r="D263" s="9"/>
      <c r="E263" s="9"/>
      <c r="F263" s="9"/>
      <c r="G263" s="9"/>
      <c r="H263" s="9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9"/>
      <c r="B264" s="9"/>
      <c r="C264" s="9"/>
      <c r="D264" s="9"/>
      <c r="E264" s="9"/>
      <c r="F264" s="9"/>
      <c r="G264" s="9"/>
      <c r="H264" s="9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9"/>
      <c r="B265" s="9"/>
      <c r="C265" s="9"/>
      <c r="D265" s="9"/>
      <c r="E265" s="9"/>
      <c r="F265" s="9"/>
      <c r="G265" s="9"/>
      <c r="H265" s="9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9"/>
      <c r="B266" s="9"/>
      <c r="C266" s="9"/>
      <c r="D266" s="9"/>
      <c r="E266" s="9"/>
      <c r="F266" s="9"/>
      <c r="G266" s="9"/>
      <c r="H266" s="9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9"/>
      <c r="B267" s="9"/>
      <c r="C267" s="9"/>
      <c r="D267" s="9"/>
      <c r="E267" s="9"/>
      <c r="F267" s="9"/>
      <c r="G267" s="9"/>
      <c r="H267" s="9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9"/>
      <c r="B268" s="9"/>
      <c r="C268" s="9"/>
      <c r="D268" s="9"/>
      <c r="E268" s="9"/>
      <c r="F268" s="9"/>
      <c r="G268" s="9"/>
      <c r="H268" s="9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9"/>
      <c r="B269" s="9"/>
      <c r="C269" s="9"/>
      <c r="D269" s="9"/>
      <c r="E269" s="9"/>
      <c r="F269" s="9"/>
      <c r="G269" s="9"/>
      <c r="H269" s="9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9"/>
      <c r="B270" s="9"/>
      <c r="C270" s="9"/>
      <c r="D270" s="9"/>
      <c r="E270" s="9"/>
      <c r="F270" s="9"/>
      <c r="G270" s="9"/>
      <c r="H270" s="9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9"/>
      <c r="B271" s="9"/>
      <c r="C271" s="9"/>
      <c r="D271" s="9"/>
      <c r="E271" s="9"/>
      <c r="F271" s="9"/>
      <c r="G271" s="9"/>
      <c r="H271" s="9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9"/>
      <c r="B272" s="9"/>
      <c r="C272" s="9"/>
      <c r="D272" s="9"/>
      <c r="E272" s="9"/>
      <c r="F272" s="9"/>
      <c r="G272" s="9"/>
      <c r="H272" s="9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9"/>
      <c r="B273" s="9"/>
      <c r="C273" s="9"/>
      <c r="D273" s="9"/>
      <c r="E273" s="9"/>
      <c r="F273" s="9"/>
      <c r="G273" s="9"/>
      <c r="H273" s="9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9"/>
      <c r="B274" s="9"/>
      <c r="C274" s="9"/>
      <c r="D274" s="9"/>
      <c r="E274" s="9"/>
      <c r="F274" s="9"/>
      <c r="G274" s="9"/>
      <c r="H274" s="9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9"/>
      <c r="B275" s="9"/>
      <c r="C275" s="9"/>
      <c r="D275" s="9"/>
      <c r="E275" s="9"/>
      <c r="F275" s="9"/>
      <c r="G275" s="9"/>
      <c r="H275" s="9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9"/>
      <c r="B276" s="9"/>
      <c r="C276" s="9"/>
      <c r="D276" s="9"/>
      <c r="E276" s="9"/>
      <c r="F276" s="9"/>
      <c r="G276" s="9"/>
      <c r="H276" s="9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9"/>
      <c r="B277" s="9"/>
      <c r="C277" s="9"/>
      <c r="D277" s="9"/>
      <c r="E277" s="9"/>
      <c r="F277" s="9"/>
      <c r="G277" s="9"/>
      <c r="H277" s="9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9"/>
      <c r="B278" s="9"/>
      <c r="C278" s="9"/>
      <c r="D278" s="9"/>
      <c r="E278" s="9"/>
      <c r="F278" s="9"/>
      <c r="G278" s="9"/>
      <c r="H278" s="9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9"/>
      <c r="B279" s="9"/>
      <c r="C279" s="9"/>
      <c r="D279" s="9"/>
      <c r="E279" s="9"/>
      <c r="F279" s="9"/>
      <c r="G279" s="9"/>
      <c r="H279" s="9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9"/>
      <c r="B280" s="9"/>
      <c r="C280" s="9"/>
      <c r="D280" s="9"/>
      <c r="E280" s="9"/>
      <c r="F280" s="9"/>
      <c r="G280" s="9"/>
      <c r="H280" s="9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9"/>
      <c r="B281" s="9"/>
      <c r="C281" s="9"/>
      <c r="D281" s="9"/>
      <c r="E281" s="9"/>
      <c r="F281" s="9"/>
      <c r="G281" s="9"/>
      <c r="H281" s="9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9"/>
      <c r="B282" s="9"/>
      <c r="C282" s="9"/>
      <c r="D282" s="9"/>
      <c r="E282" s="9"/>
      <c r="F282" s="9"/>
      <c r="G282" s="9"/>
      <c r="H282" s="9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9"/>
      <c r="B283" s="9"/>
      <c r="C283" s="9"/>
      <c r="D283" s="9"/>
      <c r="E283" s="9"/>
      <c r="F283" s="9"/>
      <c r="G283" s="9"/>
      <c r="H283" s="9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9"/>
      <c r="B284" s="9"/>
      <c r="C284" s="9"/>
      <c r="D284" s="9"/>
      <c r="E284" s="9"/>
      <c r="F284" s="9"/>
      <c r="G284" s="9"/>
      <c r="H284" s="9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9"/>
      <c r="B285" s="9"/>
      <c r="C285" s="9"/>
      <c r="D285" s="9"/>
      <c r="E285" s="9"/>
      <c r="F285" s="9"/>
      <c r="G285" s="9"/>
      <c r="H285" s="9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9"/>
      <c r="B286" s="9"/>
      <c r="C286" s="9"/>
      <c r="D286" s="9"/>
      <c r="E286" s="9"/>
      <c r="F286" s="9"/>
      <c r="G286" s="9"/>
      <c r="H286" s="9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9"/>
      <c r="B287" s="9"/>
      <c r="C287" s="9"/>
      <c r="D287" s="9"/>
      <c r="E287" s="9"/>
      <c r="F287" s="9"/>
      <c r="G287" s="9"/>
      <c r="H287" s="9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9"/>
      <c r="B288" s="9"/>
      <c r="C288" s="9"/>
      <c r="D288" s="9"/>
      <c r="E288" s="9"/>
      <c r="F288" s="9"/>
      <c r="G288" s="9"/>
      <c r="H288" s="9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9"/>
      <c r="B289" s="9"/>
      <c r="C289" s="9"/>
      <c r="D289" s="9"/>
      <c r="E289" s="9"/>
      <c r="F289" s="9"/>
      <c r="G289" s="9"/>
      <c r="H289" s="9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9"/>
      <c r="B290" s="9"/>
      <c r="C290" s="9"/>
      <c r="D290" s="9"/>
      <c r="E290" s="9"/>
      <c r="F290" s="9"/>
      <c r="G290" s="9"/>
      <c r="H290" s="9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9"/>
      <c r="B291" s="9"/>
      <c r="C291" s="9"/>
      <c r="D291" s="9"/>
      <c r="E291" s="9"/>
      <c r="F291" s="9"/>
      <c r="G291" s="9"/>
      <c r="H291" s="9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9"/>
      <c r="B292" s="9"/>
      <c r="C292" s="9"/>
      <c r="D292" s="9"/>
      <c r="E292" s="9"/>
      <c r="F292" s="9"/>
      <c r="G292" s="9"/>
      <c r="H292" s="9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9"/>
      <c r="B293" s="9"/>
      <c r="C293" s="9"/>
      <c r="D293" s="9"/>
      <c r="E293" s="9"/>
      <c r="F293" s="9"/>
      <c r="G293" s="9"/>
      <c r="H293" s="9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9"/>
      <c r="B294" s="9"/>
      <c r="C294" s="9"/>
      <c r="D294" s="9"/>
      <c r="E294" s="9"/>
      <c r="F294" s="9"/>
      <c r="G294" s="9"/>
      <c r="H294" s="9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9"/>
      <c r="B295" s="9"/>
      <c r="C295" s="9"/>
      <c r="D295" s="9"/>
      <c r="E295" s="9"/>
      <c r="F295" s="9"/>
      <c r="G295" s="9"/>
      <c r="H295" s="9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9"/>
      <c r="B296" s="9"/>
      <c r="C296" s="9"/>
      <c r="D296" s="9"/>
      <c r="E296" s="9"/>
      <c r="F296" s="9"/>
      <c r="G296" s="9"/>
      <c r="H296" s="9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9"/>
      <c r="B297" s="9"/>
      <c r="C297" s="9"/>
      <c r="D297" s="9"/>
      <c r="E297" s="9"/>
      <c r="F297" s="9"/>
      <c r="G297" s="9"/>
      <c r="H297" s="9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9"/>
      <c r="B298" s="9"/>
      <c r="C298" s="9"/>
      <c r="D298" s="9"/>
      <c r="E298" s="9"/>
      <c r="F298" s="9"/>
      <c r="G298" s="9"/>
      <c r="H298" s="9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9"/>
      <c r="B299" s="9"/>
      <c r="C299" s="9"/>
      <c r="D299" s="9"/>
      <c r="E299" s="9"/>
      <c r="F299" s="9"/>
      <c r="G299" s="9"/>
      <c r="H299" s="9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9"/>
      <c r="B300" s="9"/>
      <c r="C300" s="9"/>
      <c r="D300" s="9"/>
      <c r="E300" s="9"/>
      <c r="F300" s="9"/>
      <c r="G300" s="9"/>
      <c r="H300" s="9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9"/>
      <c r="B301" s="9"/>
      <c r="C301" s="9"/>
      <c r="D301" s="9"/>
      <c r="E301" s="9"/>
      <c r="F301" s="9"/>
      <c r="G301" s="9"/>
      <c r="H301" s="9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9"/>
      <c r="B302" s="9"/>
      <c r="C302" s="9"/>
      <c r="D302" s="9"/>
      <c r="E302" s="9"/>
      <c r="F302" s="9"/>
      <c r="G302" s="9"/>
      <c r="H302" s="9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9"/>
      <c r="B303" s="9"/>
      <c r="C303" s="9"/>
      <c r="D303" s="9"/>
      <c r="E303" s="9"/>
      <c r="F303" s="9"/>
      <c r="G303" s="9"/>
      <c r="H303" s="9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9"/>
      <c r="B304" s="9"/>
      <c r="C304" s="9"/>
      <c r="D304" s="9"/>
      <c r="E304" s="9"/>
      <c r="F304" s="9"/>
      <c r="G304" s="9"/>
      <c r="H304" s="9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9"/>
      <c r="B305" s="9"/>
      <c r="C305" s="9"/>
      <c r="D305" s="9"/>
      <c r="E305" s="9"/>
      <c r="F305" s="9"/>
      <c r="G305" s="9"/>
      <c r="H305" s="9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9"/>
      <c r="B306" s="9"/>
      <c r="C306" s="9"/>
      <c r="D306" s="9"/>
      <c r="E306" s="9"/>
      <c r="F306" s="9"/>
      <c r="G306" s="9"/>
      <c r="H306" s="9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9"/>
      <c r="B307" s="9"/>
      <c r="C307" s="9"/>
      <c r="D307" s="9"/>
      <c r="E307" s="9"/>
      <c r="F307" s="9"/>
      <c r="G307" s="9"/>
      <c r="H307" s="9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9"/>
      <c r="B308" s="9"/>
      <c r="C308" s="9"/>
      <c r="D308" s="9"/>
      <c r="E308" s="9"/>
      <c r="F308" s="9"/>
      <c r="G308" s="9"/>
      <c r="H308" s="9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9"/>
      <c r="B309" s="9"/>
      <c r="C309" s="9"/>
      <c r="D309" s="9"/>
      <c r="E309" s="9"/>
      <c r="F309" s="9"/>
      <c r="G309" s="9"/>
      <c r="H309" s="9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9"/>
      <c r="B310" s="9"/>
      <c r="C310" s="9"/>
      <c r="D310" s="9"/>
      <c r="E310" s="9"/>
      <c r="F310" s="9"/>
      <c r="G310" s="9"/>
      <c r="H310" s="9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9"/>
      <c r="B311" s="9"/>
      <c r="C311" s="9"/>
      <c r="D311" s="9"/>
      <c r="E311" s="9"/>
      <c r="F311" s="9"/>
      <c r="G311" s="9"/>
      <c r="H311" s="9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9"/>
      <c r="B312" s="9"/>
      <c r="C312" s="9"/>
      <c r="D312" s="9"/>
      <c r="E312" s="9"/>
      <c r="F312" s="9"/>
      <c r="G312" s="9"/>
      <c r="H312" s="9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9"/>
      <c r="B313" s="9"/>
      <c r="C313" s="9"/>
      <c r="D313" s="9"/>
      <c r="E313" s="9"/>
      <c r="F313" s="9"/>
      <c r="G313" s="9"/>
      <c r="H313" s="9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9"/>
      <c r="B314" s="9"/>
      <c r="C314" s="9"/>
      <c r="D314" s="9"/>
      <c r="E314" s="9"/>
      <c r="F314" s="9"/>
      <c r="G314" s="9"/>
      <c r="H314" s="9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9"/>
      <c r="B315" s="9"/>
      <c r="C315" s="9"/>
      <c r="D315" s="9"/>
      <c r="E315" s="9"/>
      <c r="F315" s="9"/>
      <c r="G315" s="9"/>
      <c r="H315" s="9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9"/>
      <c r="B316" s="9"/>
      <c r="C316" s="9"/>
      <c r="D316" s="9"/>
      <c r="E316" s="9"/>
      <c r="F316" s="9"/>
      <c r="G316" s="9"/>
      <c r="H316" s="9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9"/>
      <c r="B317" s="9"/>
      <c r="C317" s="9"/>
      <c r="D317" s="9"/>
      <c r="E317" s="9"/>
      <c r="F317" s="9"/>
      <c r="G317" s="9"/>
      <c r="H317" s="9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9"/>
      <c r="B318" s="9"/>
      <c r="C318" s="9"/>
      <c r="D318" s="9"/>
      <c r="E318" s="9"/>
      <c r="F318" s="9"/>
      <c r="G318" s="9"/>
      <c r="H318" s="9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9"/>
      <c r="B319" s="9"/>
      <c r="C319" s="9"/>
      <c r="D319" s="9"/>
      <c r="E319" s="9"/>
      <c r="F319" s="9"/>
      <c r="G319" s="9"/>
      <c r="H319" s="9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9"/>
      <c r="B320" s="9"/>
      <c r="C320" s="9"/>
      <c r="D320" s="9"/>
      <c r="E320" s="9"/>
      <c r="F320" s="9"/>
      <c r="G320" s="9"/>
      <c r="H320" s="9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9"/>
      <c r="B321" s="9"/>
      <c r="C321" s="9"/>
      <c r="D321" s="9"/>
      <c r="E321" s="9"/>
      <c r="F321" s="9"/>
      <c r="G321" s="9"/>
      <c r="H321" s="9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9"/>
      <c r="B322" s="9"/>
      <c r="C322" s="9"/>
      <c r="D322" s="9"/>
      <c r="E322" s="9"/>
      <c r="F322" s="9"/>
      <c r="G322" s="9"/>
      <c r="H322" s="9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9"/>
      <c r="B323" s="9"/>
      <c r="C323" s="9"/>
      <c r="D323" s="9"/>
      <c r="E323" s="9"/>
      <c r="F323" s="9"/>
      <c r="G323" s="9"/>
      <c r="H323" s="9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9"/>
      <c r="B324" s="9"/>
      <c r="C324" s="9"/>
      <c r="D324" s="9"/>
      <c r="E324" s="9"/>
      <c r="F324" s="9"/>
      <c r="G324" s="9"/>
      <c r="H324" s="9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9"/>
      <c r="B325" s="9"/>
      <c r="C325" s="9"/>
      <c r="D325" s="9"/>
      <c r="E325" s="9"/>
      <c r="F325" s="9"/>
      <c r="G325" s="9"/>
      <c r="H325" s="9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9"/>
      <c r="B326" s="9"/>
      <c r="C326" s="9"/>
      <c r="D326" s="9"/>
      <c r="E326" s="9"/>
      <c r="F326" s="9"/>
      <c r="G326" s="9"/>
      <c r="H326" s="9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9"/>
      <c r="B327" s="9"/>
      <c r="C327" s="9"/>
      <c r="D327" s="9"/>
      <c r="E327" s="9"/>
      <c r="F327" s="9"/>
      <c r="G327" s="9"/>
      <c r="H327" s="9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9"/>
      <c r="B328" s="9"/>
      <c r="C328" s="9"/>
      <c r="D328" s="9"/>
      <c r="E328" s="9"/>
      <c r="F328" s="9"/>
      <c r="G328" s="9"/>
      <c r="H328" s="9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9"/>
      <c r="B329" s="9"/>
      <c r="C329" s="9"/>
      <c r="D329" s="9"/>
      <c r="E329" s="9"/>
      <c r="F329" s="9"/>
      <c r="G329" s="9"/>
      <c r="H329" s="9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9"/>
      <c r="B330" s="9"/>
      <c r="C330" s="9"/>
      <c r="D330" s="9"/>
      <c r="E330" s="9"/>
      <c r="F330" s="9"/>
      <c r="G330" s="9"/>
      <c r="H330" s="9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9"/>
      <c r="B331" s="9"/>
      <c r="C331" s="9"/>
      <c r="D331" s="9"/>
      <c r="E331" s="9"/>
      <c r="F331" s="9"/>
      <c r="G331" s="9"/>
      <c r="H331" s="9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9"/>
      <c r="B332" s="9"/>
      <c r="C332" s="9"/>
      <c r="D332" s="9"/>
      <c r="E332" s="9"/>
      <c r="F332" s="9"/>
      <c r="G332" s="9"/>
      <c r="H332" s="9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9"/>
      <c r="B333" s="9"/>
      <c r="C333" s="9"/>
      <c r="D333" s="9"/>
      <c r="E333" s="9"/>
      <c r="F333" s="9"/>
      <c r="G333" s="9"/>
      <c r="H333" s="9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9"/>
      <c r="B334" s="9"/>
      <c r="C334" s="9"/>
      <c r="D334" s="9"/>
      <c r="E334" s="9"/>
      <c r="F334" s="9"/>
      <c r="G334" s="9"/>
      <c r="H334" s="9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9"/>
      <c r="B335" s="9"/>
      <c r="C335" s="9"/>
      <c r="D335" s="9"/>
      <c r="E335" s="9"/>
      <c r="F335" s="9"/>
      <c r="G335" s="9"/>
      <c r="H335" s="9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9"/>
      <c r="B336" s="9"/>
      <c r="C336" s="9"/>
      <c r="D336" s="9"/>
      <c r="E336" s="9"/>
      <c r="F336" s="9"/>
      <c r="G336" s="9"/>
      <c r="H336" s="9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9"/>
      <c r="B337" s="9"/>
      <c r="C337" s="9"/>
      <c r="D337" s="9"/>
      <c r="E337" s="9"/>
      <c r="F337" s="9"/>
      <c r="G337" s="9"/>
      <c r="H337" s="9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9"/>
      <c r="B338" s="9"/>
      <c r="C338" s="9"/>
      <c r="D338" s="9"/>
      <c r="E338" s="9"/>
      <c r="F338" s="9"/>
      <c r="G338" s="9"/>
      <c r="H338" s="9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9"/>
      <c r="B339" s="9"/>
      <c r="C339" s="9"/>
      <c r="D339" s="9"/>
      <c r="E339" s="9"/>
      <c r="F339" s="9"/>
      <c r="G339" s="9"/>
      <c r="H339" s="9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9"/>
      <c r="B340" s="9"/>
      <c r="C340" s="9"/>
      <c r="D340" s="9"/>
      <c r="E340" s="9"/>
      <c r="F340" s="9"/>
      <c r="G340" s="9"/>
      <c r="H340" s="9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9"/>
      <c r="B341" s="9"/>
      <c r="C341" s="9"/>
      <c r="D341" s="9"/>
      <c r="E341" s="9"/>
      <c r="F341" s="9"/>
      <c r="G341" s="9"/>
      <c r="H341" s="9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9"/>
      <c r="B342" s="9"/>
      <c r="C342" s="9"/>
      <c r="D342" s="9"/>
      <c r="E342" s="9"/>
      <c r="F342" s="9"/>
      <c r="G342" s="9"/>
      <c r="H342" s="9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9"/>
      <c r="B343" s="9"/>
      <c r="C343" s="9"/>
      <c r="D343" s="9"/>
      <c r="E343" s="9"/>
      <c r="F343" s="9"/>
      <c r="G343" s="9"/>
      <c r="H343" s="9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9"/>
      <c r="B344" s="9"/>
      <c r="C344" s="9"/>
      <c r="D344" s="9"/>
      <c r="E344" s="9"/>
      <c r="F344" s="9"/>
      <c r="G344" s="9"/>
      <c r="H344" s="9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9"/>
      <c r="B345" s="9"/>
      <c r="C345" s="9"/>
      <c r="D345" s="9"/>
      <c r="E345" s="9"/>
      <c r="F345" s="9"/>
      <c r="G345" s="9"/>
      <c r="H345" s="9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9"/>
      <c r="B346" s="9"/>
      <c r="C346" s="9"/>
      <c r="D346" s="9"/>
      <c r="E346" s="9"/>
      <c r="F346" s="9"/>
      <c r="G346" s="9"/>
      <c r="H346" s="9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9"/>
      <c r="B347" s="9"/>
      <c r="C347" s="9"/>
      <c r="D347" s="9"/>
      <c r="E347" s="9"/>
      <c r="F347" s="9"/>
      <c r="G347" s="9"/>
      <c r="H347" s="9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9"/>
      <c r="B348" s="9"/>
      <c r="C348" s="9"/>
      <c r="D348" s="9"/>
      <c r="E348" s="9"/>
      <c r="F348" s="9"/>
      <c r="G348" s="9"/>
      <c r="H348" s="9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9"/>
      <c r="B349" s="9"/>
      <c r="C349" s="9"/>
      <c r="D349" s="9"/>
      <c r="E349" s="9"/>
      <c r="F349" s="9"/>
      <c r="G349" s="9"/>
      <c r="H349" s="9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9"/>
      <c r="B350" s="9"/>
      <c r="C350" s="9"/>
      <c r="D350" s="9"/>
      <c r="E350" s="9"/>
      <c r="F350" s="9"/>
      <c r="G350" s="9"/>
      <c r="H350" s="9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9"/>
      <c r="B351" s="9"/>
      <c r="C351" s="9"/>
      <c r="D351" s="9"/>
      <c r="E351" s="9"/>
      <c r="F351" s="9"/>
      <c r="G351" s="9"/>
      <c r="H351" s="9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9"/>
      <c r="B352" s="9"/>
      <c r="C352" s="9"/>
      <c r="D352" s="9"/>
      <c r="E352" s="9"/>
      <c r="F352" s="9"/>
      <c r="G352" s="9"/>
      <c r="H352" s="9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9"/>
      <c r="B353" s="9"/>
      <c r="C353" s="9"/>
      <c r="D353" s="9"/>
      <c r="E353" s="9"/>
      <c r="F353" s="9"/>
      <c r="G353" s="9"/>
      <c r="H353" s="9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9"/>
      <c r="B354" s="9"/>
      <c r="C354" s="9"/>
      <c r="D354" s="9"/>
      <c r="E354" s="9"/>
      <c r="F354" s="9"/>
      <c r="G354" s="9"/>
      <c r="H354" s="9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9"/>
      <c r="B355" s="9"/>
      <c r="C355" s="9"/>
      <c r="D355" s="9"/>
      <c r="E355" s="9"/>
      <c r="F355" s="9"/>
      <c r="G355" s="9"/>
      <c r="H355" s="9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9"/>
      <c r="B356" s="9"/>
      <c r="C356" s="9"/>
      <c r="D356" s="9"/>
      <c r="E356" s="9"/>
      <c r="F356" s="9"/>
      <c r="G356" s="9"/>
      <c r="H356" s="9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9"/>
      <c r="B357" s="9"/>
      <c r="C357" s="9"/>
      <c r="D357" s="9"/>
      <c r="E357" s="9"/>
      <c r="F357" s="9"/>
      <c r="G357" s="9"/>
      <c r="H357" s="9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9"/>
      <c r="B358" s="9"/>
      <c r="C358" s="9"/>
      <c r="D358" s="9"/>
      <c r="E358" s="9"/>
      <c r="F358" s="9"/>
      <c r="G358" s="9"/>
      <c r="H358" s="9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9"/>
      <c r="B359" s="9"/>
      <c r="C359" s="9"/>
      <c r="D359" s="9"/>
      <c r="E359" s="9"/>
      <c r="F359" s="9"/>
      <c r="G359" s="9"/>
      <c r="H359" s="9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9"/>
      <c r="B360" s="9"/>
      <c r="C360" s="9"/>
      <c r="D360" s="9"/>
      <c r="E360" s="9"/>
      <c r="F360" s="9"/>
      <c r="G360" s="9"/>
      <c r="H360" s="9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9"/>
      <c r="B361" s="9"/>
      <c r="C361" s="9"/>
      <c r="D361" s="9"/>
      <c r="E361" s="9"/>
      <c r="F361" s="9"/>
      <c r="G361" s="9"/>
      <c r="H361" s="9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9"/>
      <c r="B362" s="9"/>
      <c r="C362" s="9"/>
      <c r="D362" s="9"/>
      <c r="E362" s="9"/>
      <c r="F362" s="9"/>
      <c r="G362" s="9"/>
      <c r="H362" s="9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9"/>
      <c r="B363" s="9"/>
      <c r="C363" s="9"/>
      <c r="D363" s="9"/>
      <c r="E363" s="9"/>
      <c r="F363" s="9"/>
      <c r="G363" s="9"/>
      <c r="H363" s="9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9"/>
      <c r="B364" s="9"/>
      <c r="C364" s="9"/>
      <c r="D364" s="9"/>
      <c r="E364" s="9"/>
      <c r="F364" s="9"/>
      <c r="G364" s="9"/>
      <c r="H364" s="9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9"/>
      <c r="B365" s="9"/>
      <c r="C365" s="9"/>
      <c r="D365" s="9"/>
      <c r="E365" s="9"/>
      <c r="F365" s="9"/>
      <c r="G365" s="9"/>
      <c r="H365" s="9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9"/>
      <c r="B366" s="9"/>
      <c r="C366" s="9"/>
      <c r="D366" s="9"/>
      <c r="E366" s="9"/>
      <c r="F366" s="9"/>
      <c r="G366" s="9"/>
      <c r="H366" s="9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9"/>
      <c r="B367" s="9"/>
      <c r="C367" s="9"/>
      <c r="D367" s="9"/>
      <c r="E367" s="9"/>
      <c r="F367" s="9"/>
      <c r="G367" s="9"/>
      <c r="H367" s="9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9"/>
      <c r="B368" s="9"/>
      <c r="C368" s="9"/>
      <c r="D368" s="9"/>
      <c r="E368" s="9"/>
      <c r="F368" s="9"/>
      <c r="G368" s="9"/>
      <c r="H368" s="9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9"/>
      <c r="B369" s="9"/>
      <c r="C369" s="9"/>
      <c r="D369" s="9"/>
      <c r="E369" s="9"/>
      <c r="F369" s="9"/>
      <c r="G369" s="9"/>
      <c r="H369" s="9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9"/>
      <c r="B370" s="9"/>
      <c r="C370" s="9"/>
      <c r="D370" s="9"/>
      <c r="E370" s="9"/>
      <c r="F370" s="9"/>
      <c r="G370" s="9"/>
      <c r="H370" s="9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9"/>
      <c r="B371" s="9"/>
      <c r="C371" s="9"/>
      <c r="D371" s="9"/>
      <c r="E371" s="9"/>
      <c r="F371" s="9"/>
      <c r="G371" s="9"/>
      <c r="H371" s="9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9"/>
      <c r="B372" s="9"/>
      <c r="C372" s="9"/>
      <c r="D372" s="9"/>
      <c r="E372" s="9"/>
      <c r="F372" s="9"/>
      <c r="G372" s="9"/>
      <c r="H372" s="9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9"/>
      <c r="B373" s="9"/>
      <c r="C373" s="9"/>
      <c r="D373" s="9"/>
      <c r="E373" s="9"/>
      <c r="F373" s="9"/>
      <c r="G373" s="9"/>
      <c r="H373" s="9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9"/>
      <c r="B374" s="9"/>
      <c r="C374" s="9"/>
      <c r="D374" s="9"/>
      <c r="E374" s="9"/>
      <c r="F374" s="9"/>
      <c r="G374" s="9"/>
      <c r="H374" s="9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9"/>
      <c r="B375" s="9"/>
      <c r="C375" s="9"/>
      <c r="D375" s="9"/>
      <c r="E375" s="9"/>
      <c r="F375" s="9"/>
      <c r="G375" s="9"/>
      <c r="H375" s="9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9"/>
      <c r="B376" s="9"/>
      <c r="C376" s="9"/>
      <c r="D376" s="9"/>
      <c r="E376" s="9"/>
      <c r="F376" s="9"/>
      <c r="G376" s="9"/>
      <c r="H376" s="9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9"/>
      <c r="B377" s="9"/>
      <c r="C377" s="9"/>
      <c r="D377" s="9"/>
      <c r="E377" s="9"/>
      <c r="F377" s="9"/>
      <c r="G377" s="9"/>
      <c r="H377" s="9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9"/>
      <c r="B378" s="9"/>
      <c r="C378" s="9"/>
      <c r="D378" s="9"/>
      <c r="E378" s="9"/>
      <c r="F378" s="9"/>
      <c r="G378" s="9"/>
      <c r="H378" s="9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9"/>
      <c r="B379" s="9"/>
      <c r="C379" s="9"/>
      <c r="D379" s="9"/>
      <c r="E379" s="9"/>
      <c r="F379" s="9"/>
      <c r="G379" s="9"/>
      <c r="H379" s="9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9"/>
      <c r="B380" s="9"/>
      <c r="C380" s="9"/>
      <c r="D380" s="9"/>
      <c r="E380" s="9"/>
      <c r="F380" s="9"/>
      <c r="G380" s="9"/>
      <c r="H380" s="9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9"/>
      <c r="B381" s="9"/>
      <c r="C381" s="9"/>
      <c r="D381" s="9"/>
      <c r="E381" s="9"/>
      <c r="F381" s="9"/>
      <c r="G381" s="9"/>
      <c r="H381" s="9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9"/>
      <c r="B382" s="9"/>
      <c r="C382" s="9"/>
      <c r="D382" s="9"/>
      <c r="E382" s="9"/>
      <c r="F382" s="9"/>
      <c r="G382" s="9"/>
      <c r="H382" s="9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9"/>
      <c r="B383" s="9"/>
      <c r="C383" s="9"/>
      <c r="D383" s="9"/>
      <c r="E383" s="9"/>
      <c r="F383" s="9"/>
      <c r="G383" s="9"/>
      <c r="H383" s="9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9"/>
      <c r="B384" s="9"/>
      <c r="C384" s="9"/>
      <c r="D384" s="9"/>
      <c r="E384" s="9"/>
      <c r="F384" s="9"/>
      <c r="G384" s="9"/>
      <c r="H384" s="9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9"/>
      <c r="B385" s="9"/>
      <c r="C385" s="9"/>
      <c r="D385" s="9"/>
      <c r="E385" s="9"/>
      <c r="F385" s="9"/>
      <c r="G385" s="9"/>
      <c r="H385" s="9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9"/>
      <c r="B386" s="9"/>
      <c r="C386" s="9"/>
      <c r="D386" s="9"/>
      <c r="E386" s="9"/>
      <c r="F386" s="9"/>
      <c r="G386" s="9"/>
      <c r="H386" s="9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9"/>
      <c r="B387" s="9"/>
      <c r="C387" s="9"/>
      <c r="D387" s="9"/>
      <c r="E387" s="9"/>
      <c r="F387" s="9"/>
      <c r="G387" s="9"/>
      <c r="H387" s="9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9"/>
      <c r="B388" s="9"/>
      <c r="C388" s="9"/>
      <c r="D388" s="9"/>
      <c r="E388" s="9"/>
      <c r="F388" s="9"/>
      <c r="G388" s="9"/>
      <c r="H388" s="9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9"/>
      <c r="B389" s="9"/>
      <c r="C389" s="9"/>
      <c r="D389" s="9"/>
      <c r="E389" s="9"/>
      <c r="F389" s="9"/>
      <c r="G389" s="9"/>
      <c r="H389" s="9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9"/>
      <c r="B390" s="9"/>
      <c r="C390" s="9"/>
      <c r="D390" s="9"/>
      <c r="E390" s="9"/>
      <c r="F390" s="9"/>
      <c r="G390" s="9"/>
      <c r="H390" s="9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9"/>
      <c r="B391" s="9"/>
      <c r="C391" s="9"/>
      <c r="D391" s="9"/>
      <c r="E391" s="9"/>
      <c r="F391" s="9"/>
      <c r="G391" s="9"/>
      <c r="H391" s="9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9"/>
      <c r="B392" s="9"/>
      <c r="C392" s="9"/>
      <c r="D392" s="9"/>
      <c r="E392" s="9"/>
      <c r="F392" s="9"/>
      <c r="G392" s="9"/>
      <c r="H392" s="9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9"/>
      <c r="B393" s="9"/>
      <c r="C393" s="9"/>
      <c r="D393" s="9"/>
      <c r="E393" s="9"/>
      <c r="F393" s="9"/>
      <c r="G393" s="9"/>
      <c r="H393" s="9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9"/>
      <c r="B394" s="9"/>
      <c r="C394" s="9"/>
      <c r="D394" s="9"/>
      <c r="E394" s="9"/>
      <c r="F394" s="9"/>
      <c r="G394" s="9"/>
      <c r="H394" s="9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9"/>
      <c r="B395" s="9"/>
      <c r="C395" s="9"/>
      <c r="D395" s="9"/>
      <c r="E395" s="9"/>
      <c r="F395" s="9"/>
      <c r="G395" s="9"/>
      <c r="H395" s="9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9"/>
      <c r="B396" s="9"/>
      <c r="C396" s="9"/>
      <c r="D396" s="9"/>
      <c r="E396" s="9"/>
      <c r="F396" s="9"/>
      <c r="G396" s="9"/>
      <c r="H396" s="9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9"/>
      <c r="B397" s="9"/>
      <c r="C397" s="9"/>
      <c r="D397" s="9"/>
      <c r="E397" s="9"/>
      <c r="F397" s="9"/>
      <c r="G397" s="9"/>
      <c r="H397" s="9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9"/>
      <c r="B398" s="9"/>
      <c r="C398" s="9"/>
      <c r="D398" s="9"/>
      <c r="E398" s="9"/>
      <c r="F398" s="9"/>
      <c r="G398" s="9"/>
      <c r="H398" s="9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9"/>
      <c r="B399" s="9"/>
      <c r="C399" s="9"/>
      <c r="D399" s="9"/>
      <c r="E399" s="9"/>
      <c r="F399" s="9"/>
      <c r="G399" s="9"/>
      <c r="H399" s="9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9"/>
      <c r="B400" s="9"/>
      <c r="C400" s="9"/>
      <c r="D400" s="9"/>
      <c r="E400" s="9"/>
      <c r="F400" s="9"/>
      <c r="G400" s="9"/>
      <c r="H400" s="9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9"/>
      <c r="B401" s="9"/>
      <c r="C401" s="9"/>
      <c r="D401" s="9"/>
      <c r="E401" s="9"/>
      <c r="F401" s="9"/>
      <c r="G401" s="9"/>
      <c r="H401" s="9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9"/>
      <c r="B402" s="9"/>
      <c r="C402" s="9"/>
      <c r="D402" s="9"/>
      <c r="E402" s="9"/>
      <c r="F402" s="9"/>
      <c r="G402" s="9"/>
      <c r="H402" s="9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9"/>
      <c r="B403" s="9"/>
      <c r="C403" s="9"/>
      <c r="D403" s="9"/>
      <c r="E403" s="9"/>
      <c r="F403" s="9"/>
      <c r="G403" s="9"/>
      <c r="H403" s="9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9"/>
      <c r="B404" s="9"/>
      <c r="C404" s="9"/>
      <c r="D404" s="9"/>
      <c r="E404" s="9"/>
      <c r="F404" s="9"/>
      <c r="G404" s="9"/>
      <c r="H404" s="9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9"/>
      <c r="B405" s="9"/>
      <c r="C405" s="9"/>
      <c r="D405" s="9"/>
      <c r="E405" s="9"/>
      <c r="F405" s="9"/>
      <c r="G405" s="9"/>
      <c r="H405" s="9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9"/>
      <c r="B406" s="9"/>
      <c r="C406" s="9"/>
      <c r="D406" s="9"/>
      <c r="E406" s="9"/>
      <c r="F406" s="9"/>
      <c r="G406" s="9"/>
      <c r="H406" s="9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9"/>
      <c r="B407" s="9"/>
      <c r="C407" s="9"/>
      <c r="D407" s="9"/>
      <c r="E407" s="9"/>
      <c r="F407" s="9"/>
      <c r="G407" s="9"/>
      <c r="H407" s="9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9"/>
      <c r="B408" s="9"/>
      <c r="C408" s="9"/>
      <c r="D408" s="9"/>
      <c r="E408" s="9"/>
      <c r="F408" s="9"/>
      <c r="G408" s="9"/>
      <c r="H408" s="9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9"/>
      <c r="B409" s="9"/>
      <c r="C409" s="9"/>
      <c r="D409" s="9"/>
      <c r="E409" s="9"/>
      <c r="F409" s="9"/>
      <c r="G409" s="9"/>
      <c r="H409" s="9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9"/>
      <c r="B410" s="9"/>
      <c r="C410" s="9"/>
      <c r="D410" s="9"/>
      <c r="E410" s="9"/>
      <c r="F410" s="9"/>
      <c r="G410" s="9"/>
      <c r="H410" s="9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9"/>
      <c r="B411" s="9"/>
      <c r="C411" s="9"/>
      <c r="D411" s="9"/>
      <c r="E411" s="9"/>
      <c r="F411" s="9"/>
      <c r="G411" s="9"/>
      <c r="H411" s="9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9"/>
      <c r="B412" s="9"/>
      <c r="C412" s="9"/>
      <c r="D412" s="9"/>
      <c r="E412" s="9"/>
      <c r="F412" s="9"/>
      <c r="G412" s="9"/>
      <c r="H412" s="9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9"/>
      <c r="B413" s="9"/>
      <c r="C413" s="9"/>
      <c r="D413" s="9"/>
      <c r="E413" s="9"/>
      <c r="F413" s="9"/>
      <c r="G413" s="9"/>
      <c r="H413" s="9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9"/>
      <c r="B414" s="9"/>
      <c r="C414" s="9"/>
      <c r="D414" s="9"/>
      <c r="E414" s="9"/>
      <c r="F414" s="9"/>
      <c r="G414" s="9"/>
      <c r="H414" s="9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9"/>
      <c r="B415" s="9"/>
      <c r="C415" s="9"/>
      <c r="D415" s="9"/>
      <c r="E415" s="9"/>
      <c r="F415" s="9"/>
      <c r="G415" s="9"/>
      <c r="H415" s="9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9"/>
      <c r="B416" s="9"/>
      <c r="C416" s="9"/>
      <c r="D416" s="9"/>
      <c r="E416" s="9"/>
      <c r="F416" s="9"/>
      <c r="G416" s="9"/>
      <c r="H416" s="9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9"/>
      <c r="B417" s="9"/>
      <c r="C417" s="9"/>
      <c r="D417" s="9"/>
      <c r="E417" s="9"/>
      <c r="F417" s="9"/>
      <c r="G417" s="9"/>
      <c r="H417" s="9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9"/>
      <c r="B418" s="9"/>
      <c r="C418" s="9"/>
      <c r="D418" s="9"/>
      <c r="E418" s="9"/>
      <c r="F418" s="9"/>
      <c r="G418" s="9"/>
      <c r="H418" s="9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9"/>
      <c r="B419" s="9"/>
      <c r="C419" s="9"/>
      <c r="D419" s="9"/>
      <c r="E419" s="9"/>
      <c r="F419" s="9"/>
      <c r="G419" s="9"/>
      <c r="H419" s="9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9"/>
      <c r="B420" s="9"/>
      <c r="C420" s="9"/>
      <c r="D420" s="9"/>
      <c r="E420" s="9"/>
      <c r="F420" s="9"/>
      <c r="G420" s="9"/>
      <c r="H420" s="9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9"/>
      <c r="B421" s="9"/>
      <c r="C421" s="9"/>
      <c r="D421" s="9"/>
      <c r="E421" s="9"/>
      <c r="F421" s="9"/>
      <c r="G421" s="9"/>
      <c r="H421" s="9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9"/>
      <c r="B422" s="9"/>
      <c r="C422" s="9"/>
      <c r="D422" s="9"/>
      <c r="E422" s="9"/>
      <c r="F422" s="9"/>
      <c r="G422" s="9"/>
      <c r="H422" s="9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9"/>
      <c r="B423" s="9"/>
      <c r="C423" s="9"/>
      <c r="D423" s="9"/>
      <c r="E423" s="9"/>
      <c r="F423" s="9"/>
      <c r="G423" s="9"/>
      <c r="H423" s="9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9"/>
      <c r="B424" s="9"/>
      <c r="C424" s="9"/>
      <c r="D424" s="9"/>
      <c r="E424" s="9"/>
      <c r="F424" s="9"/>
      <c r="G424" s="9"/>
      <c r="H424" s="9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9"/>
      <c r="B425" s="9"/>
      <c r="C425" s="9"/>
      <c r="D425" s="9"/>
      <c r="E425" s="9"/>
      <c r="F425" s="9"/>
      <c r="G425" s="9"/>
      <c r="H425" s="9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9"/>
      <c r="B426" s="9"/>
      <c r="C426" s="9"/>
      <c r="D426" s="9"/>
      <c r="E426" s="9"/>
      <c r="F426" s="9"/>
      <c r="G426" s="9"/>
      <c r="H426" s="9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9"/>
      <c r="B427" s="9"/>
      <c r="C427" s="9"/>
      <c r="D427" s="9"/>
      <c r="E427" s="9"/>
      <c r="F427" s="9"/>
      <c r="G427" s="9"/>
      <c r="H427" s="9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9"/>
      <c r="B428" s="9"/>
      <c r="C428" s="9"/>
      <c r="D428" s="9"/>
      <c r="E428" s="9"/>
      <c r="F428" s="9"/>
      <c r="G428" s="9"/>
      <c r="H428" s="9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9"/>
      <c r="B429" s="9"/>
      <c r="C429" s="9"/>
      <c r="D429" s="9"/>
      <c r="E429" s="9"/>
      <c r="F429" s="9"/>
      <c r="G429" s="9"/>
      <c r="H429" s="9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9"/>
      <c r="B430" s="9"/>
      <c r="C430" s="9"/>
      <c r="D430" s="9"/>
      <c r="E430" s="9"/>
      <c r="F430" s="9"/>
      <c r="G430" s="9"/>
      <c r="H430" s="9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9"/>
      <c r="B431" s="9"/>
      <c r="C431" s="9"/>
      <c r="D431" s="9"/>
      <c r="E431" s="9"/>
      <c r="F431" s="9"/>
      <c r="G431" s="9"/>
      <c r="H431" s="9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9"/>
      <c r="B432" s="9"/>
      <c r="C432" s="9"/>
      <c r="D432" s="9"/>
      <c r="E432" s="9"/>
      <c r="F432" s="9"/>
      <c r="G432" s="9"/>
      <c r="H432" s="9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9"/>
      <c r="B433" s="9"/>
      <c r="C433" s="9"/>
      <c r="D433" s="9"/>
      <c r="E433" s="9"/>
      <c r="F433" s="9"/>
      <c r="G433" s="9"/>
      <c r="H433" s="9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9"/>
      <c r="B434" s="9"/>
      <c r="C434" s="9"/>
      <c r="D434" s="9"/>
      <c r="E434" s="9"/>
      <c r="F434" s="9"/>
      <c r="G434" s="9"/>
      <c r="H434" s="9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9"/>
      <c r="B435" s="9"/>
      <c r="C435" s="9"/>
      <c r="D435" s="9"/>
      <c r="E435" s="9"/>
      <c r="F435" s="9"/>
      <c r="G435" s="9"/>
      <c r="H435" s="9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9"/>
      <c r="B436" s="9"/>
      <c r="C436" s="9"/>
      <c r="D436" s="9"/>
      <c r="E436" s="9"/>
      <c r="F436" s="9"/>
      <c r="G436" s="9"/>
      <c r="H436" s="9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9"/>
      <c r="B437" s="9"/>
      <c r="C437" s="9"/>
      <c r="D437" s="9"/>
      <c r="E437" s="9"/>
      <c r="F437" s="9"/>
      <c r="G437" s="9"/>
      <c r="H437" s="9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9"/>
      <c r="B438" s="9"/>
      <c r="C438" s="9"/>
      <c r="D438" s="9"/>
      <c r="E438" s="9"/>
      <c r="F438" s="9"/>
      <c r="G438" s="9"/>
      <c r="H438" s="9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9"/>
      <c r="B439" s="9"/>
      <c r="C439" s="9"/>
      <c r="D439" s="9"/>
      <c r="E439" s="9"/>
      <c r="F439" s="9"/>
      <c r="G439" s="9"/>
      <c r="H439" s="9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9"/>
      <c r="B440" s="9"/>
      <c r="C440" s="9"/>
      <c r="D440" s="9"/>
      <c r="E440" s="9"/>
      <c r="F440" s="9"/>
      <c r="G440" s="9"/>
      <c r="H440" s="9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9"/>
      <c r="B441" s="9"/>
      <c r="C441" s="9"/>
      <c r="D441" s="9"/>
      <c r="E441" s="9"/>
      <c r="F441" s="9"/>
      <c r="G441" s="9"/>
      <c r="H441" s="9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9"/>
      <c r="B442" s="9"/>
      <c r="C442" s="9"/>
      <c r="D442" s="9"/>
      <c r="E442" s="9"/>
      <c r="F442" s="9"/>
      <c r="G442" s="9"/>
      <c r="H442" s="9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9"/>
      <c r="B443" s="9"/>
      <c r="C443" s="9"/>
      <c r="D443" s="9"/>
      <c r="E443" s="9"/>
      <c r="F443" s="9"/>
      <c r="G443" s="9"/>
      <c r="H443" s="9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9"/>
      <c r="B444" s="9"/>
      <c r="C444" s="9"/>
      <c r="D444" s="9"/>
      <c r="E444" s="9"/>
      <c r="F444" s="9"/>
      <c r="G444" s="9"/>
      <c r="H444" s="9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9"/>
      <c r="B445" s="9"/>
      <c r="C445" s="9"/>
      <c r="D445" s="9"/>
      <c r="E445" s="9"/>
      <c r="F445" s="9"/>
      <c r="G445" s="9"/>
      <c r="H445" s="9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9"/>
      <c r="B446" s="9"/>
      <c r="C446" s="9"/>
      <c r="D446" s="9"/>
      <c r="E446" s="9"/>
      <c r="F446" s="9"/>
      <c r="G446" s="9"/>
      <c r="H446" s="9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9"/>
      <c r="B447" s="9"/>
      <c r="C447" s="9"/>
      <c r="D447" s="9"/>
      <c r="E447" s="9"/>
      <c r="F447" s="9"/>
      <c r="G447" s="9"/>
      <c r="H447" s="9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9"/>
      <c r="B448" s="9"/>
      <c r="C448" s="9"/>
      <c r="D448" s="9"/>
      <c r="E448" s="9"/>
      <c r="F448" s="9"/>
      <c r="G448" s="9"/>
      <c r="H448" s="9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9"/>
      <c r="B449" s="9"/>
      <c r="C449" s="9"/>
      <c r="D449" s="9"/>
      <c r="E449" s="9"/>
      <c r="F449" s="9"/>
      <c r="G449" s="9"/>
      <c r="H449" s="9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9"/>
      <c r="B450" s="9"/>
      <c r="C450" s="9"/>
      <c r="D450" s="9"/>
      <c r="E450" s="9"/>
      <c r="F450" s="9"/>
      <c r="G450" s="9"/>
      <c r="H450" s="9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9"/>
      <c r="B451" s="9"/>
      <c r="C451" s="9"/>
      <c r="D451" s="9"/>
      <c r="E451" s="9"/>
      <c r="F451" s="9"/>
      <c r="G451" s="9"/>
      <c r="H451" s="9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9"/>
      <c r="B452" s="9"/>
      <c r="C452" s="9"/>
      <c r="D452" s="9"/>
      <c r="E452" s="9"/>
      <c r="F452" s="9"/>
      <c r="G452" s="9"/>
      <c r="H452" s="9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9"/>
      <c r="B453" s="9"/>
      <c r="C453" s="9"/>
      <c r="D453" s="9"/>
      <c r="E453" s="9"/>
      <c r="F453" s="9"/>
      <c r="G453" s="9"/>
      <c r="H453" s="9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9"/>
      <c r="B454" s="9"/>
      <c r="C454" s="9"/>
      <c r="D454" s="9"/>
      <c r="E454" s="9"/>
      <c r="F454" s="9"/>
      <c r="G454" s="9"/>
      <c r="H454" s="9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9"/>
      <c r="B455" s="9"/>
      <c r="C455" s="9"/>
      <c r="D455" s="9"/>
      <c r="E455" s="9"/>
      <c r="F455" s="9"/>
      <c r="G455" s="9"/>
      <c r="H455" s="9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9"/>
      <c r="B456" s="9"/>
      <c r="C456" s="9"/>
      <c r="D456" s="9"/>
      <c r="E456" s="9"/>
      <c r="F456" s="9"/>
      <c r="G456" s="9"/>
      <c r="H456" s="9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9"/>
      <c r="B457" s="9"/>
      <c r="C457" s="9"/>
      <c r="D457" s="9"/>
      <c r="E457" s="9"/>
      <c r="F457" s="9"/>
      <c r="G457" s="9"/>
      <c r="H457" s="9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9"/>
      <c r="B458" s="9"/>
      <c r="C458" s="9"/>
      <c r="D458" s="9"/>
      <c r="E458" s="9"/>
      <c r="F458" s="9"/>
      <c r="G458" s="9"/>
      <c r="H458" s="9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9"/>
      <c r="B459" s="9"/>
      <c r="C459" s="9"/>
      <c r="D459" s="9"/>
      <c r="E459" s="9"/>
      <c r="F459" s="9"/>
      <c r="G459" s="9"/>
      <c r="H459" s="9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9"/>
      <c r="B460" s="9"/>
      <c r="C460" s="9"/>
      <c r="D460" s="9"/>
      <c r="E460" s="9"/>
      <c r="F460" s="9"/>
      <c r="G460" s="9"/>
      <c r="H460" s="9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9"/>
      <c r="B461" s="9"/>
      <c r="C461" s="9"/>
      <c r="D461" s="9"/>
      <c r="E461" s="9"/>
      <c r="F461" s="9"/>
      <c r="G461" s="9"/>
      <c r="H461" s="9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9"/>
      <c r="B462" s="9"/>
      <c r="C462" s="9"/>
      <c r="D462" s="9"/>
      <c r="E462" s="9"/>
      <c r="F462" s="9"/>
      <c r="G462" s="9"/>
      <c r="H462" s="9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9"/>
      <c r="B463" s="9"/>
      <c r="C463" s="9"/>
      <c r="D463" s="9"/>
      <c r="E463" s="9"/>
      <c r="F463" s="9"/>
      <c r="G463" s="9"/>
      <c r="H463" s="9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9"/>
      <c r="B464" s="9"/>
      <c r="C464" s="9"/>
      <c r="D464" s="9"/>
      <c r="E464" s="9"/>
      <c r="F464" s="9"/>
      <c r="G464" s="9"/>
      <c r="H464" s="9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9"/>
      <c r="B465" s="9"/>
      <c r="C465" s="9"/>
      <c r="D465" s="9"/>
      <c r="E465" s="9"/>
      <c r="F465" s="9"/>
      <c r="G465" s="9"/>
      <c r="H465" s="9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9"/>
      <c r="B466" s="9"/>
      <c r="C466" s="9"/>
      <c r="D466" s="9"/>
      <c r="E466" s="9"/>
      <c r="F466" s="9"/>
      <c r="G466" s="9"/>
      <c r="H466" s="9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9"/>
      <c r="B467" s="9"/>
      <c r="C467" s="9"/>
      <c r="D467" s="9"/>
      <c r="E467" s="9"/>
      <c r="F467" s="9"/>
      <c r="G467" s="9"/>
      <c r="H467" s="9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9"/>
      <c r="B468" s="9"/>
      <c r="C468" s="9"/>
      <c r="D468" s="9"/>
      <c r="E468" s="9"/>
      <c r="F468" s="9"/>
      <c r="G468" s="9"/>
      <c r="H468" s="9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9"/>
      <c r="B469" s="9"/>
      <c r="C469" s="9"/>
      <c r="D469" s="9"/>
      <c r="E469" s="9"/>
      <c r="F469" s="9"/>
      <c r="G469" s="9"/>
      <c r="H469" s="9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9"/>
      <c r="B470" s="9"/>
      <c r="C470" s="9"/>
      <c r="D470" s="9"/>
      <c r="E470" s="9"/>
      <c r="F470" s="9"/>
      <c r="G470" s="9"/>
      <c r="H470" s="9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9"/>
      <c r="B471" s="9"/>
      <c r="C471" s="9"/>
      <c r="D471" s="9"/>
      <c r="E471" s="9"/>
      <c r="F471" s="9"/>
      <c r="G471" s="9"/>
      <c r="H471" s="9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9"/>
      <c r="B472" s="9"/>
      <c r="C472" s="9"/>
      <c r="D472" s="9"/>
      <c r="E472" s="9"/>
      <c r="F472" s="9"/>
      <c r="G472" s="9"/>
      <c r="H472" s="9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9"/>
      <c r="B473" s="9"/>
      <c r="C473" s="9"/>
      <c r="D473" s="9"/>
      <c r="E473" s="9"/>
      <c r="F473" s="9"/>
      <c r="G473" s="9"/>
      <c r="H473" s="9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9"/>
      <c r="B474" s="9"/>
      <c r="C474" s="9"/>
      <c r="D474" s="9"/>
      <c r="E474" s="9"/>
      <c r="F474" s="9"/>
      <c r="G474" s="9"/>
      <c r="H474" s="9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9"/>
      <c r="B475" s="9"/>
      <c r="C475" s="9"/>
      <c r="D475" s="9"/>
      <c r="E475" s="9"/>
      <c r="F475" s="9"/>
      <c r="G475" s="9"/>
      <c r="H475" s="9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9"/>
      <c r="B476" s="9"/>
      <c r="C476" s="9"/>
      <c r="D476" s="9"/>
      <c r="E476" s="9"/>
      <c r="F476" s="9"/>
      <c r="G476" s="9"/>
      <c r="H476" s="9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9"/>
      <c r="B477" s="9"/>
      <c r="C477" s="9"/>
      <c r="D477" s="9"/>
      <c r="E477" s="9"/>
      <c r="F477" s="9"/>
      <c r="G477" s="9"/>
      <c r="H477" s="9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9"/>
      <c r="B478" s="9"/>
      <c r="C478" s="9"/>
      <c r="D478" s="9"/>
      <c r="E478" s="9"/>
      <c r="F478" s="9"/>
      <c r="G478" s="9"/>
      <c r="H478" s="9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9"/>
      <c r="B479" s="9"/>
      <c r="C479" s="9"/>
      <c r="D479" s="9"/>
      <c r="E479" s="9"/>
      <c r="F479" s="9"/>
      <c r="G479" s="9"/>
      <c r="H479" s="9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9"/>
      <c r="B480" s="9"/>
      <c r="C480" s="9"/>
      <c r="D480" s="9"/>
      <c r="E480" s="9"/>
      <c r="F480" s="9"/>
      <c r="G480" s="9"/>
      <c r="H480" s="9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9"/>
      <c r="B481" s="9"/>
      <c r="C481" s="9"/>
      <c r="D481" s="9"/>
      <c r="E481" s="9"/>
      <c r="F481" s="9"/>
      <c r="G481" s="9"/>
      <c r="H481" s="9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9"/>
      <c r="B482" s="9"/>
      <c r="C482" s="9"/>
      <c r="D482" s="9"/>
      <c r="E482" s="9"/>
      <c r="F482" s="9"/>
      <c r="G482" s="9"/>
      <c r="H482" s="9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9"/>
      <c r="B483" s="9"/>
      <c r="C483" s="9"/>
      <c r="D483" s="9"/>
      <c r="E483" s="9"/>
      <c r="F483" s="9"/>
      <c r="G483" s="9"/>
      <c r="H483" s="9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9"/>
      <c r="B484" s="9"/>
      <c r="C484" s="9"/>
      <c r="D484" s="9"/>
      <c r="E484" s="9"/>
      <c r="F484" s="9"/>
      <c r="G484" s="9"/>
      <c r="H484" s="9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9"/>
      <c r="B485" s="9"/>
      <c r="C485" s="9"/>
      <c r="D485" s="9"/>
      <c r="E485" s="9"/>
      <c r="F485" s="9"/>
      <c r="G485" s="9"/>
      <c r="H485" s="9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9"/>
      <c r="B486" s="9"/>
      <c r="C486" s="9"/>
      <c r="D486" s="9"/>
      <c r="E486" s="9"/>
      <c r="F486" s="9"/>
      <c r="G486" s="9"/>
      <c r="H486" s="9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9"/>
      <c r="B487" s="9"/>
      <c r="C487" s="9"/>
      <c r="D487" s="9"/>
      <c r="E487" s="9"/>
      <c r="F487" s="9"/>
      <c r="G487" s="9"/>
      <c r="H487" s="9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9"/>
      <c r="B488" s="9"/>
      <c r="C488" s="9"/>
      <c r="D488" s="9"/>
      <c r="E488" s="9"/>
      <c r="F488" s="9"/>
      <c r="G488" s="9"/>
      <c r="H488" s="9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9"/>
      <c r="B489" s="9"/>
      <c r="C489" s="9"/>
      <c r="D489" s="9"/>
      <c r="E489" s="9"/>
      <c r="F489" s="9"/>
      <c r="G489" s="9"/>
      <c r="H489" s="9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9"/>
      <c r="B490" s="9"/>
      <c r="C490" s="9"/>
      <c r="D490" s="9"/>
      <c r="E490" s="9"/>
      <c r="F490" s="9"/>
      <c r="G490" s="9"/>
      <c r="H490" s="9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9"/>
      <c r="B491" s="9"/>
      <c r="C491" s="9"/>
      <c r="D491" s="9"/>
      <c r="E491" s="9"/>
      <c r="F491" s="9"/>
      <c r="G491" s="9"/>
      <c r="H491" s="9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9"/>
      <c r="B492" s="9"/>
      <c r="C492" s="9"/>
      <c r="D492" s="9"/>
      <c r="E492" s="9"/>
      <c r="F492" s="9"/>
      <c r="G492" s="9"/>
      <c r="H492" s="9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9"/>
      <c r="B493" s="9"/>
      <c r="C493" s="9"/>
      <c r="D493" s="9"/>
      <c r="E493" s="9"/>
      <c r="F493" s="9"/>
      <c r="G493" s="9"/>
      <c r="H493" s="9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9"/>
      <c r="B494" s="9"/>
      <c r="C494" s="9"/>
      <c r="D494" s="9"/>
      <c r="E494" s="9"/>
      <c r="F494" s="9"/>
      <c r="G494" s="9"/>
      <c r="H494" s="9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9"/>
      <c r="B495" s="9"/>
      <c r="C495" s="9"/>
      <c r="D495" s="9"/>
      <c r="E495" s="9"/>
      <c r="F495" s="9"/>
      <c r="G495" s="9"/>
      <c r="H495" s="9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9"/>
      <c r="B496" s="9"/>
      <c r="C496" s="9"/>
      <c r="D496" s="9"/>
      <c r="E496" s="9"/>
      <c r="F496" s="9"/>
      <c r="G496" s="9"/>
      <c r="H496" s="9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9"/>
      <c r="B497" s="9"/>
      <c r="C497" s="9"/>
      <c r="D497" s="9"/>
      <c r="E497" s="9"/>
      <c r="F497" s="9"/>
      <c r="G497" s="9"/>
      <c r="H497" s="9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9"/>
      <c r="B498" s="9"/>
      <c r="C498" s="9"/>
      <c r="D498" s="9"/>
      <c r="E498" s="9"/>
      <c r="F498" s="9"/>
      <c r="G498" s="9"/>
      <c r="H498" s="9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9"/>
      <c r="B499" s="9"/>
      <c r="C499" s="9"/>
      <c r="D499" s="9"/>
      <c r="E499" s="9"/>
      <c r="F499" s="9"/>
      <c r="G499" s="9"/>
      <c r="H499" s="9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9"/>
      <c r="B500" s="9"/>
      <c r="C500" s="9"/>
      <c r="D500" s="9"/>
      <c r="E500" s="9"/>
      <c r="F500" s="9"/>
      <c r="G500" s="9"/>
      <c r="H500" s="9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9"/>
      <c r="B501" s="9"/>
      <c r="C501" s="9"/>
      <c r="D501" s="9"/>
      <c r="E501" s="9"/>
      <c r="F501" s="9"/>
      <c r="G501" s="9"/>
      <c r="H501" s="9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9"/>
      <c r="B502" s="9"/>
      <c r="C502" s="9"/>
      <c r="D502" s="9"/>
      <c r="E502" s="9"/>
      <c r="F502" s="9"/>
      <c r="G502" s="9"/>
      <c r="H502" s="9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9"/>
      <c r="B503" s="9"/>
      <c r="C503" s="9"/>
      <c r="D503" s="9"/>
      <c r="E503" s="9"/>
      <c r="F503" s="9"/>
      <c r="G503" s="9"/>
      <c r="H503" s="9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9"/>
      <c r="B504" s="9"/>
      <c r="C504" s="9"/>
      <c r="D504" s="9"/>
      <c r="E504" s="9"/>
      <c r="F504" s="9"/>
      <c r="G504" s="9"/>
      <c r="H504" s="9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9"/>
      <c r="B505" s="9"/>
      <c r="C505" s="9"/>
      <c r="D505" s="9"/>
      <c r="E505" s="9"/>
      <c r="F505" s="9"/>
      <c r="G505" s="9"/>
      <c r="H505" s="9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9"/>
      <c r="B506" s="9"/>
      <c r="C506" s="9"/>
      <c r="D506" s="9"/>
      <c r="E506" s="9"/>
      <c r="F506" s="9"/>
      <c r="G506" s="9"/>
      <c r="H506" s="9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9"/>
      <c r="B507" s="9"/>
      <c r="C507" s="9"/>
      <c r="D507" s="9"/>
      <c r="E507" s="9"/>
      <c r="F507" s="9"/>
      <c r="G507" s="9"/>
      <c r="H507" s="9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9"/>
      <c r="B508" s="9"/>
      <c r="C508" s="9"/>
      <c r="D508" s="9"/>
      <c r="E508" s="9"/>
      <c r="F508" s="9"/>
      <c r="G508" s="9"/>
      <c r="H508" s="9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9"/>
      <c r="B509" s="9"/>
      <c r="C509" s="9"/>
      <c r="D509" s="9"/>
      <c r="E509" s="9"/>
      <c r="F509" s="9"/>
      <c r="G509" s="9"/>
      <c r="H509" s="9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9"/>
      <c r="B510" s="9"/>
      <c r="C510" s="9"/>
      <c r="D510" s="9"/>
      <c r="E510" s="9"/>
      <c r="F510" s="9"/>
      <c r="G510" s="9"/>
      <c r="H510" s="9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9"/>
      <c r="B511" s="9"/>
      <c r="C511" s="9"/>
      <c r="D511" s="9"/>
      <c r="E511" s="9"/>
      <c r="F511" s="9"/>
      <c r="G511" s="9"/>
      <c r="H511" s="9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9"/>
      <c r="B512" s="9"/>
      <c r="C512" s="9"/>
      <c r="D512" s="9"/>
      <c r="E512" s="9"/>
      <c r="F512" s="9"/>
      <c r="G512" s="9"/>
      <c r="H512" s="9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9"/>
      <c r="B513" s="9"/>
      <c r="C513" s="9"/>
      <c r="D513" s="9"/>
      <c r="E513" s="9"/>
      <c r="F513" s="9"/>
      <c r="G513" s="9"/>
      <c r="H513" s="9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9"/>
      <c r="B514" s="9"/>
      <c r="C514" s="9"/>
      <c r="D514" s="9"/>
      <c r="E514" s="9"/>
      <c r="F514" s="9"/>
      <c r="G514" s="9"/>
      <c r="H514" s="9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9"/>
      <c r="B515" s="9"/>
      <c r="C515" s="9"/>
      <c r="D515" s="9"/>
      <c r="E515" s="9"/>
      <c r="F515" s="9"/>
      <c r="G515" s="9"/>
      <c r="H515" s="9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9"/>
      <c r="B516" s="9"/>
      <c r="C516" s="9"/>
      <c r="D516" s="9"/>
      <c r="E516" s="9"/>
      <c r="F516" s="9"/>
      <c r="G516" s="9"/>
      <c r="H516" s="9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9"/>
      <c r="B517" s="9"/>
      <c r="C517" s="9"/>
      <c r="D517" s="9"/>
      <c r="E517" s="9"/>
      <c r="F517" s="9"/>
      <c r="G517" s="9"/>
      <c r="H517" s="9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9"/>
      <c r="B518" s="9"/>
      <c r="C518" s="9"/>
      <c r="D518" s="9"/>
      <c r="E518" s="9"/>
      <c r="F518" s="9"/>
      <c r="G518" s="9"/>
      <c r="H518" s="9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9"/>
      <c r="B519" s="9"/>
      <c r="C519" s="9"/>
      <c r="D519" s="9"/>
      <c r="E519" s="9"/>
      <c r="F519" s="9"/>
      <c r="G519" s="9"/>
      <c r="H519" s="9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9"/>
      <c r="B520" s="9"/>
      <c r="C520" s="9"/>
      <c r="D520" s="9"/>
      <c r="E520" s="9"/>
      <c r="F520" s="9"/>
      <c r="G520" s="9"/>
      <c r="H520" s="9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9"/>
      <c r="B521" s="9"/>
      <c r="C521" s="9"/>
      <c r="D521" s="9"/>
      <c r="E521" s="9"/>
      <c r="F521" s="9"/>
      <c r="G521" s="9"/>
      <c r="H521" s="9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9"/>
      <c r="B522" s="9"/>
      <c r="C522" s="9"/>
      <c r="D522" s="9"/>
      <c r="E522" s="9"/>
      <c r="F522" s="9"/>
      <c r="G522" s="9"/>
      <c r="H522" s="9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9"/>
      <c r="B523" s="9"/>
      <c r="C523" s="9"/>
      <c r="D523" s="9"/>
      <c r="E523" s="9"/>
      <c r="F523" s="9"/>
      <c r="G523" s="9"/>
      <c r="H523" s="9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9"/>
      <c r="B524" s="9"/>
      <c r="C524" s="9"/>
      <c r="D524" s="9"/>
      <c r="E524" s="9"/>
      <c r="F524" s="9"/>
      <c r="G524" s="9"/>
      <c r="H524" s="9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9"/>
      <c r="B525" s="9"/>
      <c r="C525" s="9"/>
      <c r="D525" s="9"/>
      <c r="E525" s="9"/>
      <c r="F525" s="9"/>
      <c r="G525" s="9"/>
      <c r="H525" s="9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9"/>
      <c r="B526" s="9"/>
      <c r="C526" s="9"/>
      <c r="D526" s="9"/>
      <c r="E526" s="9"/>
      <c r="F526" s="9"/>
      <c r="G526" s="9"/>
      <c r="H526" s="9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9"/>
      <c r="B527" s="9"/>
      <c r="C527" s="9"/>
      <c r="D527" s="9"/>
      <c r="E527" s="9"/>
      <c r="F527" s="9"/>
      <c r="G527" s="9"/>
      <c r="H527" s="9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9"/>
      <c r="B528" s="9"/>
      <c r="C528" s="9"/>
      <c r="D528" s="9"/>
      <c r="E528" s="9"/>
      <c r="F528" s="9"/>
      <c r="G528" s="9"/>
      <c r="H528" s="9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9"/>
      <c r="B529" s="9"/>
      <c r="C529" s="9"/>
      <c r="D529" s="9"/>
      <c r="E529" s="9"/>
      <c r="F529" s="9"/>
      <c r="G529" s="9"/>
      <c r="H529" s="9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9"/>
      <c r="B530" s="9"/>
      <c r="C530" s="9"/>
      <c r="D530" s="9"/>
      <c r="E530" s="9"/>
      <c r="F530" s="9"/>
      <c r="G530" s="9"/>
      <c r="H530" s="9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9"/>
      <c r="B531" s="9"/>
      <c r="C531" s="9"/>
      <c r="D531" s="9"/>
      <c r="E531" s="9"/>
      <c r="F531" s="9"/>
      <c r="G531" s="9"/>
      <c r="H531" s="9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9"/>
      <c r="B532" s="9"/>
      <c r="C532" s="9"/>
      <c r="D532" s="9"/>
      <c r="E532" s="9"/>
      <c r="F532" s="9"/>
      <c r="G532" s="9"/>
      <c r="H532" s="9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9"/>
      <c r="B533" s="9"/>
      <c r="C533" s="9"/>
      <c r="D533" s="9"/>
      <c r="E533" s="9"/>
      <c r="F533" s="9"/>
      <c r="G533" s="9"/>
      <c r="H533" s="9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9"/>
      <c r="B534" s="9"/>
      <c r="C534" s="9"/>
      <c r="D534" s="9"/>
      <c r="E534" s="9"/>
      <c r="F534" s="9"/>
      <c r="G534" s="9"/>
      <c r="H534" s="9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9"/>
      <c r="B535" s="9"/>
      <c r="C535" s="9"/>
      <c r="D535" s="9"/>
      <c r="E535" s="9"/>
      <c r="F535" s="9"/>
      <c r="G535" s="9"/>
      <c r="H535" s="9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9"/>
      <c r="B536" s="9"/>
      <c r="C536" s="9"/>
      <c r="D536" s="9"/>
      <c r="E536" s="9"/>
      <c r="F536" s="9"/>
      <c r="G536" s="9"/>
      <c r="H536" s="9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9"/>
      <c r="B537" s="9"/>
      <c r="C537" s="9"/>
      <c r="D537" s="9"/>
      <c r="E537" s="9"/>
      <c r="F537" s="9"/>
      <c r="G537" s="9"/>
      <c r="H537" s="9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9"/>
      <c r="B538" s="9"/>
      <c r="C538" s="9"/>
      <c r="D538" s="9"/>
      <c r="E538" s="9"/>
      <c r="F538" s="9"/>
      <c r="G538" s="9"/>
      <c r="H538" s="9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9"/>
      <c r="B539" s="9"/>
      <c r="C539" s="9"/>
      <c r="D539" s="9"/>
      <c r="E539" s="9"/>
      <c r="F539" s="9"/>
      <c r="G539" s="9"/>
      <c r="H539" s="9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9"/>
      <c r="B540" s="9"/>
      <c r="C540" s="9"/>
      <c r="D540" s="9"/>
      <c r="E540" s="9"/>
      <c r="F540" s="9"/>
      <c r="G540" s="9"/>
      <c r="H540" s="9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9"/>
      <c r="B541" s="9"/>
      <c r="C541" s="9"/>
      <c r="D541" s="9"/>
      <c r="E541" s="9"/>
      <c r="F541" s="9"/>
      <c r="G541" s="9"/>
      <c r="H541" s="9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9"/>
      <c r="B542" s="9"/>
      <c r="C542" s="9"/>
      <c r="D542" s="9"/>
      <c r="E542" s="9"/>
      <c r="F542" s="9"/>
      <c r="G542" s="9"/>
      <c r="H542" s="9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9"/>
      <c r="B543" s="9"/>
      <c r="C543" s="9"/>
      <c r="D543" s="9"/>
      <c r="E543" s="9"/>
      <c r="F543" s="9"/>
      <c r="G543" s="9"/>
      <c r="H543" s="9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9"/>
      <c r="B544" s="9"/>
      <c r="C544" s="9"/>
      <c r="D544" s="9"/>
      <c r="E544" s="9"/>
      <c r="F544" s="9"/>
      <c r="G544" s="9"/>
      <c r="H544" s="9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9"/>
      <c r="B545" s="9"/>
      <c r="C545" s="9"/>
      <c r="D545" s="9"/>
      <c r="E545" s="9"/>
      <c r="F545" s="9"/>
      <c r="G545" s="9"/>
      <c r="H545" s="9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9"/>
      <c r="B546" s="9"/>
      <c r="C546" s="9"/>
      <c r="D546" s="9"/>
      <c r="E546" s="9"/>
      <c r="F546" s="9"/>
      <c r="G546" s="9"/>
      <c r="H546" s="9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9"/>
      <c r="B547" s="9"/>
      <c r="C547" s="9"/>
      <c r="D547" s="9"/>
      <c r="E547" s="9"/>
      <c r="F547" s="9"/>
      <c r="G547" s="9"/>
      <c r="H547" s="9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9"/>
      <c r="B548" s="9"/>
      <c r="C548" s="9"/>
      <c r="D548" s="9"/>
      <c r="E548" s="9"/>
      <c r="F548" s="9"/>
      <c r="G548" s="9"/>
      <c r="H548" s="9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9"/>
      <c r="B549" s="9"/>
      <c r="C549" s="9"/>
      <c r="D549" s="9"/>
      <c r="E549" s="9"/>
      <c r="F549" s="9"/>
      <c r="G549" s="9"/>
      <c r="H549" s="9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9"/>
      <c r="B550" s="9"/>
      <c r="C550" s="9"/>
      <c r="D550" s="9"/>
      <c r="E550" s="9"/>
      <c r="F550" s="9"/>
      <c r="G550" s="9"/>
      <c r="H550" s="9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9"/>
      <c r="B551" s="9"/>
      <c r="C551" s="9"/>
      <c r="D551" s="9"/>
      <c r="E551" s="9"/>
      <c r="F551" s="9"/>
      <c r="G551" s="9"/>
      <c r="H551" s="9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9"/>
      <c r="B552" s="9"/>
      <c r="C552" s="9"/>
      <c r="D552" s="9"/>
      <c r="E552" s="9"/>
      <c r="F552" s="9"/>
      <c r="G552" s="9"/>
      <c r="H552" s="9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9"/>
      <c r="B553" s="9"/>
      <c r="C553" s="9"/>
      <c r="D553" s="9"/>
      <c r="E553" s="9"/>
      <c r="F553" s="9"/>
      <c r="G553" s="9"/>
      <c r="H553" s="9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9"/>
      <c r="B554" s="9"/>
      <c r="C554" s="9"/>
      <c r="D554" s="9"/>
      <c r="E554" s="9"/>
      <c r="F554" s="9"/>
      <c r="G554" s="9"/>
      <c r="H554" s="9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9"/>
      <c r="B555" s="9"/>
      <c r="C555" s="9"/>
      <c r="D555" s="9"/>
      <c r="E555" s="9"/>
      <c r="F555" s="9"/>
      <c r="G555" s="9"/>
      <c r="H555" s="9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9"/>
      <c r="B556" s="9"/>
      <c r="C556" s="9"/>
      <c r="D556" s="9"/>
      <c r="E556" s="9"/>
      <c r="F556" s="9"/>
      <c r="G556" s="9"/>
      <c r="H556" s="9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9"/>
      <c r="B557" s="9"/>
      <c r="C557" s="9"/>
      <c r="D557" s="9"/>
      <c r="E557" s="9"/>
      <c r="F557" s="9"/>
      <c r="G557" s="9"/>
      <c r="H557" s="9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9"/>
      <c r="B558" s="9"/>
      <c r="C558" s="9"/>
      <c r="D558" s="9"/>
      <c r="E558" s="9"/>
      <c r="F558" s="9"/>
      <c r="G558" s="9"/>
      <c r="H558" s="9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9"/>
      <c r="B559" s="9"/>
      <c r="C559" s="9"/>
      <c r="D559" s="9"/>
      <c r="E559" s="9"/>
      <c r="F559" s="9"/>
      <c r="G559" s="9"/>
      <c r="H559" s="9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9"/>
      <c r="B560" s="9"/>
      <c r="C560" s="9"/>
      <c r="D560" s="9"/>
      <c r="E560" s="9"/>
      <c r="F560" s="9"/>
      <c r="G560" s="9"/>
      <c r="H560" s="9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9"/>
      <c r="B561" s="9"/>
      <c r="C561" s="9"/>
      <c r="D561" s="9"/>
      <c r="E561" s="9"/>
      <c r="F561" s="9"/>
      <c r="G561" s="9"/>
      <c r="H561" s="9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9"/>
      <c r="B562" s="9"/>
      <c r="C562" s="9"/>
      <c r="D562" s="9"/>
      <c r="E562" s="9"/>
      <c r="F562" s="9"/>
      <c r="G562" s="9"/>
      <c r="H562" s="9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9"/>
      <c r="B563" s="9"/>
      <c r="C563" s="9"/>
      <c r="D563" s="9"/>
      <c r="E563" s="9"/>
      <c r="F563" s="9"/>
      <c r="G563" s="9"/>
      <c r="H563" s="9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9"/>
      <c r="B564" s="9"/>
      <c r="C564" s="9"/>
      <c r="D564" s="9"/>
      <c r="E564" s="9"/>
      <c r="F564" s="9"/>
      <c r="G564" s="9"/>
      <c r="H564" s="9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9"/>
      <c r="B565" s="9"/>
      <c r="C565" s="9"/>
      <c r="D565" s="9"/>
      <c r="E565" s="9"/>
      <c r="F565" s="9"/>
      <c r="G565" s="9"/>
      <c r="H565" s="9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9"/>
      <c r="B566" s="9"/>
      <c r="C566" s="9"/>
      <c r="D566" s="9"/>
      <c r="E566" s="9"/>
      <c r="F566" s="9"/>
      <c r="G566" s="9"/>
      <c r="H566" s="9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9"/>
      <c r="B567" s="9"/>
      <c r="C567" s="9"/>
      <c r="D567" s="9"/>
      <c r="E567" s="9"/>
      <c r="F567" s="9"/>
      <c r="G567" s="9"/>
      <c r="H567" s="9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9"/>
      <c r="B568" s="9"/>
      <c r="C568" s="9"/>
      <c r="D568" s="9"/>
      <c r="E568" s="9"/>
      <c r="F568" s="9"/>
      <c r="G568" s="9"/>
      <c r="H568" s="9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9"/>
      <c r="B569" s="9"/>
      <c r="C569" s="9"/>
      <c r="D569" s="9"/>
      <c r="E569" s="9"/>
      <c r="F569" s="9"/>
      <c r="G569" s="9"/>
      <c r="H569" s="9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9"/>
      <c r="B570" s="9"/>
      <c r="C570" s="9"/>
      <c r="D570" s="9"/>
      <c r="E570" s="9"/>
      <c r="F570" s="9"/>
      <c r="G570" s="9"/>
      <c r="H570" s="9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9"/>
      <c r="B571" s="9"/>
      <c r="C571" s="9"/>
      <c r="D571" s="9"/>
      <c r="E571" s="9"/>
      <c r="F571" s="9"/>
      <c r="G571" s="9"/>
      <c r="H571" s="9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9"/>
      <c r="B572" s="9"/>
      <c r="C572" s="9"/>
      <c r="D572" s="9"/>
      <c r="E572" s="9"/>
      <c r="F572" s="9"/>
      <c r="G572" s="9"/>
      <c r="H572" s="9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9"/>
      <c r="B573" s="9"/>
      <c r="C573" s="9"/>
      <c r="D573" s="9"/>
      <c r="E573" s="9"/>
      <c r="F573" s="9"/>
      <c r="G573" s="9"/>
      <c r="H573" s="9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9"/>
      <c r="B574" s="9"/>
      <c r="C574" s="9"/>
      <c r="D574" s="9"/>
      <c r="E574" s="9"/>
      <c r="F574" s="9"/>
      <c r="G574" s="9"/>
      <c r="H574" s="9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9"/>
      <c r="B575" s="9"/>
      <c r="C575" s="9"/>
      <c r="D575" s="9"/>
      <c r="E575" s="9"/>
      <c r="F575" s="9"/>
      <c r="G575" s="9"/>
      <c r="H575" s="9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9"/>
      <c r="B576" s="9"/>
      <c r="C576" s="9"/>
      <c r="D576" s="9"/>
      <c r="E576" s="9"/>
      <c r="F576" s="9"/>
      <c r="G576" s="9"/>
      <c r="H576" s="9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9"/>
      <c r="B577" s="9"/>
      <c r="C577" s="9"/>
      <c r="D577" s="9"/>
      <c r="E577" s="9"/>
      <c r="F577" s="9"/>
      <c r="G577" s="9"/>
      <c r="H577" s="9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9"/>
      <c r="B578" s="9"/>
      <c r="C578" s="9"/>
      <c r="D578" s="9"/>
      <c r="E578" s="9"/>
      <c r="F578" s="9"/>
      <c r="G578" s="9"/>
      <c r="H578" s="9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9"/>
      <c r="B579" s="9"/>
      <c r="C579" s="9"/>
      <c r="D579" s="9"/>
      <c r="E579" s="9"/>
      <c r="F579" s="9"/>
      <c r="G579" s="9"/>
      <c r="H579" s="9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9"/>
      <c r="B580" s="9"/>
      <c r="C580" s="9"/>
      <c r="D580" s="9"/>
      <c r="E580" s="9"/>
      <c r="F580" s="9"/>
      <c r="G580" s="9"/>
      <c r="H580" s="9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9"/>
      <c r="B581" s="9"/>
      <c r="C581" s="9"/>
      <c r="D581" s="9"/>
      <c r="E581" s="9"/>
      <c r="F581" s="9"/>
      <c r="G581" s="9"/>
      <c r="H581" s="9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9"/>
      <c r="B582" s="9"/>
      <c r="C582" s="9"/>
      <c r="D582" s="9"/>
      <c r="E582" s="9"/>
      <c r="F582" s="9"/>
      <c r="G582" s="9"/>
      <c r="H582" s="9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9"/>
      <c r="B583" s="9"/>
      <c r="C583" s="9"/>
      <c r="D583" s="9"/>
      <c r="E583" s="9"/>
      <c r="F583" s="9"/>
      <c r="G583" s="9"/>
      <c r="H583" s="9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9"/>
      <c r="B584" s="9"/>
      <c r="C584" s="9"/>
      <c r="D584" s="9"/>
      <c r="E584" s="9"/>
      <c r="F584" s="9"/>
      <c r="G584" s="9"/>
      <c r="H584" s="9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9"/>
      <c r="B585" s="9"/>
      <c r="C585" s="9"/>
      <c r="D585" s="9"/>
      <c r="E585" s="9"/>
      <c r="F585" s="9"/>
      <c r="G585" s="9"/>
      <c r="H585" s="9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9"/>
      <c r="B586" s="9"/>
      <c r="C586" s="9"/>
      <c r="D586" s="9"/>
      <c r="E586" s="9"/>
      <c r="F586" s="9"/>
      <c r="G586" s="9"/>
      <c r="H586" s="9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9"/>
      <c r="B587" s="9"/>
      <c r="C587" s="9"/>
      <c r="D587" s="9"/>
      <c r="E587" s="9"/>
      <c r="F587" s="9"/>
      <c r="G587" s="9"/>
      <c r="H587" s="9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9"/>
      <c r="B588" s="9"/>
      <c r="C588" s="9"/>
      <c r="D588" s="9"/>
      <c r="E588" s="9"/>
      <c r="F588" s="9"/>
      <c r="G588" s="9"/>
      <c r="H588" s="9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9"/>
      <c r="B589" s="9"/>
      <c r="C589" s="9"/>
      <c r="D589" s="9"/>
      <c r="E589" s="9"/>
      <c r="F589" s="9"/>
      <c r="G589" s="9"/>
      <c r="H589" s="9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9"/>
      <c r="B590" s="9"/>
      <c r="C590" s="9"/>
      <c r="D590" s="9"/>
      <c r="E590" s="9"/>
      <c r="F590" s="9"/>
      <c r="G590" s="9"/>
      <c r="H590" s="9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9"/>
      <c r="B591" s="9"/>
      <c r="C591" s="9"/>
      <c r="D591" s="9"/>
      <c r="E591" s="9"/>
      <c r="F591" s="9"/>
      <c r="G591" s="9"/>
      <c r="H591" s="9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9"/>
      <c r="B592" s="9"/>
      <c r="C592" s="9"/>
      <c r="D592" s="9"/>
      <c r="E592" s="9"/>
      <c r="F592" s="9"/>
      <c r="G592" s="9"/>
      <c r="H592" s="9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9"/>
      <c r="B593" s="9"/>
      <c r="C593" s="9"/>
      <c r="D593" s="9"/>
      <c r="E593" s="9"/>
      <c r="F593" s="9"/>
      <c r="G593" s="9"/>
      <c r="H593" s="9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9"/>
      <c r="B594" s="9"/>
      <c r="C594" s="9"/>
      <c r="D594" s="9"/>
      <c r="E594" s="9"/>
      <c r="F594" s="9"/>
      <c r="G594" s="9"/>
      <c r="H594" s="9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9"/>
      <c r="B595" s="9"/>
      <c r="C595" s="9"/>
      <c r="D595" s="9"/>
      <c r="E595" s="9"/>
      <c r="F595" s="9"/>
      <c r="G595" s="9"/>
      <c r="H595" s="9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9"/>
      <c r="B596" s="9"/>
      <c r="C596" s="9"/>
      <c r="D596" s="9"/>
      <c r="E596" s="9"/>
      <c r="F596" s="9"/>
      <c r="G596" s="9"/>
      <c r="H596" s="9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9"/>
      <c r="B597" s="9"/>
      <c r="C597" s="9"/>
      <c r="D597" s="9"/>
      <c r="E597" s="9"/>
      <c r="F597" s="9"/>
      <c r="G597" s="9"/>
      <c r="H597" s="9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9"/>
      <c r="B598" s="9"/>
      <c r="C598" s="9"/>
      <c r="D598" s="9"/>
      <c r="E598" s="9"/>
      <c r="F598" s="9"/>
      <c r="G598" s="9"/>
      <c r="H598" s="9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9"/>
      <c r="B599" s="9"/>
      <c r="C599" s="9"/>
      <c r="D599" s="9"/>
      <c r="E599" s="9"/>
      <c r="F599" s="9"/>
      <c r="G599" s="9"/>
      <c r="H599" s="9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9"/>
      <c r="B600" s="9"/>
      <c r="C600" s="9"/>
      <c r="D600" s="9"/>
      <c r="E600" s="9"/>
      <c r="F600" s="9"/>
      <c r="G600" s="9"/>
      <c r="H600" s="9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9"/>
      <c r="B601" s="9"/>
      <c r="C601" s="9"/>
      <c r="D601" s="9"/>
      <c r="E601" s="9"/>
      <c r="F601" s="9"/>
      <c r="G601" s="9"/>
      <c r="H601" s="9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9"/>
      <c r="B602" s="9"/>
      <c r="C602" s="9"/>
      <c r="D602" s="9"/>
      <c r="E602" s="9"/>
      <c r="F602" s="9"/>
      <c r="G602" s="9"/>
      <c r="H602" s="9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9"/>
      <c r="B603" s="9"/>
      <c r="C603" s="9"/>
      <c r="D603" s="9"/>
      <c r="E603" s="9"/>
      <c r="F603" s="9"/>
      <c r="G603" s="9"/>
      <c r="H603" s="9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9"/>
      <c r="B604" s="9"/>
      <c r="C604" s="9"/>
      <c r="D604" s="9"/>
      <c r="E604" s="9"/>
      <c r="F604" s="9"/>
      <c r="G604" s="9"/>
      <c r="H604" s="9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9"/>
      <c r="B605" s="9"/>
      <c r="C605" s="9"/>
      <c r="D605" s="9"/>
      <c r="E605" s="9"/>
      <c r="F605" s="9"/>
      <c r="G605" s="9"/>
      <c r="H605" s="9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9"/>
      <c r="B606" s="9"/>
      <c r="C606" s="9"/>
      <c r="D606" s="9"/>
      <c r="E606" s="9"/>
      <c r="F606" s="9"/>
      <c r="G606" s="9"/>
      <c r="H606" s="9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9"/>
      <c r="B607" s="9"/>
      <c r="C607" s="9"/>
      <c r="D607" s="9"/>
      <c r="E607" s="9"/>
      <c r="F607" s="9"/>
      <c r="G607" s="9"/>
      <c r="H607" s="9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9"/>
      <c r="B608" s="9"/>
      <c r="C608" s="9"/>
      <c r="D608" s="9"/>
      <c r="E608" s="9"/>
      <c r="F608" s="9"/>
      <c r="G608" s="9"/>
      <c r="H608" s="9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9"/>
      <c r="B609" s="9"/>
      <c r="C609" s="9"/>
      <c r="D609" s="9"/>
      <c r="E609" s="9"/>
      <c r="F609" s="9"/>
      <c r="G609" s="9"/>
      <c r="H609" s="9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9"/>
      <c r="B610" s="9"/>
      <c r="C610" s="9"/>
      <c r="D610" s="9"/>
      <c r="E610" s="9"/>
      <c r="F610" s="9"/>
      <c r="G610" s="9"/>
      <c r="H610" s="9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9"/>
      <c r="B611" s="9"/>
      <c r="C611" s="9"/>
      <c r="D611" s="9"/>
      <c r="E611" s="9"/>
      <c r="F611" s="9"/>
      <c r="G611" s="9"/>
      <c r="H611" s="9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9"/>
      <c r="B612" s="9"/>
      <c r="C612" s="9"/>
      <c r="D612" s="9"/>
      <c r="E612" s="9"/>
      <c r="F612" s="9"/>
      <c r="G612" s="9"/>
      <c r="H612" s="9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9"/>
      <c r="B613" s="9"/>
      <c r="C613" s="9"/>
      <c r="D613" s="9"/>
      <c r="E613" s="9"/>
      <c r="F613" s="9"/>
      <c r="G613" s="9"/>
      <c r="H613" s="9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9"/>
      <c r="B614" s="9"/>
      <c r="C614" s="9"/>
      <c r="D614" s="9"/>
      <c r="E614" s="9"/>
      <c r="F614" s="9"/>
      <c r="G614" s="9"/>
      <c r="H614" s="9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9"/>
      <c r="B615" s="9"/>
      <c r="C615" s="9"/>
      <c r="D615" s="9"/>
      <c r="E615" s="9"/>
      <c r="F615" s="9"/>
      <c r="G615" s="9"/>
      <c r="H615" s="9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9"/>
      <c r="B616" s="9"/>
      <c r="C616" s="9"/>
      <c r="D616" s="9"/>
      <c r="E616" s="9"/>
      <c r="F616" s="9"/>
      <c r="G616" s="9"/>
      <c r="H616" s="9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9"/>
      <c r="B617" s="9"/>
      <c r="C617" s="9"/>
      <c r="D617" s="9"/>
      <c r="E617" s="9"/>
      <c r="F617" s="9"/>
      <c r="G617" s="9"/>
      <c r="H617" s="9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9"/>
      <c r="B618" s="9"/>
      <c r="C618" s="9"/>
      <c r="D618" s="9"/>
      <c r="E618" s="9"/>
      <c r="F618" s="9"/>
      <c r="G618" s="9"/>
      <c r="H618" s="9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9"/>
      <c r="B619" s="9"/>
      <c r="C619" s="9"/>
      <c r="D619" s="9"/>
      <c r="E619" s="9"/>
      <c r="F619" s="9"/>
      <c r="G619" s="9"/>
      <c r="H619" s="9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9"/>
      <c r="B620" s="9"/>
      <c r="C620" s="9"/>
      <c r="D620" s="9"/>
      <c r="E620" s="9"/>
      <c r="F620" s="9"/>
      <c r="G620" s="9"/>
      <c r="H620" s="9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9"/>
      <c r="B621" s="9"/>
      <c r="C621" s="9"/>
      <c r="D621" s="9"/>
      <c r="E621" s="9"/>
      <c r="F621" s="9"/>
      <c r="G621" s="9"/>
      <c r="H621" s="9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9"/>
      <c r="B622" s="9"/>
      <c r="C622" s="9"/>
      <c r="D622" s="9"/>
      <c r="E622" s="9"/>
      <c r="F622" s="9"/>
      <c r="G622" s="9"/>
      <c r="H622" s="9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9"/>
      <c r="B623" s="9"/>
      <c r="C623" s="9"/>
      <c r="D623" s="9"/>
      <c r="E623" s="9"/>
      <c r="F623" s="9"/>
      <c r="G623" s="9"/>
      <c r="H623" s="9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9"/>
      <c r="B624" s="9"/>
      <c r="C624" s="9"/>
      <c r="D624" s="9"/>
      <c r="E624" s="9"/>
      <c r="F624" s="9"/>
      <c r="G624" s="9"/>
      <c r="H624" s="9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9"/>
      <c r="B625" s="9"/>
      <c r="C625" s="9"/>
      <c r="D625" s="9"/>
      <c r="E625" s="9"/>
      <c r="F625" s="9"/>
      <c r="G625" s="9"/>
      <c r="H625" s="9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9"/>
      <c r="B626" s="9"/>
      <c r="C626" s="9"/>
      <c r="D626" s="9"/>
      <c r="E626" s="9"/>
      <c r="F626" s="9"/>
      <c r="G626" s="9"/>
      <c r="H626" s="9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9"/>
      <c r="B627" s="9"/>
      <c r="C627" s="9"/>
      <c r="D627" s="9"/>
      <c r="E627" s="9"/>
      <c r="F627" s="9"/>
      <c r="G627" s="9"/>
      <c r="H627" s="9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9"/>
      <c r="B628" s="9"/>
      <c r="C628" s="9"/>
      <c r="D628" s="9"/>
      <c r="E628" s="9"/>
      <c r="F628" s="9"/>
      <c r="G628" s="9"/>
      <c r="H628" s="9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9"/>
      <c r="B629" s="9"/>
      <c r="C629" s="9"/>
      <c r="D629" s="9"/>
      <c r="E629" s="9"/>
      <c r="F629" s="9"/>
      <c r="G629" s="9"/>
      <c r="H629" s="9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9"/>
      <c r="B630" s="9"/>
      <c r="C630" s="9"/>
      <c r="D630" s="9"/>
      <c r="E630" s="9"/>
      <c r="F630" s="9"/>
      <c r="G630" s="9"/>
      <c r="H630" s="9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9"/>
      <c r="B631" s="9"/>
      <c r="C631" s="9"/>
      <c r="D631" s="9"/>
      <c r="E631" s="9"/>
      <c r="F631" s="9"/>
      <c r="G631" s="9"/>
      <c r="H631" s="9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9"/>
      <c r="B632" s="9"/>
      <c r="C632" s="9"/>
      <c r="D632" s="9"/>
      <c r="E632" s="9"/>
      <c r="F632" s="9"/>
      <c r="G632" s="9"/>
      <c r="H632" s="9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9"/>
      <c r="B633" s="9"/>
      <c r="C633" s="9"/>
      <c r="D633" s="9"/>
      <c r="E633" s="9"/>
      <c r="F633" s="9"/>
      <c r="G633" s="9"/>
      <c r="H633" s="9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9"/>
      <c r="B634" s="9"/>
      <c r="C634" s="9"/>
      <c r="D634" s="9"/>
      <c r="E634" s="9"/>
      <c r="F634" s="9"/>
      <c r="G634" s="9"/>
      <c r="H634" s="9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9"/>
      <c r="B635" s="9"/>
      <c r="C635" s="9"/>
      <c r="D635" s="9"/>
      <c r="E635" s="9"/>
      <c r="F635" s="9"/>
      <c r="G635" s="9"/>
      <c r="H635" s="9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9"/>
      <c r="B636" s="9"/>
      <c r="C636" s="9"/>
      <c r="D636" s="9"/>
      <c r="E636" s="9"/>
      <c r="F636" s="9"/>
      <c r="G636" s="9"/>
      <c r="H636" s="9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9"/>
      <c r="B637" s="9"/>
      <c r="C637" s="9"/>
      <c r="D637" s="9"/>
      <c r="E637" s="9"/>
      <c r="F637" s="9"/>
      <c r="G637" s="9"/>
      <c r="H637" s="9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9"/>
      <c r="B638" s="9"/>
      <c r="C638" s="9"/>
      <c r="D638" s="9"/>
      <c r="E638" s="9"/>
      <c r="F638" s="9"/>
      <c r="G638" s="9"/>
      <c r="H638" s="9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9"/>
      <c r="B639" s="9"/>
      <c r="C639" s="9"/>
      <c r="D639" s="9"/>
      <c r="E639" s="9"/>
      <c r="F639" s="9"/>
      <c r="G639" s="9"/>
      <c r="H639" s="9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9"/>
      <c r="B640" s="9"/>
      <c r="C640" s="9"/>
      <c r="D640" s="9"/>
      <c r="E640" s="9"/>
      <c r="F640" s="9"/>
      <c r="G640" s="9"/>
      <c r="H640" s="9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9"/>
      <c r="B641" s="9"/>
      <c r="C641" s="9"/>
      <c r="D641" s="9"/>
      <c r="E641" s="9"/>
      <c r="F641" s="9"/>
      <c r="G641" s="9"/>
      <c r="H641" s="9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9"/>
      <c r="B642" s="9"/>
      <c r="C642" s="9"/>
      <c r="D642" s="9"/>
      <c r="E642" s="9"/>
      <c r="F642" s="9"/>
      <c r="G642" s="9"/>
      <c r="H642" s="9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9"/>
      <c r="B643" s="9"/>
      <c r="C643" s="9"/>
      <c r="D643" s="9"/>
      <c r="E643" s="9"/>
      <c r="F643" s="9"/>
      <c r="G643" s="9"/>
      <c r="H643" s="9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9"/>
      <c r="B644" s="9"/>
      <c r="C644" s="9"/>
      <c r="D644" s="9"/>
      <c r="E644" s="9"/>
      <c r="F644" s="9"/>
      <c r="G644" s="9"/>
      <c r="H644" s="9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9"/>
      <c r="B645" s="9"/>
      <c r="C645" s="9"/>
      <c r="D645" s="9"/>
      <c r="E645" s="9"/>
      <c r="F645" s="9"/>
      <c r="G645" s="9"/>
      <c r="H645" s="9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9"/>
      <c r="B646" s="9"/>
      <c r="C646" s="9"/>
      <c r="D646" s="9"/>
      <c r="E646" s="9"/>
      <c r="F646" s="9"/>
      <c r="G646" s="9"/>
      <c r="H646" s="9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9"/>
      <c r="B647" s="9"/>
      <c r="C647" s="9"/>
      <c r="D647" s="9"/>
      <c r="E647" s="9"/>
      <c r="F647" s="9"/>
      <c r="G647" s="9"/>
      <c r="H647" s="9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9"/>
      <c r="B648" s="9"/>
      <c r="C648" s="9"/>
      <c r="D648" s="9"/>
      <c r="E648" s="9"/>
      <c r="F648" s="9"/>
      <c r="G648" s="9"/>
      <c r="H648" s="9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9"/>
      <c r="B649" s="9"/>
      <c r="C649" s="9"/>
      <c r="D649" s="9"/>
      <c r="E649" s="9"/>
      <c r="F649" s="9"/>
      <c r="G649" s="9"/>
      <c r="H649" s="9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9"/>
      <c r="B650" s="9"/>
      <c r="C650" s="9"/>
      <c r="D650" s="9"/>
      <c r="E650" s="9"/>
      <c r="F650" s="9"/>
      <c r="G650" s="9"/>
      <c r="H650" s="9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9"/>
      <c r="B651" s="9"/>
      <c r="C651" s="9"/>
      <c r="D651" s="9"/>
      <c r="E651" s="9"/>
      <c r="F651" s="9"/>
      <c r="G651" s="9"/>
      <c r="H651" s="9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9"/>
      <c r="B652" s="9"/>
      <c r="C652" s="9"/>
      <c r="D652" s="9"/>
      <c r="E652" s="9"/>
      <c r="F652" s="9"/>
      <c r="G652" s="9"/>
      <c r="H652" s="9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9"/>
      <c r="B653" s="9"/>
      <c r="C653" s="9"/>
      <c r="D653" s="9"/>
      <c r="E653" s="9"/>
      <c r="F653" s="9"/>
      <c r="G653" s="9"/>
      <c r="H653" s="9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9"/>
      <c r="B654" s="9"/>
      <c r="C654" s="9"/>
      <c r="D654" s="9"/>
      <c r="E654" s="9"/>
      <c r="F654" s="9"/>
      <c r="G654" s="9"/>
      <c r="H654" s="9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9"/>
      <c r="B655" s="9"/>
      <c r="C655" s="9"/>
      <c r="D655" s="9"/>
      <c r="E655" s="9"/>
      <c r="F655" s="9"/>
      <c r="G655" s="9"/>
      <c r="H655" s="9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9"/>
      <c r="B656" s="9"/>
      <c r="C656" s="9"/>
      <c r="D656" s="9"/>
      <c r="E656" s="9"/>
      <c r="F656" s="9"/>
      <c r="G656" s="9"/>
      <c r="H656" s="9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9"/>
      <c r="B657" s="9"/>
      <c r="C657" s="9"/>
      <c r="D657" s="9"/>
      <c r="E657" s="9"/>
      <c r="F657" s="9"/>
      <c r="G657" s="9"/>
      <c r="H657" s="9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9"/>
      <c r="B658" s="9"/>
      <c r="C658" s="9"/>
      <c r="D658" s="9"/>
      <c r="E658" s="9"/>
      <c r="F658" s="9"/>
      <c r="G658" s="9"/>
      <c r="H658" s="9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9"/>
      <c r="B659" s="9"/>
      <c r="C659" s="9"/>
      <c r="D659" s="9"/>
      <c r="E659" s="9"/>
      <c r="F659" s="9"/>
      <c r="G659" s="9"/>
      <c r="H659" s="9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9"/>
      <c r="B660" s="9"/>
      <c r="C660" s="9"/>
      <c r="D660" s="9"/>
      <c r="E660" s="9"/>
      <c r="F660" s="9"/>
      <c r="G660" s="9"/>
      <c r="H660" s="9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9"/>
      <c r="B661" s="9"/>
      <c r="C661" s="9"/>
      <c r="D661" s="9"/>
      <c r="E661" s="9"/>
      <c r="F661" s="9"/>
      <c r="G661" s="9"/>
      <c r="H661" s="9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9"/>
      <c r="B662" s="9"/>
      <c r="C662" s="9"/>
      <c r="D662" s="9"/>
      <c r="E662" s="9"/>
      <c r="F662" s="9"/>
      <c r="G662" s="9"/>
      <c r="H662" s="9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9"/>
      <c r="B663" s="9"/>
      <c r="C663" s="9"/>
      <c r="D663" s="9"/>
      <c r="E663" s="9"/>
      <c r="F663" s="9"/>
      <c r="G663" s="9"/>
      <c r="H663" s="9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9"/>
      <c r="B664" s="9"/>
      <c r="C664" s="9"/>
      <c r="D664" s="9"/>
      <c r="E664" s="9"/>
      <c r="F664" s="9"/>
      <c r="G664" s="9"/>
      <c r="H664" s="9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9"/>
      <c r="B665" s="9"/>
      <c r="C665" s="9"/>
      <c r="D665" s="9"/>
      <c r="E665" s="9"/>
      <c r="F665" s="9"/>
      <c r="G665" s="9"/>
      <c r="H665" s="9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9"/>
      <c r="B666" s="9"/>
      <c r="C666" s="9"/>
      <c r="D666" s="9"/>
      <c r="E666" s="9"/>
      <c r="F666" s="9"/>
      <c r="G666" s="9"/>
      <c r="H666" s="9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9"/>
      <c r="B667" s="9"/>
      <c r="C667" s="9"/>
      <c r="D667" s="9"/>
      <c r="E667" s="9"/>
      <c r="F667" s="9"/>
      <c r="G667" s="9"/>
      <c r="H667" s="9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9"/>
      <c r="B668" s="9"/>
      <c r="C668" s="9"/>
      <c r="D668" s="9"/>
      <c r="E668" s="9"/>
      <c r="F668" s="9"/>
      <c r="G668" s="9"/>
      <c r="H668" s="9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9"/>
      <c r="B669" s="9"/>
      <c r="C669" s="9"/>
      <c r="D669" s="9"/>
      <c r="E669" s="9"/>
      <c r="F669" s="9"/>
      <c r="G669" s="9"/>
      <c r="H669" s="9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9"/>
      <c r="B670" s="9"/>
      <c r="C670" s="9"/>
      <c r="D670" s="9"/>
      <c r="E670" s="9"/>
      <c r="F670" s="9"/>
      <c r="G670" s="9"/>
      <c r="H670" s="9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9"/>
      <c r="B671" s="9"/>
      <c r="C671" s="9"/>
      <c r="D671" s="9"/>
      <c r="E671" s="9"/>
      <c r="F671" s="9"/>
      <c r="G671" s="9"/>
      <c r="H671" s="9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9"/>
      <c r="B672" s="9"/>
      <c r="C672" s="9"/>
      <c r="D672" s="9"/>
      <c r="E672" s="9"/>
      <c r="F672" s="9"/>
      <c r="G672" s="9"/>
      <c r="H672" s="9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9"/>
      <c r="B673" s="9"/>
      <c r="C673" s="9"/>
      <c r="D673" s="9"/>
      <c r="E673" s="9"/>
      <c r="F673" s="9"/>
      <c r="G673" s="9"/>
      <c r="H673" s="9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9"/>
      <c r="B674" s="9"/>
      <c r="C674" s="9"/>
      <c r="D674" s="9"/>
      <c r="E674" s="9"/>
      <c r="F674" s="9"/>
      <c r="G674" s="9"/>
      <c r="H674" s="9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9"/>
      <c r="B675" s="9"/>
      <c r="C675" s="9"/>
      <c r="D675" s="9"/>
      <c r="E675" s="9"/>
      <c r="F675" s="9"/>
      <c r="G675" s="9"/>
      <c r="H675" s="9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9"/>
      <c r="B676" s="9"/>
      <c r="C676" s="9"/>
      <c r="D676" s="9"/>
      <c r="E676" s="9"/>
      <c r="F676" s="9"/>
      <c r="G676" s="9"/>
      <c r="H676" s="9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9"/>
      <c r="B677" s="9"/>
      <c r="C677" s="9"/>
      <c r="D677" s="9"/>
      <c r="E677" s="9"/>
      <c r="F677" s="9"/>
      <c r="G677" s="9"/>
      <c r="H677" s="9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9"/>
      <c r="B678" s="9"/>
      <c r="C678" s="9"/>
      <c r="D678" s="9"/>
      <c r="E678" s="9"/>
      <c r="F678" s="9"/>
      <c r="G678" s="9"/>
      <c r="H678" s="9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9"/>
      <c r="B679" s="9"/>
      <c r="C679" s="9"/>
      <c r="D679" s="9"/>
      <c r="E679" s="9"/>
      <c r="F679" s="9"/>
      <c r="G679" s="9"/>
      <c r="H679" s="9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9"/>
      <c r="B680" s="9"/>
      <c r="C680" s="9"/>
      <c r="D680" s="9"/>
      <c r="E680" s="9"/>
      <c r="F680" s="9"/>
      <c r="G680" s="9"/>
      <c r="H680" s="9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9"/>
      <c r="B681" s="9"/>
      <c r="C681" s="9"/>
      <c r="D681" s="9"/>
      <c r="E681" s="9"/>
      <c r="F681" s="9"/>
      <c r="G681" s="9"/>
      <c r="H681" s="9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9"/>
      <c r="B682" s="9"/>
      <c r="C682" s="9"/>
      <c r="D682" s="9"/>
      <c r="E682" s="9"/>
      <c r="F682" s="9"/>
      <c r="G682" s="9"/>
      <c r="H682" s="9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9"/>
      <c r="B683" s="9"/>
      <c r="C683" s="9"/>
      <c r="D683" s="9"/>
      <c r="E683" s="9"/>
      <c r="F683" s="9"/>
      <c r="G683" s="9"/>
      <c r="H683" s="9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9"/>
      <c r="B684" s="9"/>
      <c r="C684" s="9"/>
      <c r="D684" s="9"/>
      <c r="E684" s="9"/>
      <c r="F684" s="9"/>
      <c r="G684" s="9"/>
      <c r="H684" s="9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9"/>
      <c r="B685" s="9"/>
      <c r="C685" s="9"/>
      <c r="D685" s="9"/>
      <c r="E685" s="9"/>
      <c r="F685" s="9"/>
      <c r="G685" s="9"/>
      <c r="H685" s="9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9"/>
      <c r="B686" s="9"/>
      <c r="C686" s="9"/>
      <c r="D686" s="9"/>
      <c r="E686" s="9"/>
      <c r="F686" s="9"/>
      <c r="G686" s="9"/>
      <c r="H686" s="9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9"/>
      <c r="B687" s="9"/>
      <c r="C687" s="9"/>
      <c r="D687" s="9"/>
      <c r="E687" s="9"/>
      <c r="F687" s="9"/>
      <c r="G687" s="9"/>
      <c r="H687" s="9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9"/>
      <c r="B688" s="9"/>
      <c r="C688" s="9"/>
      <c r="D688" s="9"/>
      <c r="E688" s="9"/>
      <c r="F688" s="9"/>
      <c r="G688" s="9"/>
      <c r="H688" s="9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9"/>
      <c r="B689" s="9"/>
      <c r="C689" s="9"/>
      <c r="D689" s="9"/>
      <c r="E689" s="9"/>
      <c r="F689" s="9"/>
      <c r="G689" s="9"/>
      <c r="H689" s="9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9"/>
      <c r="B690" s="9"/>
      <c r="C690" s="9"/>
      <c r="D690" s="9"/>
      <c r="E690" s="9"/>
      <c r="F690" s="9"/>
      <c r="G690" s="9"/>
      <c r="H690" s="9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9"/>
      <c r="B691" s="9"/>
      <c r="C691" s="9"/>
      <c r="D691" s="9"/>
      <c r="E691" s="9"/>
      <c r="F691" s="9"/>
      <c r="G691" s="9"/>
      <c r="H691" s="9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9"/>
      <c r="B692" s="9"/>
      <c r="C692" s="9"/>
      <c r="D692" s="9"/>
      <c r="E692" s="9"/>
      <c r="F692" s="9"/>
      <c r="G692" s="9"/>
      <c r="H692" s="9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9"/>
      <c r="B693" s="9"/>
      <c r="C693" s="9"/>
      <c r="D693" s="9"/>
      <c r="E693" s="9"/>
      <c r="F693" s="9"/>
      <c r="G693" s="9"/>
      <c r="H693" s="9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9"/>
      <c r="B694" s="9"/>
      <c r="C694" s="9"/>
      <c r="D694" s="9"/>
      <c r="E694" s="9"/>
      <c r="F694" s="9"/>
      <c r="G694" s="9"/>
      <c r="H694" s="9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9"/>
      <c r="B695" s="9"/>
      <c r="C695" s="9"/>
      <c r="D695" s="9"/>
      <c r="E695" s="9"/>
      <c r="F695" s="9"/>
      <c r="G695" s="9"/>
      <c r="H695" s="9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9"/>
      <c r="B696" s="9"/>
      <c r="C696" s="9"/>
      <c r="D696" s="9"/>
      <c r="E696" s="9"/>
      <c r="F696" s="9"/>
      <c r="G696" s="9"/>
      <c r="H696" s="9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9"/>
      <c r="B697" s="9"/>
      <c r="C697" s="9"/>
      <c r="D697" s="9"/>
      <c r="E697" s="9"/>
      <c r="F697" s="9"/>
      <c r="G697" s="9"/>
      <c r="H697" s="9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9"/>
      <c r="B698" s="9"/>
      <c r="C698" s="9"/>
      <c r="D698" s="9"/>
      <c r="E698" s="9"/>
      <c r="F698" s="9"/>
      <c r="G698" s="9"/>
      <c r="H698" s="9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9"/>
      <c r="B699" s="9"/>
      <c r="C699" s="9"/>
      <c r="D699" s="9"/>
      <c r="E699" s="9"/>
      <c r="F699" s="9"/>
      <c r="G699" s="9"/>
      <c r="H699" s="9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9"/>
      <c r="B700" s="9"/>
      <c r="C700" s="9"/>
      <c r="D700" s="9"/>
      <c r="E700" s="9"/>
      <c r="F700" s="9"/>
      <c r="G700" s="9"/>
      <c r="H700" s="9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9"/>
      <c r="B701" s="9"/>
      <c r="C701" s="9"/>
      <c r="D701" s="9"/>
      <c r="E701" s="9"/>
      <c r="F701" s="9"/>
      <c r="G701" s="9"/>
      <c r="H701" s="9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9"/>
      <c r="B702" s="9"/>
      <c r="C702" s="9"/>
      <c r="D702" s="9"/>
      <c r="E702" s="9"/>
      <c r="F702" s="9"/>
      <c r="G702" s="9"/>
      <c r="H702" s="9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9"/>
      <c r="B703" s="9"/>
      <c r="C703" s="9"/>
      <c r="D703" s="9"/>
      <c r="E703" s="9"/>
      <c r="F703" s="9"/>
      <c r="G703" s="9"/>
      <c r="H703" s="9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9"/>
      <c r="B704" s="9"/>
      <c r="C704" s="9"/>
      <c r="D704" s="9"/>
      <c r="E704" s="9"/>
      <c r="F704" s="9"/>
      <c r="G704" s="9"/>
      <c r="H704" s="9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9"/>
      <c r="B705" s="9"/>
      <c r="C705" s="9"/>
      <c r="D705" s="9"/>
      <c r="E705" s="9"/>
      <c r="F705" s="9"/>
      <c r="G705" s="9"/>
      <c r="H705" s="9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9"/>
      <c r="B706" s="9"/>
      <c r="C706" s="9"/>
      <c r="D706" s="9"/>
      <c r="E706" s="9"/>
      <c r="F706" s="9"/>
      <c r="G706" s="9"/>
      <c r="H706" s="9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9"/>
      <c r="B707" s="9"/>
      <c r="C707" s="9"/>
      <c r="D707" s="9"/>
      <c r="E707" s="9"/>
      <c r="F707" s="9"/>
      <c r="G707" s="9"/>
      <c r="H707" s="9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9"/>
      <c r="B708" s="9"/>
      <c r="C708" s="9"/>
      <c r="D708" s="9"/>
      <c r="E708" s="9"/>
      <c r="F708" s="9"/>
      <c r="G708" s="9"/>
      <c r="H708" s="9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9"/>
      <c r="B709" s="9"/>
      <c r="C709" s="9"/>
      <c r="D709" s="9"/>
      <c r="E709" s="9"/>
      <c r="F709" s="9"/>
      <c r="G709" s="9"/>
      <c r="H709" s="9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9"/>
      <c r="B710" s="9"/>
      <c r="C710" s="9"/>
      <c r="D710" s="9"/>
      <c r="E710" s="9"/>
      <c r="F710" s="9"/>
      <c r="G710" s="9"/>
      <c r="H710" s="9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9"/>
      <c r="B711" s="9"/>
      <c r="C711" s="9"/>
      <c r="D711" s="9"/>
      <c r="E711" s="9"/>
      <c r="F711" s="9"/>
      <c r="G711" s="9"/>
      <c r="H711" s="9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9"/>
      <c r="B712" s="9"/>
      <c r="C712" s="9"/>
      <c r="D712" s="9"/>
      <c r="E712" s="9"/>
      <c r="F712" s="9"/>
      <c r="G712" s="9"/>
      <c r="H712" s="9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9"/>
      <c r="B713" s="9"/>
      <c r="C713" s="9"/>
      <c r="D713" s="9"/>
      <c r="E713" s="9"/>
      <c r="F713" s="9"/>
      <c r="G713" s="9"/>
      <c r="H713" s="9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9"/>
      <c r="B714" s="9"/>
      <c r="C714" s="9"/>
      <c r="D714" s="9"/>
      <c r="E714" s="9"/>
      <c r="F714" s="9"/>
      <c r="G714" s="9"/>
      <c r="H714" s="9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9"/>
      <c r="B715" s="9"/>
      <c r="C715" s="9"/>
      <c r="D715" s="9"/>
      <c r="E715" s="9"/>
      <c r="F715" s="9"/>
      <c r="G715" s="9"/>
      <c r="H715" s="9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9"/>
      <c r="B716" s="9"/>
      <c r="C716" s="9"/>
      <c r="D716" s="9"/>
      <c r="E716" s="9"/>
      <c r="F716" s="9"/>
      <c r="G716" s="9"/>
      <c r="H716" s="9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9"/>
      <c r="B717" s="9"/>
      <c r="C717" s="9"/>
      <c r="D717" s="9"/>
      <c r="E717" s="9"/>
      <c r="F717" s="9"/>
      <c r="G717" s="9"/>
      <c r="H717" s="9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9"/>
      <c r="B718" s="9"/>
      <c r="C718" s="9"/>
      <c r="D718" s="9"/>
      <c r="E718" s="9"/>
      <c r="F718" s="9"/>
      <c r="G718" s="9"/>
      <c r="H718" s="9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9"/>
      <c r="B719" s="9"/>
      <c r="C719" s="9"/>
      <c r="D719" s="9"/>
      <c r="E719" s="9"/>
      <c r="F719" s="9"/>
      <c r="G719" s="9"/>
      <c r="H719" s="9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9"/>
      <c r="B720" s="9"/>
      <c r="C720" s="9"/>
      <c r="D720" s="9"/>
      <c r="E720" s="9"/>
      <c r="F720" s="9"/>
      <c r="G720" s="9"/>
      <c r="H720" s="9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9"/>
      <c r="B721" s="9"/>
      <c r="C721" s="9"/>
      <c r="D721" s="9"/>
      <c r="E721" s="9"/>
      <c r="F721" s="9"/>
      <c r="G721" s="9"/>
      <c r="H721" s="9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9"/>
      <c r="B722" s="9"/>
      <c r="C722" s="9"/>
      <c r="D722" s="9"/>
      <c r="E722" s="9"/>
      <c r="F722" s="9"/>
      <c r="G722" s="9"/>
      <c r="H722" s="9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9"/>
      <c r="B723" s="9"/>
      <c r="C723" s="9"/>
      <c r="D723" s="9"/>
      <c r="E723" s="9"/>
      <c r="F723" s="9"/>
      <c r="G723" s="9"/>
      <c r="H723" s="9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9"/>
      <c r="B724" s="9"/>
      <c r="C724" s="9"/>
      <c r="D724" s="9"/>
      <c r="E724" s="9"/>
      <c r="F724" s="9"/>
      <c r="G724" s="9"/>
      <c r="H724" s="9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9"/>
      <c r="B725" s="9"/>
      <c r="C725" s="9"/>
      <c r="D725" s="9"/>
      <c r="E725" s="9"/>
      <c r="F725" s="9"/>
      <c r="G725" s="9"/>
      <c r="H725" s="9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9"/>
      <c r="B726" s="9"/>
      <c r="C726" s="9"/>
      <c r="D726" s="9"/>
      <c r="E726" s="9"/>
      <c r="F726" s="9"/>
      <c r="G726" s="9"/>
      <c r="H726" s="9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9"/>
      <c r="B727" s="9"/>
      <c r="C727" s="9"/>
      <c r="D727" s="9"/>
      <c r="E727" s="9"/>
      <c r="F727" s="9"/>
      <c r="G727" s="9"/>
      <c r="H727" s="9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9"/>
      <c r="B728" s="9"/>
      <c r="C728" s="9"/>
      <c r="D728" s="9"/>
      <c r="E728" s="9"/>
      <c r="F728" s="9"/>
      <c r="G728" s="9"/>
      <c r="H728" s="9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9"/>
      <c r="B729" s="9"/>
      <c r="C729" s="9"/>
      <c r="D729" s="9"/>
      <c r="E729" s="9"/>
      <c r="F729" s="9"/>
      <c r="G729" s="9"/>
      <c r="H729" s="9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9"/>
      <c r="B730" s="9"/>
      <c r="C730" s="9"/>
      <c r="D730" s="9"/>
      <c r="E730" s="9"/>
      <c r="F730" s="9"/>
      <c r="G730" s="9"/>
      <c r="H730" s="9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9"/>
      <c r="B731" s="9"/>
      <c r="C731" s="9"/>
      <c r="D731" s="9"/>
      <c r="E731" s="9"/>
      <c r="F731" s="9"/>
      <c r="G731" s="9"/>
      <c r="H731" s="9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9"/>
      <c r="B732" s="9"/>
      <c r="C732" s="9"/>
      <c r="D732" s="9"/>
      <c r="E732" s="9"/>
      <c r="F732" s="9"/>
      <c r="G732" s="9"/>
      <c r="H732" s="9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9"/>
      <c r="B733" s="9"/>
      <c r="C733" s="9"/>
      <c r="D733" s="9"/>
      <c r="E733" s="9"/>
      <c r="F733" s="9"/>
      <c r="G733" s="9"/>
      <c r="H733" s="9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9"/>
      <c r="B734" s="9"/>
      <c r="C734" s="9"/>
      <c r="D734" s="9"/>
      <c r="E734" s="9"/>
      <c r="F734" s="9"/>
      <c r="G734" s="9"/>
      <c r="H734" s="9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9"/>
      <c r="B735" s="9"/>
      <c r="C735" s="9"/>
      <c r="D735" s="9"/>
      <c r="E735" s="9"/>
      <c r="F735" s="9"/>
      <c r="G735" s="9"/>
      <c r="H735" s="9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9"/>
      <c r="B736" s="9"/>
      <c r="C736" s="9"/>
      <c r="D736" s="9"/>
      <c r="E736" s="9"/>
      <c r="F736" s="9"/>
      <c r="G736" s="9"/>
      <c r="H736" s="9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9"/>
      <c r="B737" s="9"/>
      <c r="C737" s="9"/>
      <c r="D737" s="9"/>
      <c r="E737" s="9"/>
      <c r="F737" s="9"/>
      <c r="G737" s="9"/>
      <c r="H737" s="9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9"/>
      <c r="B738" s="9"/>
      <c r="C738" s="9"/>
      <c r="D738" s="9"/>
      <c r="E738" s="9"/>
      <c r="F738" s="9"/>
      <c r="G738" s="9"/>
      <c r="H738" s="9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9"/>
      <c r="B739" s="9"/>
      <c r="C739" s="9"/>
      <c r="D739" s="9"/>
      <c r="E739" s="9"/>
      <c r="F739" s="9"/>
      <c r="G739" s="9"/>
      <c r="H739" s="9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9"/>
      <c r="B740" s="9"/>
      <c r="C740" s="9"/>
      <c r="D740" s="9"/>
      <c r="E740" s="9"/>
      <c r="F740" s="9"/>
      <c r="G740" s="9"/>
      <c r="H740" s="9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9"/>
      <c r="B741" s="9"/>
      <c r="C741" s="9"/>
      <c r="D741" s="9"/>
      <c r="E741" s="9"/>
      <c r="F741" s="9"/>
      <c r="G741" s="9"/>
      <c r="H741" s="9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9"/>
      <c r="B742" s="9"/>
      <c r="C742" s="9"/>
      <c r="D742" s="9"/>
      <c r="E742" s="9"/>
      <c r="F742" s="9"/>
      <c r="G742" s="9"/>
      <c r="H742" s="9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9"/>
      <c r="B743" s="9"/>
      <c r="C743" s="9"/>
      <c r="D743" s="9"/>
      <c r="E743" s="9"/>
      <c r="F743" s="9"/>
      <c r="G743" s="9"/>
      <c r="H743" s="9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9"/>
      <c r="B744" s="9"/>
      <c r="C744" s="9"/>
      <c r="D744" s="9"/>
      <c r="E744" s="9"/>
      <c r="F744" s="9"/>
      <c r="G744" s="9"/>
      <c r="H744" s="9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9"/>
      <c r="B745" s="9"/>
      <c r="C745" s="9"/>
      <c r="D745" s="9"/>
      <c r="E745" s="9"/>
      <c r="F745" s="9"/>
      <c r="G745" s="9"/>
      <c r="H745" s="9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9"/>
      <c r="B746" s="9"/>
      <c r="C746" s="9"/>
      <c r="D746" s="9"/>
      <c r="E746" s="9"/>
      <c r="F746" s="9"/>
      <c r="G746" s="9"/>
      <c r="H746" s="9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9"/>
      <c r="B747" s="9"/>
      <c r="C747" s="9"/>
      <c r="D747" s="9"/>
      <c r="E747" s="9"/>
      <c r="F747" s="9"/>
      <c r="G747" s="9"/>
      <c r="H747" s="9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9"/>
      <c r="B748" s="9"/>
      <c r="C748" s="9"/>
      <c r="D748" s="9"/>
      <c r="E748" s="9"/>
      <c r="F748" s="9"/>
      <c r="G748" s="9"/>
      <c r="H748" s="9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9"/>
      <c r="B749" s="9"/>
      <c r="C749" s="9"/>
      <c r="D749" s="9"/>
      <c r="E749" s="9"/>
      <c r="F749" s="9"/>
      <c r="G749" s="9"/>
      <c r="H749" s="9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9"/>
      <c r="B750" s="9"/>
      <c r="C750" s="9"/>
      <c r="D750" s="9"/>
      <c r="E750" s="9"/>
      <c r="F750" s="9"/>
      <c r="G750" s="9"/>
      <c r="H750" s="9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9"/>
      <c r="B751" s="9"/>
      <c r="C751" s="9"/>
      <c r="D751" s="9"/>
      <c r="E751" s="9"/>
      <c r="F751" s="9"/>
      <c r="G751" s="9"/>
      <c r="H751" s="9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9"/>
      <c r="B752" s="9"/>
      <c r="C752" s="9"/>
      <c r="D752" s="9"/>
      <c r="E752" s="9"/>
      <c r="F752" s="9"/>
      <c r="G752" s="9"/>
      <c r="H752" s="9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9"/>
      <c r="B753" s="9"/>
      <c r="C753" s="9"/>
      <c r="D753" s="9"/>
      <c r="E753" s="9"/>
      <c r="F753" s="9"/>
      <c r="G753" s="9"/>
      <c r="H753" s="9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9"/>
      <c r="B754" s="9"/>
      <c r="C754" s="9"/>
      <c r="D754" s="9"/>
      <c r="E754" s="9"/>
      <c r="F754" s="9"/>
      <c r="G754" s="9"/>
      <c r="H754" s="9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9"/>
      <c r="B755" s="9"/>
      <c r="C755" s="9"/>
      <c r="D755" s="9"/>
      <c r="E755" s="9"/>
      <c r="F755" s="9"/>
      <c r="G755" s="9"/>
      <c r="H755" s="9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9"/>
      <c r="B756" s="9"/>
      <c r="C756" s="9"/>
      <c r="D756" s="9"/>
      <c r="E756" s="9"/>
      <c r="F756" s="9"/>
      <c r="G756" s="9"/>
      <c r="H756" s="9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9"/>
      <c r="B757" s="9"/>
      <c r="C757" s="9"/>
      <c r="D757" s="9"/>
      <c r="E757" s="9"/>
      <c r="F757" s="9"/>
      <c r="G757" s="9"/>
      <c r="H757" s="9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9"/>
      <c r="B758" s="9"/>
      <c r="C758" s="9"/>
      <c r="D758" s="9"/>
      <c r="E758" s="9"/>
      <c r="F758" s="9"/>
      <c r="G758" s="9"/>
      <c r="H758" s="9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9"/>
      <c r="B759" s="9"/>
      <c r="C759" s="9"/>
      <c r="D759" s="9"/>
      <c r="E759" s="9"/>
      <c r="F759" s="9"/>
      <c r="G759" s="9"/>
      <c r="H759" s="9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9"/>
      <c r="B760" s="9"/>
      <c r="C760" s="9"/>
      <c r="D760" s="9"/>
      <c r="E760" s="9"/>
      <c r="F760" s="9"/>
      <c r="G760" s="9"/>
      <c r="H760" s="9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9"/>
      <c r="B761" s="9"/>
      <c r="C761" s="9"/>
      <c r="D761" s="9"/>
      <c r="E761" s="9"/>
      <c r="F761" s="9"/>
      <c r="G761" s="9"/>
      <c r="H761" s="9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9"/>
      <c r="B762" s="9"/>
      <c r="C762" s="9"/>
      <c r="D762" s="9"/>
      <c r="E762" s="9"/>
      <c r="F762" s="9"/>
      <c r="G762" s="9"/>
      <c r="H762" s="9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9"/>
      <c r="B763" s="9"/>
      <c r="C763" s="9"/>
      <c r="D763" s="9"/>
      <c r="E763" s="9"/>
      <c r="F763" s="9"/>
      <c r="G763" s="9"/>
      <c r="H763" s="9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9"/>
      <c r="B764" s="9"/>
      <c r="C764" s="9"/>
      <c r="D764" s="9"/>
      <c r="E764" s="9"/>
      <c r="F764" s="9"/>
      <c r="G764" s="9"/>
      <c r="H764" s="9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9"/>
      <c r="B765" s="9"/>
      <c r="C765" s="9"/>
      <c r="D765" s="9"/>
      <c r="E765" s="9"/>
      <c r="F765" s="9"/>
      <c r="G765" s="9"/>
      <c r="H765" s="9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9"/>
      <c r="B766" s="9"/>
      <c r="C766" s="9"/>
      <c r="D766" s="9"/>
      <c r="E766" s="9"/>
      <c r="F766" s="9"/>
      <c r="G766" s="9"/>
      <c r="H766" s="9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9"/>
      <c r="B767" s="9"/>
      <c r="C767" s="9"/>
      <c r="D767" s="9"/>
      <c r="E767" s="9"/>
      <c r="F767" s="9"/>
      <c r="G767" s="9"/>
      <c r="H767" s="9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9"/>
      <c r="B768" s="9"/>
      <c r="C768" s="9"/>
      <c r="D768" s="9"/>
      <c r="E768" s="9"/>
      <c r="F768" s="9"/>
      <c r="G768" s="9"/>
      <c r="H768" s="9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9"/>
      <c r="B769" s="9"/>
      <c r="C769" s="9"/>
      <c r="D769" s="9"/>
      <c r="E769" s="9"/>
      <c r="F769" s="9"/>
      <c r="G769" s="9"/>
      <c r="H769" s="9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9"/>
      <c r="B770" s="9"/>
      <c r="C770" s="9"/>
      <c r="D770" s="9"/>
      <c r="E770" s="9"/>
      <c r="F770" s="9"/>
      <c r="G770" s="9"/>
      <c r="H770" s="9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9"/>
      <c r="B771" s="9"/>
      <c r="C771" s="9"/>
      <c r="D771" s="9"/>
      <c r="E771" s="9"/>
      <c r="F771" s="9"/>
      <c r="G771" s="9"/>
      <c r="H771" s="9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9"/>
      <c r="B772" s="9"/>
      <c r="C772" s="9"/>
      <c r="D772" s="9"/>
      <c r="E772" s="9"/>
      <c r="F772" s="9"/>
      <c r="G772" s="9"/>
      <c r="H772" s="9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9"/>
      <c r="B773" s="9"/>
      <c r="C773" s="9"/>
      <c r="D773" s="9"/>
      <c r="E773" s="9"/>
      <c r="F773" s="9"/>
      <c r="G773" s="9"/>
      <c r="H773" s="9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9"/>
      <c r="B774" s="9"/>
      <c r="C774" s="9"/>
      <c r="D774" s="9"/>
      <c r="E774" s="9"/>
      <c r="F774" s="9"/>
      <c r="G774" s="9"/>
      <c r="H774" s="9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9"/>
      <c r="B775" s="9"/>
      <c r="C775" s="9"/>
      <c r="D775" s="9"/>
      <c r="E775" s="9"/>
      <c r="F775" s="9"/>
      <c r="G775" s="9"/>
      <c r="H775" s="9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9"/>
      <c r="B776" s="9"/>
      <c r="C776" s="9"/>
      <c r="D776" s="9"/>
      <c r="E776" s="9"/>
      <c r="F776" s="9"/>
      <c r="G776" s="9"/>
      <c r="H776" s="9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9"/>
      <c r="B777" s="9"/>
      <c r="C777" s="9"/>
      <c r="D777" s="9"/>
      <c r="E777" s="9"/>
      <c r="F777" s="9"/>
      <c r="G777" s="9"/>
      <c r="H777" s="9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9"/>
      <c r="B778" s="9"/>
      <c r="C778" s="9"/>
      <c r="D778" s="9"/>
      <c r="E778" s="9"/>
      <c r="F778" s="9"/>
      <c r="G778" s="9"/>
      <c r="H778" s="9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9"/>
      <c r="B779" s="9"/>
      <c r="C779" s="9"/>
      <c r="D779" s="9"/>
      <c r="E779" s="9"/>
      <c r="F779" s="9"/>
      <c r="G779" s="9"/>
      <c r="H779" s="9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9"/>
      <c r="B780" s="9"/>
      <c r="C780" s="9"/>
      <c r="D780" s="9"/>
      <c r="E780" s="9"/>
      <c r="F780" s="9"/>
      <c r="G780" s="9"/>
      <c r="H780" s="9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9"/>
      <c r="B781" s="9"/>
      <c r="C781" s="9"/>
      <c r="D781" s="9"/>
      <c r="E781" s="9"/>
      <c r="F781" s="9"/>
      <c r="G781" s="9"/>
      <c r="H781" s="9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9"/>
      <c r="B782" s="9"/>
      <c r="C782" s="9"/>
      <c r="D782" s="9"/>
      <c r="E782" s="9"/>
      <c r="F782" s="9"/>
      <c r="G782" s="9"/>
      <c r="H782" s="9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9"/>
      <c r="B783" s="9"/>
      <c r="C783" s="9"/>
      <c r="D783" s="9"/>
      <c r="E783" s="9"/>
      <c r="F783" s="9"/>
      <c r="G783" s="9"/>
      <c r="H783" s="9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9"/>
      <c r="B784" s="9"/>
      <c r="C784" s="9"/>
      <c r="D784" s="9"/>
      <c r="E784" s="9"/>
      <c r="F784" s="9"/>
      <c r="G784" s="9"/>
      <c r="H784" s="9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9"/>
      <c r="B785" s="9"/>
      <c r="C785" s="9"/>
      <c r="D785" s="9"/>
      <c r="E785" s="9"/>
      <c r="F785" s="9"/>
      <c r="G785" s="9"/>
      <c r="H785" s="9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9"/>
      <c r="B786" s="9"/>
      <c r="C786" s="9"/>
      <c r="D786" s="9"/>
      <c r="E786" s="9"/>
      <c r="F786" s="9"/>
      <c r="G786" s="9"/>
      <c r="H786" s="9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9"/>
      <c r="B787" s="9"/>
      <c r="C787" s="9"/>
      <c r="D787" s="9"/>
      <c r="E787" s="9"/>
      <c r="F787" s="9"/>
      <c r="G787" s="9"/>
      <c r="H787" s="9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9"/>
      <c r="B788" s="9"/>
      <c r="C788" s="9"/>
      <c r="D788" s="9"/>
      <c r="E788" s="9"/>
      <c r="F788" s="9"/>
      <c r="G788" s="9"/>
      <c r="H788" s="9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9"/>
      <c r="B789" s="9"/>
      <c r="C789" s="9"/>
      <c r="D789" s="9"/>
      <c r="E789" s="9"/>
      <c r="F789" s="9"/>
      <c r="G789" s="9"/>
      <c r="H789" s="9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9"/>
      <c r="B790" s="9"/>
      <c r="C790" s="9"/>
      <c r="D790" s="9"/>
      <c r="E790" s="9"/>
      <c r="F790" s="9"/>
      <c r="G790" s="9"/>
      <c r="H790" s="9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9"/>
      <c r="B791" s="9"/>
      <c r="C791" s="9"/>
      <c r="D791" s="9"/>
      <c r="E791" s="9"/>
      <c r="F791" s="9"/>
      <c r="G791" s="9"/>
      <c r="H791" s="9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9"/>
      <c r="B792" s="9"/>
      <c r="C792" s="9"/>
      <c r="D792" s="9"/>
      <c r="E792" s="9"/>
      <c r="F792" s="9"/>
      <c r="G792" s="9"/>
      <c r="H792" s="9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9"/>
      <c r="B793" s="9"/>
      <c r="C793" s="9"/>
      <c r="D793" s="9"/>
      <c r="E793" s="9"/>
      <c r="F793" s="9"/>
      <c r="G793" s="9"/>
      <c r="H793" s="9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9"/>
      <c r="B794" s="9"/>
      <c r="C794" s="9"/>
      <c r="D794" s="9"/>
      <c r="E794" s="9"/>
      <c r="F794" s="9"/>
      <c r="G794" s="9"/>
      <c r="H794" s="9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9"/>
      <c r="B795" s="9"/>
      <c r="C795" s="9"/>
      <c r="D795" s="9"/>
      <c r="E795" s="9"/>
      <c r="F795" s="9"/>
      <c r="G795" s="9"/>
      <c r="H795" s="9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9"/>
      <c r="B796" s="9"/>
      <c r="C796" s="9"/>
      <c r="D796" s="9"/>
      <c r="E796" s="9"/>
      <c r="F796" s="9"/>
      <c r="G796" s="9"/>
      <c r="H796" s="9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9"/>
      <c r="B797" s="9"/>
      <c r="C797" s="9"/>
      <c r="D797" s="9"/>
      <c r="E797" s="9"/>
      <c r="F797" s="9"/>
      <c r="G797" s="9"/>
      <c r="H797" s="9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9"/>
      <c r="B798" s="9"/>
      <c r="C798" s="9"/>
      <c r="D798" s="9"/>
      <c r="E798" s="9"/>
      <c r="F798" s="9"/>
      <c r="G798" s="9"/>
      <c r="H798" s="9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9"/>
      <c r="B799" s="9"/>
      <c r="C799" s="9"/>
      <c r="D799" s="9"/>
      <c r="E799" s="9"/>
      <c r="F799" s="9"/>
      <c r="G799" s="9"/>
      <c r="H799" s="9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9"/>
      <c r="B800" s="9"/>
      <c r="C800" s="9"/>
      <c r="D800" s="9"/>
      <c r="E800" s="9"/>
      <c r="F800" s="9"/>
      <c r="G800" s="9"/>
      <c r="H800" s="9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9"/>
      <c r="B801" s="9"/>
      <c r="C801" s="9"/>
      <c r="D801" s="9"/>
      <c r="E801" s="9"/>
      <c r="F801" s="9"/>
      <c r="G801" s="9"/>
      <c r="H801" s="9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9"/>
      <c r="B802" s="9"/>
      <c r="C802" s="9"/>
      <c r="D802" s="9"/>
      <c r="E802" s="9"/>
      <c r="F802" s="9"/>
      <c r="G802" s="9"/>
      <c r="H802" s="9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9"/>
      <c r="B803" s="9"/>
      <c r="C803" s="9"/>
      <c r="D803" s="9"/>
      <c r="E803" s="9"/>
      <c r="F803" s="9"/>
      <c r="G803" s="9"/>
      <c r="H803" s="9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9"/>
      <c r="B804" s="9"/>
      <c r="C804" s="9"/>
      <c r="D804" s="9"/>
      <c r="E804" s="9"/>
      <c r="F804" s="9"/>
      <c r="G804" s="9"/>
      <c r="H804" s="9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9"/>
      <c r="B805" s="9"/>
      <c r="C805" s="9"/>
      <c r="D805" s="9"/>
      <c r="E805" s="9"/>
      <c r="F805" s="9"/>
      <c r="G805" s="9"/>
      <c r="H805" s="9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9"/>
      <c r="B806" s="9"/>
      <c r="C806" s="9"/>
      <c r="D806" s="9"/>
      <c r="E806" s="9"/>
      <c r="F806" s="9"/>
      <c r="G806" s="9"/>
      <c r="H806" s="9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9"/>
      <c r="B807" s="9"/>
      <c r="C807" s="9"/>
      <c r="D807" s="9"/>
      <c r="E807" s="9"/>
      <c r="F807" s="9"/>
      <c r="G807" s="9"/>
      <c r="H807" s="9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9"/>
      <c r="B808" s="9"/>
      <c r="C808" s="9"/>
      <c r="D808" s="9"/>
      <c r="E808" s="9"/>
      <c r="F808" s="9"/>
      <c r="G808" s="9"/>
      <c r="H808" s="9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9"/>
      <c r="B809" s="9"/>
      <c r="C809" s="9"/>
      <c r="D809" s="9"/>
      <c r="E809" s="9"/>
      <c r="F809" s="9"/>
      <c r="G809" s="9"/>
      <c r="H809" s="9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9"/>
      <c r="B810" s="9"/>
      <c r="C810" s="9"/>
      <c r="D810" s="9"/>
      <c r="E810" s="9"/>
      <c r="F810" s="9"/>
      <c r="G810" s="9"/>
      <c r="H810" s="9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9"/>
      <c r="B811" s="9"/>
      <c r="C811" s="9"/>
      <c r="D811" s="9"/>
      <c r="E811" s="9"/>
      <c r="F811" s="9"/>
      <c r="G811" s="9"/>
      <c r="H811" s="9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9"/>
      <c r="B812" s="9"/>
      <c r="C812" s="9"/>
      <c r="D812" s="9"/>
      <c r="E812" s="9"/>
      <c r="F812" s="9"/>
      <c r="G812" s="9"/>
      <c r="H812" s="9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9"/>
      <c r="B813" s="9"/>
      <c r="C813" s="9"/>
      <c r="D813" s="9"/>
      <c r="E813" s="9"/>
      <c r="F813" s="9"/>
      <c r="G813" s="9"/>
      <c r="H813" s="9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9"/>
      <c r="B814" s="9"/>
      <c r="C814" s="9"/>
      <c r="D814" s="9"/>
      <c r="E814" s="9"/>
      <c r="F814" s="9"/>
      <c r="G814" s="9"/>
      <c r="H814" s="9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9"/>
      <c r="B815" s="9"/>
      <c r="C815" s="9"/>
      <c r="D815" s="9"/>
      <c r="E815" s="9"/>
      <c r="F815" s="9"/>
      <c r="G815" s="9"/>
      <c r="H815" s="9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9"/>
      <c r="B816" s="9"/>
      <c r="C816" s="9"/>
      <c r="D816" s="9"/>
      <c r="E816" s="9"/>
      <c r="F816" s="9"/>
      <c r="G816" s="9"/>
      <c r="H816" s="9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9"/>
      <c r="B817" s="9"/>
      <c r="C817" s="9"/>
      <c r="D817" s="9"/>
      <c r="E817" s="9"/>
      <c r="F817" s="9"/>
      <c r="G817" s="9"/>
      <c r="H817" s="9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9"/>
      <c r="B818" s="9"/>
      <c r="C818" s="9"/>
      <c r="D818" s="9"/>
      <c r="E818" s="9"/>
      <c r="F818" s="9"/>
      <c r="G818" s="9"/>
      <c r="H818" s="9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9"/>
      <c r="B819" s="9"/>
      <c r="C819" s="9"/>
      <c r="D819" s="9"/>
      <c r="E819" s="9"/>
      <c r="F819" s="9"/>
      <c r="G819" s="9"/>
      <c r="H819" s="9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9"/>
      <c r="B820" s="9"/>
      <c r="C820" s="9"/>
      <c r="D820" s="9"/>
      <c r="E820" s="9"/>
      <c r="F820" s="9"/>
      <c r="G820" s="9"/>
      <c r="H820" s="9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9"/>
      <c r="B821" s="9"/>
      <c r="C821" s="9"/>
      <c r="D821" s="9"/>
      <c r="E821" s="9"/>
      <c r="F821" s="9"/>
      <c r="G821" s="9"/>
      <c r="H821" s="9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9"/>
      <c r="B822" s="9"/>
      <c r="C822" s="9"/>
      <c r="D822" s="9"/>
      <c r="E822" s="9"/>
      <c r="F822" s="9"/>
      <c r="G822" s="9"/>
      <c r="H822" s="9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9"/>
      <c r="B823" s="9"/>
      <c r="C823" s="9"/>
      <c r="D823" s="9"/>
      <c r="E823" s="9"/>
      <c r="F823" s="9"/>
      <c r="G823" s="9"/>
      <c r="H823" s="9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9"/>
      <c r="B824" s="9"/>
      <c r="C824" s="9"/>
      <c r="D824" s="9"/>
      <c r="E824" s="9"/>
      <c r="F824" s="9"/>
      <c r="G824" s="9"/>
      <c r="H824" s="9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9"/>
      <c r="B825" s="9"/>
      <c r="C825" s="9"/>
      <c r="D825" s="9"/>
      <c r="E825" s="9"/>
      <c r="F825" s="9"/>
      <c r="G825" s="9"/>
      <c r="H825" s="9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9"/>
      <c r="B826" s="9"/>
      <c r="C826" s="9"/>
      <c r="D826" s="9"/>
      <c r="E826" s="9"/>
      <c r="F826" s="9"/>
      <c r="G826" s="9"/>
      <c r="H826" s="9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9"/>
      <c r="B827" s="9"/>
      <c r="C827" s="9"/>
      <c r="D827" s="9"/>
      <c r="E827" s="9"/>
      <c r="F827" s="9"/>
      <c r="G827" s="9"/>
      <c r="H827" s="9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9"/>
      <c r="B828" s="9"/>
      <c r="C828" s="9"/>
      <c r="D828" s="9"/>
      <c r="E828" s="9"/>
      <c r="F828" s="9"/>
      <c r="G828" s="9"/>
      <c r="H828" s="9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9"/>
      <c r="B829" s="9"/>
      <c r="C829" s="9"/>
      <c r="D829" s="9"/>
      <c r="E829" s="9"/>
      <c r="F829" s="9"/>
      <c r="G829" s="9"/>
      <c r="H829" s="9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9"/>
      <c r="B830" s="9"/>
      <c r="C830" s="9"/>
      <c r="D830" s="9"/>
      <c r="E830" s="9"/>
      <c r="F830" s="9"/>
      <c r="G830" s="9"/>
      <c r="H830" s="9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9"/>
      <c r="B831" s="9"/>
      <c r="C831" s="9"/>
      <c r="D831" s="9"/>
      <c r="E831" s="9"/>
      <c r="F831" s="9"/>
      <c r="G831" s="9"/>
      <c r="H831" s="9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9"/>
      <c r="B832" s="9"/>
      <c r="C832" s="9"/>
      <c r="D832" s="9"/>
      <c r="E832" s="9"/>
      <c r="F832" s="9"/>
      <c r="G832" s="9"/>
      <c r="H832" s="9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9"/>
      <c r="B833" s="9"/>
      <c r="C833" s="9"/>
      <c r="D833" s="9"/>
      <c r="E833" s="9"/>
      <c r="F833" s="9"/>
      <c r="G833" s="9"/>
      <c r="H833" s="9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9"/>
      <c r="B834" s="9"/>
      <c r="C834" s="9"/>
      <c r="D834" s="9"/>
      <c r="E834" s="9"/>
      <c r="F834" s="9"/>
      <c r="G834" s="9"/>
      <c r="H834" s="9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9"/>
      <c r="B835" s="9"/>
      <c r="C835" s="9"/>
      <c r="D835" s="9"/>
      <c r="E835" s="9"/>
      <c r="F835" s="9"/>
      <c r="G835" s="9"/>
      <c r="H835" s="9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9"/>
      <c r="B836" s="9"/>
      <c r="C836" s="9"/>
      <c r="D836" s="9"/>
      <c r="E836" s="9"/>
      <c r="F836" s="9"/>
      <c r="G836" s="9"/>
      <c r="H836" s="9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9"/>
      <c r="B837" s="9"/>
      <c r="C837" s="9"/>
      <c r="D837" s="9"/>
      <c r="E837" s="9"/>
      <c r="F837" s="9"/>
      <c r="G837" s="9"/>
      <c r="H837" s="9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9"/>
      <c r="B838" s="9"/>
      <c r="C838" s="9"/>
      <c r="D838" s="9"/>
      <c r="E838" s="9"/>
      <c r="F838" s="9"/>
      <c r="G838" s="9"/>
      <c r="H838" s="9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9"/>
      <c r="B839" s="9"/>
      <c r="C839" s="9"/>
      <c r="D839" s="9"/>
      <c r="E839" s="9"/>
      <c r="F839" s="9"/>
      <c r="G839" s="9"/>
      <c r="H839" s="9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9"/>
      <c r="B840" s="9"/>
      <c r="C840" s="9"/>
      <c r="D840" s="9"/>
      <c r="E840" s="9"/>
      <c r="F840" s="9"/>
      <c r="G840" s="9"/>
      <c r="H840" s="9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9"/>
      <c r="B841" s="9"/>
      <c r="C841" s="9"/>
      <c r="D841" s="9"/>
      <c r="E841" s="9"/>
      <c r="F841" s="9"/>
      <c r="G841" s="9"/>
      <c r="H841" s="9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9"/>
      <c r="B842" s="9"/>
      <c r="C842" s="9"/>
      <c r="D842" s="9"/>
      <c r="E842" s="9"/>
      <c r="F842" s="9"/>
      <c r="G842" s="9"/>
      <c r="H842" s="9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9"/>
      <c r="B843" s="9"/>
      <c r="C843" s="9"/>
      <c r="D843" s="9"/>
      <c r="E843" s="9"/>
      <c r="F843" s="9"/>
      <c r="G843" s="9"/>
      <c r="H843" s="9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9"/>
      <c r="B844" s="9"/>
      <c r="C844" s="9"/>
      <c r="D844" s="9"/>
      <c r="E844" s="9"/>
      <c r="F844" s="9"/>
      <c r="G844" s="9"/>
      <c r="H844" s="9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9"/>
      <c r="B845" s="9"/>
      <c r="C845" s="9"/>
      <c r="D845" s="9"/>
      <c r="E845" s="9"/>
      <c r="F845" s="9"/>
      <c r="G845" s="9"/>
      <c r="H845" s="9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9"/>
      <c r="B846" s="9"/>
      <c r="C846" s="9"/>
      <c r="D846" s="9"/>
      <c r="E846" s="9"/>
      <c r="F846" s="9"/>
      <c r="G846" s="9"/>
      <c r="H846" s="9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9"/>
      <c r="B847" s="9"/>
      <c r="C847" s="9"/>
      <c r="D847" s="9"/>
      <c r="E847" s="9"/>
      <c r="F847" s="9"/>
      <c r="G847" s="9"/>
      <c r="H847" s="9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9"/>
      <c r="B848" s="9"/>
      <c r="C848" s="9"/>
      <c r="D848" s="9"/>
      <c r="E848" s="9"/>
      <c r="F848" s="9"/>
      <c r="G848" s="9"/>
      <c r="H848" s="9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9"/>
      <c r="B849" s="9"/>
      <c r="C849" s="9"/>
      <c r="D849" s="9"/>
      <c r="E849" s="9"/>
      <c r="F849" s="9"/>
      <c r="G849" s="9"/>
      <c r="H849" s="9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9"/>
      <c r="B850" s="9"/>
      <c r="C850" s="9"/>
      <c r="D850" s="9"/>
      <c r="E850" s="9"/>
      <c r="F850" s="9"/>
      <c r="G850" s="9"/>
      <c r="H850" s="9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9"/>
      <c r="B851" s="9"/>
      <c r="C851" s="9"/>
      <c r="D851" s="9"/>
      <c r="E851" s="9"/>
      <c r="F851" s="9"/>
      <c r="G851" s="9"/>
      <c r="H851" s="9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9"/>
      <c r="B852" s="9"/>
      <c r="C852" s="9"/>
      <c r="D852" s="9"/>
      <c r="E852" s="9"/>
      <c r="F852" s="9"/>
      <c r="G852" s="9"/>
      <c r="H852" s="9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9"/>
      <c r="B853" s="9"/>
      <c r="C853" s="9"/>
      <c r="D853" s="9"/>
      <c r="E853" s="9"/>
      <c r="F853" s="9"/>
      <c r="G853" s="9"/>
      <c r="H853" s="9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9"/>
      <c r="B854" s="9"/>
      <c r="C854" s="9"/>
      <c r="D854" s="9"/>
      <c r="E854" s="9"/>
      <c r="F854" s="9"/>
      <c r="G854" s="9"/>
      <c r="H854" s="9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9"/>
      <c r="B855" s="9"/>
      <c r="C855" s="9"/>
      <c r="D855" s="9"/>
      <c r="E855" s="9"/>
      <c r="F855" s="9"/>
      <c r="G855" s="9"/>
      <c r="H855" s="9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9"/>
      <c r="B856" s="9"/>
      <c r="C856" s="9"/>
      <c r="D856" s="9"/>
      <c r="E856" s="9"/>
      <c r="F856" s="9"/>
      <c r="G856" s="9"/>
      <c r="H856" s="9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9"/>
      <c r="B857" s="9"/>
      <c r="C857" s="9"/>
      <c r="D857" s="9"/>
      <c r="E857" s="9"/>
      <c r="F857" s="9"/>
      <c r="G857" s="9"/>
      <c r="H857" s="9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9"/>
      <c r="B858" s="9"/>
      <c r="C858" s="9"/>
      <c r="D858" s="9"/>
      <c r="E858" s="9"/>
      <c r="F858" s="9"/>
      <c r="G858" s="9"/>
      <c r="H858" s="9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9"/>
      <c r="B859" s="9"/>
      <c r="C859" s="9"/>
      <c r="D859" s="9"/>
      <c r="E859" s="9"/>
      <c r="F859" s="9"/>
      <c r="G859" s="9"/>
      <c r="H859" s="9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9"/>
      <c r="B860" s="9"/>
      <c r="C860" s="9"/>
      <c r="D860" s="9"/>
      <c r="E860" s="9"/>
      <c r="F860" s="9"/>
      <c r="G860" s="9"/>
      <c r="H860" s="9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9"/>
      <c r="B861" s="9"/>
      <c r="C861" s="9"/>
      <c r="D861" s="9"/>
      <c r="E861" s="9"/>
      <c r="F861" s="9"/>
      <c r="G861" s="9"/>
      <c r="H861" s="9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9"/>
      <c r="B862" s="9"/>
      <c r="C862" s="9"/>
      <c r="D862" s="9"/>
      <c r="E862" s="9"/>
      <c r="F862" s="9"/>
      <c r="G862" s="9"/>
      <c r="H862" s="9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9"/>
      <c r="B863" s="9"/>
      <c r="C863" s="9"/>
      <c r="D863" s="9"/>
      <c r="E863" s="9"/>
      <c r="F863" s="9"/>
      <c r="G863" s="9"/>
      <c r="H863" s="9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9"/>
      <c r="B864" s="9"/>
      <c r="C864" s="9"/>
      <c r="D864" s="9"/>
      <c r="E864" s="9"/>
      <c r="F864" s="9"/>
      <c r="G864" s="9"/>
      <c r="H864" s="9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9"/>
      <c r="B865" s="9"/>
      <c r="C865" s="9"/>
      <c r="D865" s="9"/>
      <c r="E865" s="9"/>
      <c r="F865" s="9"/>
      <c r="G865" s="9"/>
      <c r="H865" s="9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9"/>
      <c r="B866" s="9"/>
      <c r="C866" s="9"/>
      <c r="D866" s="9"/>
      <c r="E866" s="9"/>
      <c r="F866" s="9"/>
      <c r="G866" s="9"/>
      <c r="H866" s="9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9"/>
      <c r="B867" s="9"/>
      <c r="C867" s="9"/>
      <c r="D867" s="9"/>
      <c r="E867" s="9"/>
      <c r="F867" s="9"/>
      <c r="G867" s="9"/>
      <c r="H867" s="9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9"/>
      <c r="B868" s="9"/>
      <c r="C868" s="9"/>
      <c r="D868" s="9"/>
      <c r="E868" s="9"/>
      <c r="F868" s="9"/>
      <c r="G868" s="9"/>
      <c r="H868" s="9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9"/>
      <c r="B869" s="9"/>
      <c r="C869" s="9"/>
      <c r="D869" s="9"/>
      <c r="E869" s="9"/>
      <c r="F869" s="9"/>
      <c r="G869" s="9"/>
      <c r="H869" s="9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9"/>
      <c r="B870" s="9"/>
      <c r="C870" s="9"/>
      <c r="D870" s="9"/>
      <c r="E870" s="9"/>
      <c r="F870" s="9"/>
      <c r="G870" s="9"/>
      <c r="H870" s="9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9"/>
      <c r="B871" s="9"/>
      <c r="C871" s="9"/>
      <c r="D871" s="9"/>
      <c r="E871" s="9"/>
      <c r="F871" s="9"/>
      <c r="G871" s="9"/>
      <c r="H871" s="9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9"/>
      <c r="B872" s="9"/>
      <c r="C872" s="9"/>
      <c r="D872" s="9"/>
      <c r="E872" s="9"/>
      <c r="F872" s="9"/>
      <c r="G872" s="9"/>
      <c r="H872" s="9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9"/>
      <c r="B873" s="9"/>
      <c r="C873" s="9"/>
      <c r="D873" s="9"/>
      <c r="E873" s="9"/>
      <c r="F873" s="9"/>
      <c r="G873" s="9"/>
      <c r="H873" s="9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9"/>
      <c r="B874" s="9"/>
      <c r="C874" s="9"/>
      <c r="D874" s="9"/>
      <c r="E874" s="9"/>
      <c r="F874" s="9"/>
      <c r="G874" s="9"/>
      <c r="H874" s="9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9"/>
      <c r="B875" s="9"/>
      <c r="C875" s="9"/>
      <c r="D875" s="9"/>
      <c r="E875" s="9"/>
      <c r="F875" s="9"/>
      <c r="G875" s="9"/>
      <c r="H875" s="9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9"/>
      <c r="B876" s="9"/>
      <c r="C876" s="9"/>
      <c r="D876" s="9"/>
      <c r="E876" s="9"/>
      <c r="F876" s="9"/>
      <c r="G876" s="9"/>
      <c r="H876" s="9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9"/>
      <c r="B877" s="9"/>
      <c r="C877" s="9"/>
      <c r="D877" s="9"/>
      <c r="E877" s="9"/>
      <c r="F877" s="9"/>
      <c r="G877" s="9"/>
      <c r="H877" s="9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9"/>
      <c r="B878" s="9"/>
      <c r="C878" s="9"/>
      <c r="D878" s="9"/>
      <c r="E878" s="9"/>
      <c r="F878" s="9"/>
      <c r="G878" s="9"/>
      <c r="H878" s="9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9"/>
      <c r="B879" s="9"/>
      <c r="C879" s="9"/>
      <c r="D879" s="9"/>
      <c r="E879" s="9"/>
      <c r="F879" s="9"/>
      <c r="G879" s="9"/>
      <c r="H879" s="9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9"/>
      <c r="B880" s="9"/>
      <c r="C880" s="9"/>
      <c r="D880" s="9"/>
      <c r="E880" s="9"/>
      <c r="F880" s="9"/>
      <c r="G880" s="9"/>
      <c r="H880" s="9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9"/>
      <c r="B881" s="9"/>
      <c r="C881" s="9"/>
      <c r="D881" s="9"/>
      <c r="E881" s="9"/>
      <c r="F881" s="9"/>
      <c r="G881" s="9"/>
      <c r="H881" s="9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9"/>
      <c r="B882" s="9"/>
      <c r="C882" s="9"/>
      <c r="D882" s="9"/>
      <c r="E882" s="9"/>
      <c r="F882" s="9"/>
      <c r="G882" s="9"/>
      <c r="H882" s="9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9"/>
      <c r="B883" s="9"/>
      <c r="C883" s="9"/>
      <c r="D883" s="9"/>
      <c r="E883" s="9"/>
      <c r="F883" s="9"/>
      <c r="G883" s="9"/>
      <c r="H883" s="9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9"/>
      <c r="B884" s="9"/>
      <c r="C884" s="9"/>
      <c r="D884" s="9"/>
      <c r="E884" s="9"/>
      <c r="F884" s="9"/>
      <c r="G884" s="9"/>
      <c r="H884" s="9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9"/>
      <c r="B885" s="9"/>
      <c r="C885" s="9"/>
      <c r="D885" s="9"/>
      <c r="E885" s="9"/>
      <c r="F885" s="9"/>
      <c r="G885" s="9"/>
      <c r="H885" s="9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9"/>
      <c r="B886" s="9"/>
      <c r="C886" s="9"/>
      <c r="D886" s="9"/>
      <c r="E886" s="9"/>
      <c r="F886" s="9"/>
      <c r="G886" s="9"/>
      <c r="H886" s="9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9"/>
      <c r="B887" s="9"/>
      <c r="C887" s="9"/>
      <c r="D887" s="9"/>
      <c r="E887" s="9"/>
      <c r="F887" s="9"/>
      <c r="G887" s="9"/>
      <c r="H887" s="9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9"/>
      <c r="B888" s="9"/>
      <c r="C888" s="9"/>
      <c r="D888" s="9"/>
      <c r="E888" s="9"/>
      <c r="F888" s="9"/>
      <c r="G888" s="9"/>
      <c r="H888" s="9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9"/>
      <c r="B889" s="9"/>
      <c r="C889" s="9"/>
      <c r="D889" s="9"/>
      <c r="E889" s="9"/>
      <c r="F889" s="9"/>
      <c r="G889" s="9"/>
      <c r="H889" s="9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9"/>
      <c r="B890" s="9"/>
      <c r="C890" s="9"/>
      <c r="D890" s="9"/>
      <c r="E890" s="9"/>
      <c r="F890" s="9"/>
      <c r="G890" s="9"/>
      <c r="H890" s="9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9"/>
      <c r="B891" s="9"/>
      <c r="C891" s="9"/>
      <c r="D891" s="9"/>
      <c r="E891" s="9"/>
      <c r="F891" s="9"/>
      <c r="G891" s="9"/>
      <c r="H891" s="9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9"/>
      <c r="B892" s="9"/>
      <c r="C892" s="9"/>
      <c r="D892" s="9"/>
      <c r="E892" s="9"/>
      <c r="F892" s="9"/>
      <c r="G892" s="9"/>
      <c r="H892" s="9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9"/>
      <c r="B893" s="9"/>
      <c r="C893" s="9"/>
      <c r="D893" s="9"/>
      <c r="E893" s="9"/>
      <c r="F893" s="9"/>
      <c r="G893" s="9"/>
      <c r="H893" s="9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9"/>
      <c r="B894" s="9"/>
      <c r="C894" s="9"/>
      <c r="D894" s="9"/>
      <c r="E894" s="9"/>
      <c r="F894" s="9"/>
      <c r="G894" s="9"/>
      <c r="H894" s="9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9"/>
      <c r="B895" s="9"/>
      <c r="C895" s="9"/>
      <c r="D895" s="9"/>
      <c r="E895" s="9"/>
      <c r="F895" s="9"/>
      <c r="G895" s="9"/>
      <c r="H895" s="9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9"/>
      <c r="B896" s="9"/>
      <c r="C896" s="9"/>
      <c r="D896" s="9"/>
      <c r="E896" s="9"/>
      <c r="F896" s="9"/>
      <c r="G896" s="9"/>
      <c r="H896" s="9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9"/>
      <c r="B897" s="9"/>
      <c r="C897" s="9"/>
      <c r="D897" s="9"/>
      <c r="E897" s="9"/>
      <c r="F897" s="9"/>
      <c r="G897" s="9"/>
      <c r="H897" s="9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9"/>
      <c r="B898" s="9"/>
      <c r="C898" s="9"/>
      <c r="D898" s="9"/>
      <c r="E898" s="9"/>
      <c r="F898" s="9"/>
      <c r="G898" s="9"/>
      <c r="H898" s="9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9"/>
      <c r="B899" s="9"/>
      <c r="C899" s="9"/>
      <c r="D899" s="9"/>
      <c r="E899" s="9"/>
      <c r="F899" s="9"/>
      <c r="G899" s="9"/>
      <c r="H899" s="9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9"/>
      <c r="B900" s="9"/>
      <c r="C900" s="9"/>
      <c r="D900" s="9"/>
      <c r="E900" s="9"/>
      <c r="F900" s="9"/>
      <c r="G900" s="9"/>
      <c r="H900" s="9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9"/>
      <c r="B901" s="9"/>
      <c r="C901" s="9"/>
      <c r="D901" s="9"/>
      <c r="E901" s="9"/>
      <c r="F901" s="9"/>
      <c r="G901" s="9"/>
      <c r="H901" s="9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9"/>
      <c r="B902" s="9"/>
      <c r="C902" s="9"/>
      <c r="D902" s="9"/>
      <c r="E902" s="9"/>
      <c r="F902" s="9"/>
      <c r="G902" s="9"/>
      <c r="H902" s="9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9"/>
      <c r="B903" s="9"/>
      <c r="C903" s="9"/>
      <c r="D903" s="9"/>
      <c r="E903" s="9"/>
      <c r="F903" s="9"/>
      <c r="G903" s="9"/>
      <c r="H903" s="9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9"/>
      <c r="B904" s="9"/>
      <c r="C904" s="9"/>
      <c r="D904" s="9"/>
      <c r="E904" s="9"/>
      <c r="F904" s="9"/>
      <c r="G904" s="9"/>
      <c r="H904" s="9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9"/>
      <c r="B905" s="9"/>
      <c r="C905" s="9"/>
      <c r="D905" s="9"/>
      <c r="E905" s="9"/>
      <c r="F905" s="9"/>
      <c r="G905" s="9"/>
      <c r="H905" s="9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9"/>
      <c r="B906" s="9"/>
      <c r="C906" s="9"/>
      <c r="D906" s="9"/>
      <c r="E906" s="9"/>
      <c r="F906" s="9"/>
      <c r="G906" s="9"/>
      <c r="H906" s="9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9"/>
      <c r="B907" s="9"/>
      <c r="C907" s="9"/>
      <c r="D907" s="9"/>
      <c r="E907" s="9"/>
      <c r="F907" s="9"/>
      <c r="G907" s="9"/>
      <c r="H907" s="9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9"/>
      <c r="B908" s="9"/>
      <c r="C908" s="9"/>
      <c r="D908" s="9"/>
      <c r="E908" s="9"/>
      <c r="F908" s="9"/>
      <c r="G908" s="9"/>
      <c r="H908" s="9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9"/>
      <c r="B909" s="9"/>
      <c r="C909" s="9"/>
      <c r="D909" s="9"/>
      <c r="E909" s="9"/>
      <c r="F909" s="9"/>
      <c r="G909" s="9"/>
      <c r="H909" s="9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9"/>
      <c r="B910" s="9"/>
      <c r="C910" s="9"/>
      <c r="D910" s="9"/>
      <c r="E910" s="9"/>
      <c r="F910" s="9"/>
      <c r="G910" s="9"/>
      <c r="H910" s="9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9"/>
      <c r="B911" s="9"/>
      <c r="C911" s="9"/>
      <c r="D911" s="9"/>
      <c r="E911" s="9"/>
      <c r="F911" s="9"/>
      <c r="G911" s="9"/>
      <c r="H911" s="9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9"/>
      <c r="B912" s="9"/>
      <c r="C912" s="9"/>
      <c r="D912" s="9"/>
      <c r="E912" s="9"/>
      <c r="F912" s="9"/>
      <c r="G912" s="9"/>
      <c r="H912" s="9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9"/>
      <c r="B913" s="9"/>
      <c r="C913" s="9"/>
      <c r="D913" s="9"/>
      <c r="E913" s="9"/>
      <c r="F913" s="9"/>
      <c r="G913" s="9"/>
      <c r="H913" s="9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9"/>
      <c r="B914" s="9"/>
      <c r="C914" s="9"/>
      <c r="D914" s="9"/>
      <c r="E914" s="9"/>
      <c r="F914" s="9"/>
      <c r="G914" s="9"/>
      <c r="H914" s="9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9"/>
      <c r="B915" s="9"/>
      <c r="C915" s="9"/>
      <c r="D915" s="9"/>
      <c r="E915" s="9"/>
      <c r="F915" s="9"/>
      <c r="G915" s="9"/>
      <c r="H915" s="9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9"/>
      <c r="B916" s="9"/>
      <c r="C916" s="9"/>
      <c r="D916" s="9"/>
      <c r="E916" s="9"/>
      <c r="F916" s="9"/>
      <c r="G916" s="9"/>
      <c r="H916" s="9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9"/>
      <c r="B917" s="9"/>
      <c r="C917" s="9"/>
      <c r="D917" s="9"/>
      <c r="E917" s="9"/>
      <c r="F917" s="9"/>
      <c r="G917" s="9"/>
      <c r="H917" s="9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9"/>
      <c r="B918" s="9"/>
      <c r="C918" s="9"/>
      <c r="D918" s="9"/>
      <c r="E918" s="9"/>
      <c r="F918" s="9"/>
      <c r="G918" s="9"/>
      <c r="H918" s="9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9"/>
      <c r="B919" s="9"/>
      <c r="C919" s="9"/>
      <c r="D919" s="9"/>
      <c r="E919" s="9"/>
      <c r="F919" s="9"/>
      <c r="G919" s="9"/>
      <c r="H919" s="9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9"/>
      <c r="B920" s="9"/>
      <c r="C920" s="9"/>
      <c r="D920" s="9"/>
      <c r="E920" s="9"/>
      <c r="F920" s="9"/>
      <c r="G920" s="9"/>
      <c r="H920" s="9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9"/>
      <c r="B921" s="9"/>
      <c r="C921" s="9"/>
      <c r="D921" s="9"/>
      <c r="E921" s="9"/>
      <c r="F921" s="9"/>
      <c r="G921" s="9"/>
      <c r="H921" s="9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9"/>
      <c r="B922" s="9"/>
      <c r="C922" s="9"/>
      <c r="D922" s="9"/>
      <c r="E922" s="9"/>
      <c r="F922" s="9"/>
      <c r="G922" s="9"/>
      <c r="H922" s="9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9"/>
      <c r="B923" s="9"/>
      <c r="C923" s="9"/>
      <c r="D923" s="9"/>
      <c r="E923" s="9"/>
      <c r="F923" s="9"/>
      <c r="G923" s="9"/>
      <c r="H923" s="9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9"/>
      <c r="B924" s="9"/>
      <c r="C924" s="9"/>
      <c r="D924" s="9"/>
      <c r="E924" s="9"/>
      <c r="F924" s="9"/>
      <c r="G924" s="9"/>
      <c r="H924" s="9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9"/>
      <c r="B925" s="9"/>
      <c r="C925" s="9"/>
      <c r="D925" s="9"/>
      <c r="E925" s="9"/>
      <c r="F925" s="9"/>
      <c r="G925" s="9"/>
      <c r="H925" s="9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9"/>
      <c r="B926" s="9"/>
      <c r="C926" s="9"/>
      <c r="D926" s="9"/>
      <c r="E926" s="9"/>
      <c r="F926" s="9"/>
      <c r="G926" s="9"/>
      <c r="H926" s="9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9"/>
      <c r="B927" s="9"/>
      <c r="C927" s="9"/>
      <c r="D927" s="9"/>
      <c r="E927" s="9"/>
      <c r="F927" s="9"/>
      <c r="G927" s="9"/>
      <c r="H927" s="9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9"/>
      <c r="B928" s="9"/>
      <c r="C928" s="9"/>
      <c r="D928" s="9"/>
      <c r="E928" s="9"/>
      <c r="F928" s="9"/>
      <c r="G928" s="9"/>
      <c r="H928" s="9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9"/>
      <c r="B929" s="9"/>
      <c r="C929" s="9"/>
      <c r="D929" s="9"/>
      <c r="E929" s="9"/>
      <c r="F929" s="9"/>
      <c r="G929" s="9"/>
      <c r="H929" s="9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9"/>
      <c r="B930" s="9"/>
      <c r="C930" s="9"/>
      <c r="D930" s="9"/>
      <c r="E930" s="9"/>
      <c r="F930" s="9"/>
      <c r="G930" s="9"/>
      <c r="H930" s="9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9"/>
      <c r="B931" s="9"/>
      <c r="C931" s="9"/>
      <c r="D931" s="9"/>
      <c r="E931" s="9"/>
      <c r="F931" s="9"/>
      <c r="G931" s="9"/>
      <c r="H931" s="9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9"/>
      <c r="B932" s="9"/>
      <c r="C932" s="9"/>
      <c r="D932" s="9"/>
      <c r="E932" s="9"/>
      <c r="F932" s="9"/>
      <c r="G932" s="9"/>
      <c r="H932" s="9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9"/>
      <c r="B933" s="9"/>
      <c r="C933" s="9"/>
      <c r="D933" s="9"/>
      <c r="E933" s="9"/>
      <c r="F933" s="9"/>
      <c r="G933" s="9"/>
      <c r="H933" s="9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9"/>
      <c r="B934" s="9"/>
      <c r="C934" s="9"/>
      <c r="D934" s="9"/>
      <c r="E934" s="9"/>
      <c r="F934" s="9"/>
      <c r="G934" s="9"/>
      <c r="H934" s="9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9"/>
      <c r="B935" s="9"/>
      <c r="C935" s="9"/>
      <c r="D935" s="9"/>
      <c r="E935" s="9"/>
      <c r="F935" s="9"/>
      <c r="G935" s="9"/>
      <c r="H935" s="9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9"/>
      <c r="B936" s="9"/>
      <c r="C936" s="9"/>
      <c r="D936" s="9"/>
      <c r="E936" s="9"/>
      <c r="F936" s="9"/>
      <c r="G936" s="9"/>
      <c r="H936" s="9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9"/>
      <c r="B937" s="9"/>
      <c r="C937" s="9"/>
      <c r="D937" s="9"/>
      <c r="E937" s="9"/>
      <c r="F937" s="9"/>
      <c r="G937" s="9"/>
      <c r="H937" s="9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9"/>
      <c r="B938" s="9"/>
      <c r="C938" s="9"/>
      <c r="D938" s="9"/>
      <c r="E938" s="9"/>
      <c r="F938" s="9"/>
      <c r="G938" s="9"/>
      <c r="H938" s="9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9"/>
      <c r="B939" s="9"/>
      <c r="C939" s="9"/>
      <c r="D939" s="9"/>
      <c r="E939" s="9"/>
      <c r="F939" s="9"/>
      <c r="G939" s="9"/>
      <c r="H939" s="9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9"/>
      <c r="B940" s="9"/>
      <c r="C940" s="9"/>
      <c r="D940" s="9"/>
      <c r="E940" s="9"/>
      <c r="F940" s="9"/>
      <c r="G940" s="9"/>
      <c r="H940" s="9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9"/>
      <c r="B941" s="9"/>
      <c r="C941" s="9"/>
      <c r="D941" s="9"/>
      <c r="E941" s="9"/>
      <c r="F941" s="9"/>
      <c r="G941" s="9"/>
      <c r="H941" s="9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9"/>
      <c r="B942" s="9"/>
      <c r="C942" s="9"/>
      <c r="D942" s="9"/>
      <c r="E942" s="9"/>
      <c r="F942" s="9"/>
      <c r="G942" s="9"/>
      <c r="H942" s="9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9"/>
      <c r="B943" s="9"/>
      <c r="C943" s="9"/>
      <c r="D943" s="9"/>
      <c r="E943" s="9"/>
      <c r="F943" s="9"/>
      <c r="G943" s="9"/>
      <c r="H943" s="9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9"/>
      <c r="B944" s="9"/>
      <c r="C944" s="9"/>
      <c r="D944" s="9"/>
      <c r="E944" s="9"/>
      <c r="F944" s="9"/>
      <c r="G944" s="9"/>
      <c r="H944" s="9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9"/>
      <c r="B945" s="9"/>
      <c r="C945" s="9"/>
      <c r="D945" s="9"/>
      <c r="E945" s="9"/>
      <c r="F945" s="9"/>
      <c r="G945" s="9"/>
      <c r="H945" s="9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9"/>
      <c r="B946" s="9"/>
      <c r="C946" s="9"/>
      <c r="D946" s="9"/>
      <c r="E946" s="9"/>
      <c r="F946" s="9"/>
      <c r="G946" s="9"/>
      <c r="H946" s="9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9"/>
      <c r="B947" s="9"/>
      <c r="C947" s="9"/>
      <c r="D947" s="9"/>
      <c r="E947" s="9"/>
      <c r="F947" s="9"/>
      <c r="G947" s="9"/>
      <c r="H947" s="9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9"/>
      <c r="B948" s="9"/>
      <c r="C948" s="9"/>
      <c r="D948" s="9"/>
      <c r="E948" s="9"/>
      <c r="F948" s="9"/>
      <c r="G948" s="9"/>
      <c r="H948" s="9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9"/>
      <c r="B949" s="9"/>
      <c r="C949" s="9"/>
      <c r="D949" s="9"/>
      <c r="E949" s="9"/>
      <c r="F949" s="9"/>
      <c r="G949" s="9"/>
      <c r="H949" s="9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9"/>
      <c r="B950" s="9"/>
      <c r="C950" s="9"/>
      <c r="D950" s="9"/>
      <c r="E950" s="9"/>
      <c r="F950" s="9"/>
      <c r="G950" s="9"/>
      <c r="H950" s="9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9"/>
      <c r="B951" s="9"/>
      <c r="C951" s="9"/>
      <c r="D951" s="9"/>
      <c r="E951" s="9"/>
      <c r="F951" s="9"/>
      <c r="G951" s="9"/>
      <c r="H951" s="9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9"/>
      <c r="B952" s="9"/>
      <c r="C952" s="9"/>
      <c r="D952" s="9"/>
      <c r="E952" s="9"/>
      <c r="F952" s="9"/>
      <c r="G952" s="9"/>
      <c r="H952" s="9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9"/>
      <c r="B953" s="9"/>
      <c r="C953" s="9"/>
      <c r="D953" s="9"/>
      <c r="E953" s="9"/>
      <c r="F953" s="9"/>
      <c r="G953" s="9"/>
      <c r="H953" s="9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9"/>
      <c r="B954" s="9"/>
      <c r="C954" s="9"/>
      <c r="D954" s="9"/>
      <c r="E954" s="9"/>
      <c r="F954" s="9"/>
      <c r="G954" s="9"/>
      <c r="H954" s="9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9"/>
      <c r="B955" s="9"/>
      <c r="C955" s="9"/>
      <c r="D955" s="9"/>
      <c r="E955" s="9"/>
      <c r="F955" s="9"/>
      <c r="G955" s="9"/>
      <c r="H955" s="9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9"/>
      <c r="B956" s="9"/>
      <c r="C956" s="9"/>
      <c r="D956" s="9"/>
      <c r="E956" s="9"/>
      <c r="F956" s="9"/>
      <c r="G956" s="9"/>
      <c r="H956" s="9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9"/>
      <c r="B957" s="9"/>
      <c r="C957" s="9"/>
      <c r="D957" s="9"/>
      <c r="E957" s="9"/>
      <c r="F957" s="9"/>
      <c r="G957" s="9"/>
      <c r="H957" s="9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9"/>
      <c r="B958" s="9"/>
      <c r="C958" s="9"/>
      <c r="D958" s="9"/>
      <c r="E958" s="9"/>
      <c r="F958" s="9"/>
      <c r="G958" s="9"/>
      <c r="H958" s="9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9"/>
      <c r="B959" s="9"/>
      <c r="C959" s="9"/>
      <c r="D959" s="9"/>
      <c r="E959" s="9"/>
      <c r="F959" s="9"/>
      <c r="G959" s="9"/>
      <c r="H959" s="9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9"/>
      <c r="B960" s="9"/>
      <c r="C960" s="9"/>
      <c r="D960" s="9"/>
      <c r="E960" s="9"/>
      <c r="F960" s="9"/>
      <c r="G960" s="9"/>
      <c r="H960" s="9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9"/>
      <c r="B961" s="9"/>
      <c r="C961" s="9"/>
      <c r="D961" s="9"/>
      <c r="E961" s="9"/>
      <c r="F961" s="9"/>
      <c r="G961" s="9"/>
      <c r="H961" s="9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9"/>
      <c r="B962" s="9"/>
      <c r="C962" s="9"/>
      <c r="D962" s="9"/>
      <c r="E962" s="9"/>
      <c r="F962" s="9"/>
      <c r="G962" s="9"/>
      <c r="H962" s="9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9"/>
      <c r="B963" s="9"/>
      <c r="C963" s="9"/>
      <c r="D963" s="9"/>
      <c r="E963" s="9"/>
      <c r="F963" s="9"/>
      <c r="G963" s="9"/>
      <c r="H963" s="9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9"/>
      <c r="B964" s="9"/>
      <c r="C964" s="9"/>
      <c r="D964" s="9"/>
      <c r="E964" s="9"/>
      <c r="F964" s="9"/>
      <c r="G964" s="9"/>
      <c r="H964" s="9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9"/>
      <c r="B965" s="9"/>
      <c r="C965" s="9"/>
      <c r="D965" s="9"/>
      <c r="E965" s="9"/>
      <c r="F965" s="9"/>
      <c r="G965" s="9"/>
      <c r="H965" s="9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9"/>
      <c r="B966" s="9"/>
      <c r="C966" s="9"/>
      <c r="D966" s="9"/>
      <c r="E966" s="9"/>
      <c r="F966" s="9"/>
      <c r="G966" s="9"/>
      <c r="H966" s="9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9"/>
      <c r="B967" s="9"/>
      <c r="C967" s="9"/>
      <c r="D967" s="9"/>
      <c r="E967" s="9"/>
      <c r="F967" s="9"/>
      <c r="G967" s="9"/>
      <c r="H967" s="9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9"/>
      <c r="B968" s="9"/>
      <c r="C968" s="9"/>
      <c r="D968" s="9"/>
      <c r="E968" s="9"/>
      <c r="F968" s="9"/>
      <c r="G968" s="9"/>
      <c r="H968" s="9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9"/>
      <c r="B969" s="9"/>
      <c r="C969" s="9"/>
      <c r="D969" s="9"/>
      <c r="E969" s="9"/>
      <c r="F969" s="9"/>
      <c r="G969" s="9"/>
      <c r="H969" s="9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9"/>
      <c r="B970" s="9"/>
      <c r="C970" s="9"/>
      <c r="D970" s="9"/>
      <c r="E970" s="9"/>
      <c r="F970" s="9"/>
      <c r="G970" s="9"/>
      <c r="H970" s="9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9"/>
      <c r="B971" s="9"/>
      <c r="C971" s="9"/>
      <c r="D971" s="9"/>
      <c r="E971" s="9"/>
      <c r="F971" s="9"/>
      <c r="G971" s="9"/>
      <c r="H971" s="9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9"/>
      <c r="B972" s="9"/>
      <c r="C972" s="9"/>
      <c r="D972" s="9"/>
      <c r="E972" s="9"/>
      <c r="F972" s="9"/>
      <c r="G972" s="9"/>
      <c r="H972" s="9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9"/>
      <c r="B973" s="9"/>
      <c r="C973" s="9"/>
      <c r="D973" s="9"/>
      <c r="E973" s="9"/>
      <c r="F973" s="9"/>
      <c r="G973" s="9"/>
      <c r="H973" s="9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9"/>
      <c r="B974" s="9"/>
      <c r="C974" s="9"/>
      <c r="D974" s="9"/>
      <c r="E974" s="9"/>
      <c r="F974" s="9"/>
      <c r="G974" s="9"/>
      <c r="H974" s="9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9"/>
      <c r="B975" s="9"/>
      <c r="C975" s="9"/>
      <c r="D975" s="9"/>
      <c r="E975" s="9"/>
      <c r="F975" s="9"/>
      <c r="G975" s="9"/>
      <c r="H975" s="9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9"/>
      <c r="B976" s="9"/>
      <c r="C976" s="9"/>
      <c r="D976" s="9"/>
      <c r="E976" s="9"/>
      <c r="F976" s="9"/>
      <c r="G976" s="9"/>
      <c r="H976" s="9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9"/>
      <c r="B977" s="9"/>
      <c r="C977" s="9"/>
      <c r="D977" s="9"/>
      <c r="E977" s="9"/>
      <c r="F977" s="9"/>
      <c r="G977" s="9"/>
      <c r="H977" s="9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9"/>
      <c r="B978" s="9"/>
      <c r="C978" s="9"/>
      <c r="D978" s="9"/>
      <c r="E978" s="9"/>
      <c r="F978" s="9"/>
      <c r="G978" s="9"/>
      <c r="H978" s="9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9"/>
      <c r="B979" s="9"/>
      <c r="C979" s="9"/>
      <c r="D979" s="9"/>
      <c r="E979" s="9"/>
      <c r="F979" s="9"/>
      <c r="G979" s="9"/>
      <c r="H979" s="9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9"/>
      <c r="B980" s="9"/>
      <c r="C980" s="9"/>
      <c r="D980" s="9"/>
      <c r="E980" s="9"/>
      <c r="F980" s="9"/>
      <c r="G980" s="9"/>
      <c r="H980" s="9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9"/>
      <c r="B981" s="9"/>
      <c r="C981" s="9"/>
      <c r="D981" s="9"/>
      <c r="E981" s="9"/>
      <c r="F981" s="9"/>
      <c r="G981" s="9"/>
      <c r="H981" s="9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9"/>
      <c r="B982" s="9"/>
      <c r="C982" s="9"/>
      <c r="D982" s="9"/>
      <c r="E982" s="9"/>
      <c r="F982" s="9"/>
      <c r="G982" s="9"/>
      <c r="H982" s="9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9"/>
      <c r="B983" s="9"/>
      <c r="C983" s="9"/>
      <c r="D983" s="9"/>
      <c r="E983" s="9"/>
      <c r="F983" s="9"/>
      <c r="G983" s="9"/>
      <c r="H983" s="9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9"/>
      <c r="B984" s="9"/>
      <c r="C984" s="9"/>
      <c r="D984" s="9"/>
      <c r="E984" s="9"/>
      <c r="F984" s="9"/>
      <c r="G984" s="9"/>
      <c r="H984" s="9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9"/>
      <c r="B985" s="9"/>
      <c r="C985" s="9"/>
      <c r="D985" s="9"/>
      <c r="E985" s="9"/>
      <c r="F985" s="9"/>
      <c r="G985" s="9"/>
      <c r="H985" s="9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9"/>
      <c r="B986" s="9"/>
      <c r="C986" s="9"/>
      <c r="D986" s="9"/>
      <c r="E986" s="9"/>
      <c r="F986" s="9"/>
      <c r="G986" s="9"/>
      <c r="H986" s="9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9"/>
      <c r="B987" s="9"/>
      <c r="C987" s="9"/>
      <c r="D987" s="9"/>
      <c r="E987" s="9"/>
      <c r="F987" s="9"/>
      <c r="G987" s="9"/>
      <c r="H987" s="9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9"/>
      <c r="B988" s="9"/>
      <c r="C988" s="9"/>
      <c r="D988" s="9"/>
      <c r="E988" s="9"/>
      <c r="F988" s="9"/>
      <c r="G988" s="9"/>
      <c r="H988" s="9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9"/>
      <c r="B989" s="9"/>
      <c r="C989" s="9"/>
      <c r="D989" s="9"/>
      <c r="E989" s="9"/>
      <c r="F989" s="9"/>
      <c r="G989" s="9"/>
      <c r="H989" s="9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9"/>
      <c r="B990" s="9"/>
      <c r="C990" s="9"/>
      <c r="D990" s="9"/>
      <c r="E990" s="9"/>
      <c r="F990" s="9"/>
      <c r="G990" s="9"/>
      <c r="H990" s="9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9"/>
      <c r="B991" s="9"/>
      <c r="C991" s="9"/>
      <c r="D991" s="9"/>
      <c r="E991" s="9"/>
      <c r="F991" s="9"/>
      <c r="G991" s="9"/>
      <c r="H991" s="9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9"/>
      <c r="B992" s="9"/>
      <c r="C992" s="9"/>
      <c r="D992" s="9"/>
      <c r="E992" s="9"/>
      <c r="F992" s="9"/>
      <c r="G992" s="9"/>
      <c r="H992" s="9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9"/>
      <c r="B993" s="9"/>
      <c r="C993" s="9"/>
      <c r="D993" s="9"/>
      <c r="E993" s="9"/>
      <c r="F993" s="9"/>
      <c r="G993" s="9"/>
      <c r="H993" s="9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9"/>
      <c r="B994" s="9"/>
      <c r="C994" s="9"/>
      <c r="D994" s="9"/>
      <c r="E994" s="9"/>
      <c r="F994" s="9"/>
      <c r="G994" s="9"/>
      <c r="H994" s="9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9"/>
      <c r="B995" s="9"/>
      <c r="C995" s="9"/>
      <c r="D995" s="9"/>
      <c r="E995" s="9"/>
      <c r="F995" s="9"/>
      <c r="G995" s="9"/>
      <c r="H995" s="9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9"/>
      <c r="B996" s="9"/>
      <c r="C996" s="9"/>
      <c r="D996" s="9"/>
      <c r="E996" s="9"/>
      <c r="F996" s="9"/>
      <c r="G996" s="9"/>
      <c r="H996" s="9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9"/>
      <c r="B997" s="9"/>
      <c r="C997" s="9"/>
      <c r="D997" s="9"/>
      <c r="E997" s="9"/>
      <c r="F997" s="9"/>
      <c r="G997" s="9"/>
      <c r="H997" s="9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9"/>
      <c r="B998" s="9"/>
      <c r="C998" s="9"/>
      <c r="D998" s="9"/>
      <c r="E998" s="9"/>
      <c r="F998" s="9"/>
      <c r="G998" s="9"/>
      <c r="H998" s="9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9"/>
      <c r="B999" s="9"/>
      <c r="C999" s="9"/>
      <c r="D999" s="9"/>
      <c r="E999" s="9"/>
      <c r="F999" s="9"/>
      <c r="G999" s="9"/>
      <c r="H999" s="9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>
      <c r="A1000" s="9"/>
      <c r="B1000" s="9"/>
      <c r="C1000" s="9"/>
      <c r="D1000" s="9"/>
      <c r="E1000" s="9"/>
      <c r="F1000" s="9"/>
      <c r="G1000" s="9"/>
      <c r="H1000" s="9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dataValidations>
    <dataValidation type="list" allowBlank="1" sqref="G2">
      <formula1>"Pending,In Progress,Completed"</formula1>
    </dataValidation>
    <dataValidation type="list" allowBlank="1" sqref="C2:C1000">
      <formula1>Team!$A$2:$A1000</formula1>
    </dataValidation>
    <dataValidation type="list" allowBlank="1" sqref="G3:G1000">
      <formula1>"Open,In Progress,Completed"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6A69A"/>
    <outlinePr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0"/>
    <col customWidth="1" min="3" max="3" width="22.88"/>
  </cols>
  <sheetData>
    <row r="1">
      <c r="A1" s="13" t="s">
        <v>7</v>
      </c>
      <c r="B1" s="13" t="s">
        <v>40</v>
      </c>
      <c r="C1" s="13" t="s">
        <v>41</v>
      </c>
      <c r="D1" s="14" t="s">
        <v>42</v>
      </c>
      <c r="E1" s="14" t="s">
        <v>43</v>
      </c>
      <c r="F1" s="15" t="s">
        <v>6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>
      <c r="A2" s="16" t="s">
        <v>11</v>
      </c>
      <c r="B2" s="16" t="s">
        <v>44</v>
      </c>
      <c r="C2" s="16" t="s">
        <v>45</v>
      </c>
      <c r="D2" s="17">
        <v>134000.0</v>
      </c>
      <c r="E2" s="18">
        <f>D2/Dashboard!$B$3</f>
        <v>13.4</v>
      </c>
      <c r="F2" s="19" t="s">
        <v>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</row>
    <row r="3">
      <c r="A3" s="20" t="s">
        <v>11</v>
      </c>
      <c r="B3" s="20" t="s">
        <v>44</v>
      </c>
      <c r="C3" s="21" t="s">
        <v>46</v>
      </c>
      <c r="D3" s="22">
        <v>120000.0</v>
      </c>
      <c r="E3" s="23">
        <f>D3/Dashboard!$B$3</f>
        <v>12</v>
      </c>
      <c r="F3" s="24" t="s">
        <v>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</row>
    <row r="4">
      <c r="A4" s="16" t="s">
        <v>11</v>
      </c>
      <c r="B4" s="16" t="s">
        <v>44</v>
      </c>
      <c r="C4" s="16" t="s">
        <v>47</v>
      </c>
      <c r="D4" s="17">
        <v>200000.0</v>
      </c>
      <c r="E4" s="18">
        <f>D4/Dashboard!$B$3</f>
        <v>20</v>
      </c>
      <c r="F4" s="19" t="s">
        <v>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</row>
    <row r="5">
      <c r="A5" s="20" t="s">
        <v>11</v>
      </c>
      <c r="B5" s="21" t="s">
        <v>48</v>
      </c>
      <c r="C5" s="21" t="s">
        <v>49</v>
      </c>
      <c r="D5" s="22">
        <v>225000.0</v>
      </c>
      <c r="E5" s="23">
        <f>D5/Dashboard!$B$3</f>
        <v>22.5</v>
      </c>
      <c r="F5" s="24" t="s">
        <v>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</row>
    <row r="6">
      <c r="A6" s="16" t="s">
        <v>11</v>
      </c>
      <c r="B6" s="25" t="s">
        <v>48</v>
      </c>
      <c r="C6" s="26" t="s">
        <v>50</v>
      </c>
      <c r="D6" s="17">
        <v>190000.0</v>
      </c>
      <c r="E6" s="18">
        <f>D6/Dashboard!$B$3</f>
        <v>19</v>
      </c>
      <c r="F6" s="19" t="s">
        <v>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</row>
    <row r="7">
      <c r="A7" s="20" t="s">
        <v>11</v>
      </c>
      <c r="B7" s="21" t="s">
        <v>48</v>
      </c>
      <c r="C7" s="21" t="s">
        <v>51</v>
      </c>
      <c r="D7" s="22">
        <v>220000.0</v>
      </c>
      <c r="E7" s="23">
        <f>D7/Dashboard!$B$3</f>
        <v>22</v>
      </c>
      <c r="F7" s="24" t="s">
        <v>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</row>
    <row r="8">
      <c r="A8" s="16" t="s">
        <v>11</v>
      </c>
      <c r="B8" s="25" t="s">
        <v>48</v>
      </c>
      <c r="C8" s="25" t="s">
        <v>52</v>
      </c>
      <c r="D8" s="17">
        <v>0.0</v>
      </c>
      <c r="E8" s="18">
        <f>D8/Dashboard!$B$3</f>
        <v>0</v>
      </c>
      <c r="F8" s="19" t="s">
        <v>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</row>
    <row r="9">
      <c r="A9" s="20" t="s">
        <v>11</v>
      </c>
      <c r="B9" s="21" t="s">
        <v>48</v>
      </c>
      <c r="C9" s="21" t="s">
        <v>53</v>
      </c>
      <c r="D9" s="22">
        <v>265000.0</v>
      </c>
      <c r="E9" s="23">
        <f>D9/Dashboard!$B$3</f>
        <v>26.5</v>
      </c>
      <c r="F9" s="24" t="s">
        <v>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</row>
    <row r="10">
      <c r="A10" s="16" t="s">
        <v>11</v>
      </c>
      <c r="B10" s="25" t="s">
        <v>54</v>
      </c>
      <c r="C10" s="16" t="s">
        <v>55</v>
      </c>
      <c r="D10" s="17">
        <v>935000.0</v>
      </c>
      <c r="E10" s="18">
        <f>D10/Dashboard!$B$3</f>
        <v>93.5</v>
      </c>
      <c r="F10" s="19" t="s">
        <v>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</row>
    <row r="11">
      <c r="A11" s="20" t="s">
        <v>11</v>
      </c>
      <c r="B11" s="21" t="s">
        <v>54</v>
      </c>
      <c r="C11" s="27" t="s">
        <v>56</v>
      </c>
      <c r="D11" s="22">
        <v>50000.0</v>
      </c>
      <c r="E11" s="23">
        <f>D11/Dashboard!$B$3</f>
        <v>5</v>
      </c>
      <c r="F11" s="24" t="s">
        <v>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</row>
    <row r="12">
      <c r="A12" s="16" t="s">
        <v>11</v>
      </c>
      <c r="B12" s="25" t="s">
        <v>54</v>
      </c>
      <c r="C12" s="26" t="s">
        <v>57</v>
      </c>
      <c r="D12" s="17">
        <v>0.0</v>
      </c>
      <c r="E12" s="18">
        <f>D12/Dashboard!$B$3</f>
        <v>0</v>
      </c>
      <c r="F12" s="19" t="s">
        <v>8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</row>
    <row r="13">
      <c r="A13" s="20" t="s">
        <v>11</v>
      </c>
      <c r="B13" s="21" t="s">
        <v>58</v>
      </c>
      <c r="C13" s="21" t="s">
        <v>59</v>
      </c>
      <c r="D13" s="22">
        <v>213000.0</v>
      </c>
      <c r="E13" s="23">
        <f>D13/Dashboard!$B$3</f>
        <v>21.3</v>
      </c>
      <c r="F13" s="24" t="s">
        <v>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</row>
    <row r="14">
      <c r="A14" s="16" t="s">
        <v>11</v>
      </c>
      <c r="B14" s="25" t="s">
        <v>58</v>
      </c>
      <c r="C14" s="25" t="s">
        <v>60</v>
      </c>
      <c r="D14" s="17">
        <v>400000.0</v>
      </c>
      <c r="E14" s="18">
        <f>D14/Dashboard!$B$3</f>
        <v>40</v>
      </c>
      <c r="F14" s="19" t="s">
        <v>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>
      <c r="A15" s="20" t="s">
        <v>11</v>
      </c>
      <c r="B15" s="21" t="s">
        <v>58</v>
      </c>
      <c r="C15" s="27" t="s">
        <v>61</v>
      </c>
      <c r="D15" s="28">
        <v>90000.0</v>
      </c>
      <c r="E15" s="23">
        <f>D15/Dashboard!$B$3</f>
        <v>9</v>
      </c>
      <c r="F15" s="24" t="s">
        <v>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>
      <c r="A16" s="16" t="s">
        <v>11</v>
      </c>
      <c r="B16" s="25" t="s">
        <v>58</v>
      </c>
      <c r="C16" s="25" t="s">
        <v>62</v>
      </c>
      <c r="D16" s="17">
        <v>100000.0</v>
      </c>
      <c r="E16" s="18">
        <f>D16/Dashboard!$B$3</f>
        <v>10</v>
      </c>
      <c r="F16" s="19" t="s">
        <v>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>
      <c r="A17" s="20" t="s">
        <v>11</v>
      </c>
      <c r="B17" s="21" t="s">
        <v>58</v>
      </c>
      <c r="C17" s="21" t="s">
        <v>63</v>
      </c>
      <c r="D17" s="22">
        <v>25000.0</v>
      </c>
      <c r="E17" s="23">
        <f>D17/Dashboard!$B$3</f>
        <v>2.5</v>
      </c>
      <c r="F17" s="24" t="s">
        <v>8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>
      <c r="A18" s="16" t="s">
        <v>11</v>
      </c>
      <c r="B18" s="25" t="s">
        <v>58</v>
      </c>
      <c r="C18" s="25" t="s">
        <v>64</v>
      </c>
      <c r="D18" s="17">
        <v>30000.0</v>
      </c>
      <c r="E18" s="18">
        <f>D18/Dashboard!$B$3</f>
        <v>3</v>
      </c>
      <c r="F18" s="19" t="s">
        <v>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>
      <c r="A19" s="20" t="s">
        <v>11</v>
      </c>
      <c r="B19" s="21" t="s">
        <v>58</v>
      </c>
      <c r="C19" s="21" t="s">
        <v>65</v>
      </c>
      <c r="D19" s="22">
        <v>5000.0</v>
      </c>
      <c r="E19" s="23">
        <f>D19/Dashboard!$B$3</f>
        <v>0.5</v>
      </c>
      <c r="F19" s="24" t="s">
        <v>8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>
      <c r="A20" s="16" t="s">
        <v>11</v>
      </c>
      <c r="B20" s="25" t="s">
        <v>58</v>
      </c>
      <c r="C20" s="25" t="s">
        <v>66</v>
      </c>
      <c r="D20" s="17">
        <v>129000.0</v>
      </c>
      <c r="E20" s="18">
        <f>D20/Dashboard!$B$3</f>
        <v>12.9</v>
      </c>
      <c r="F20" s="19" t="s">
        <v>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>
      <c r="A21" s="20" t="s">
        <v>11</v>
      </c>
      <c r="B21" s="21" t="s">
        <v>58</v>
      </c>
      <c r="C21" s="21" t="s">
        <v>67</v>
      </c>
      <c r="D21" s="22">
        <v>154000.0</v>
      </c>
      <c r="E21" s="23">
        <f>D21/Dashboard!$B$3</f>
        <v>15.4</v>
      </c>
      <c r="F21" s="24" t="s">
        <v>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>
      <c r="A22" s="16" t="s">
        <v>11</v>
      </c>
      <c r="B22" s="25" t="s">
        <v>58</v>
      </c>
      <c r="C22" s="25" t="s">
        <v>68</v>
      </c>
      <c r="D22" s="17">
        <v>100000.0</v>
      </c>
      <c r="E22" s="18">
        <f>D22/Dashboard!$B$3</f>
        <v>10</v>
      </c>
      <c r="F22" s="19" t="s">
        <v>9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>
      <c r="A23" s="20" t="s">
        <v>11</v>
      </c>
      <c r="B23" s="21" t="s">
        <v>58</v>
      </c>
      <c r="C23" s="21" t="s">
        <v>69</v>
      </c>
      <c r="D23" s="22">
        <v>20000.0</v>
      </c>
      <c r="E23" s="23">
        <f>D23/Dashboard!$B$3</f>
        <v>2</v>
      </c>
      <c r="F23" s="24" t="s">
        <v>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>
      <c r="A24" s="16" t="s">
        <v>11</v>
      </c>
      <c r="B24" s="25" t="s">
        <v>70</v>
      </c>
      <c r="C24" s="25" t="s">
        <v>71</v>
      </c>
      <c r="D24" s="17">
        <v>150000.0</v>
      </c>
      <c r="E24" s="18">
        <f>D24/Dashboard!$B$3</f>
        <v>15</v>
      </c>
      <c r="F24" s="19" t="s">
        <v>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>
      <c r="A25" s="20" t="s">
        <v>11</v>
      </c>
      <c r="B25" s="21" t="s">
        <v>70</v>
      </c>
      <c r="C25" s="27" t="s">
        <v>72</v>
      </c>
      <c r="D25" s="22">
        <v>0.0</v>
      </c>
      <c r="E25" s="23">
        <f>D25/Dashboard!$B$3</f>
        <v>0</v>
      </c>
      <c r="F25" s="24" t="s">
        <v>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>
      <c r="A26" s="16" t="s">
        <v>11</v>
      </c>
      <c r="B26" s="26" t="s">
        <v>73</v>
      </c>
      <c r="C26" s="25" t="s">
        <v>74</v>
      </c>
      <c r="D26" s="17">
        <v>140000.0</v>
      </c>
      <c r="E26" s="18">
        <f>D26/Dashboard!$B$3</f>
        <v>14</v>
      </c>
      <c r="F26" s="19" t="s">
        <v>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>
      <c r="A27" s="20" t="s">
        <v>11</v>
      </c>
      <c r="B27" s="27" t="s">
        <v>73</v>
      </c>
      <c r="C27" s="21" t="s">
        <v>75</v>
      </c>
      <c r="D27" s="22">
        <v>40000.0</v>
      </c>
      <c r="E27" s="23">
        <f>D27/Dashboard!$B$3</f>
        <v>4</v>
      </c>
      <c r="F27" s="24" t="s">
        <v>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>
      <c r="A28" s="16" t="s">
        <v>11</v>
      </c>
      <c r="B28" s="26" t="s">
        <v>73</v>
      </c>
      <c r="C28" s="26" t="s">
        <v>76</v>
      </c>
      <c r="D28" s="17">
        <v>60000.0</v>
      </c>
      <c r="E28" s="18">
        <f>D28/Dashboard!$B$3</f>
        <v>6</v>
      </c>
      <c r="F28" s="19" t="s">
        <v>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>
      <c r="A29" s="20" t="s">
        <v>11</v>
      </c>
      <c r="B29" s="27" t="s">
        <v>73</v>
      </c>
      <c r="C29" s="27" t="s">
        <v>77</v>
      </c>
      <c r="D29" s="22">
        <v>60000.0</v>
      </c>
      <c r="E29" s="23">
        <f>D29/Dashboard!$B$3</f>
        <v>6</v>
      </c>
      <c r="F29" s="24" t="s">
        <v>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>
      <c r="A30" s="16" t="s">
        <v>11</v>
      </c>
      <c r="B30" s="25" t="s">
        <v>78</v>
      </c>
      <c r="C30" s="25" t="s">
        <v>78</v>
      </c>
      <c r="D30" s="17">
        <v>60000.0</v>
      </c>
      <c r="E30" s="18">
        <f>D30/Dashboard!$B$3</f>
        <v>6</v>
      </c>
      <c r="F30" s="19" t="s">
        <v>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>
      <c r="A31" s="20" t="s">
        <v>11</v>
      </c>
      <c r="B31" s="21" t="s">
        <v>78</v>
      </c>
      <c r="C31" s="21" t="s">
        <v>79</v>
      </c>
      <c r="D31" s="22">
        <v>50000.0</v>
      </c>
      <c r="E31" s="23">
        <f>D31/Dashboard!$B$3</f>
        <v>5</v>
      </c>
      <c r="F31" s="24" t="s">
        <v>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>
      <c r="A32" s="16" t="s">
        <v>11</v>
      </c>
      <c r="B32" s="25" t="s">
        <v>78</v>
      </c>
      <c r="C32" s="25" t="s">
        <v>80</v>
      </c>
      <c r="D32" s="17">
        <v>30000.0</v>
      </c>
      <c r="E32" s="18">
        <f>D32/Dashboard!$B$3</f>
        <v>3</v>
      </c>
      <c r="F32" s="19" t="s">
        <v>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>
      <c r="A33" s="20" t="s">
        <v>11</v>
      </c>
      <c r="B33" s="21" t="s">
        <v>78</v>
      </c>
      <c r="C33" s="21" t="s">
        <v>81</v>
      </c>
      <c r="D33" s="22">
        <v>30000.0</v>
      </c>
      <c r="E33" s="23">
        <f>D33/Dashboard!$B$3</f>
        <v>3</v>
      </c>
      <c r="F33" s="24" t="s">
        <v>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>
      <c r="A34" s="16" t="s">
        <v>11</v>
      </c>
      <c r="B34" s="25" t="s">
        <v>82</v>
      </c>
      <c r="C34" s="25" t="s">
        <v>83</v>
      </c>
      <c r="D34" s="17">
        <v>100000.0</v>
      </c>
      <c r="E34" s="18">
        <f>D34/Dashboard!$B$3</f>
        <v>10</v>
      </c>
      <c r="F34" s="19" t="s">
        <v>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>
      <c r="A35" s="20" t="s">
        <v>11</v>
      </c>
      <c r="B35" s="21" t="s">
        <v>82</v>
      </c>
      <c r="C35" s="21" t="s">
        <v>84</v>
      </c>
      <c r="D35" s="22">
        <v>100000.0</v>
      </c>
      <c r="E35" s="23">
        <f>D35/Dashboard!$B$3</f>
        <v>10</v>
      </c>
      <c r="F35" s="24" t="s">
        <v>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>
      <c r="A36" s="16" t="s">
        <v>11</v>
      </c>
      <c r="B36" s="26" t="s">
        <v>85</v>
      </c>
      <c r="C36" s="25" t="s">
        <v>86</v>
      </c>
      <c r="D36" s="17">
        <v>30000.0</v>
      </c>
      <c r="E36" s="18">
        <f>D36/Dashboard!$B$3</f>
        <v>3</v>
      </c>
      <c r="F36" s="19" t="s">
        <v>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>
      <c r="A37" s="20" t="s">
        <v>11</v>
      </c>
      <c r="B37" s="27" t="s">
        <v>85</v>
      </c>
      <c r="C37" s="21" t="s">
        <v>87</v>
      </c>
      <c r="D37" s="22">
        <v>180000.0</v>
      </c>
      <c r="E37" s="23">
        <f>D37/Dashboard!$B$3</f>
        <v>18</v>
      </c>
      <c r="F37" s="24" t="s">
        <v>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>
      <c r="A38" s="16" t="s">
        <v>11</v>
      </c>
      <c r="B38" s="26" t="s">
        <v>85</v>
      </c>
      <c r="C38" s="26" t="s">
        <v>88</v>
      </c>
      <c r="D38" s="17">
        <v>56000.0</v>
      </c>
      <c r="E38" s="18">
        <f>D38/Dashboard!$B$3</f>
        <v>5.6</v>
      </c>
      <c r="F38" s="19" t="s">
        <v>8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>
      <c r="A39" s="20" t="s">
        <v>11</v>
      </c>
      <c r="B39" s="27" t="s">
        <v>85</v>
      </c>
      <c r="C39" s="27" t="s">
        <v>89</v>
      </c>
      <c r="D39" s="22">
        <v>71000.0</v>
      </c>
      <c r="E39" s="23">
        <f>D39/Dashboard!$B$3</f>
        <v>7.1</v>
      </c>
      <c r="F39" s="24" t="s">
        <v>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>
      <c r="A40" s="16" t="s">
        <v>11</v>
      </c>
      <c r="B40" s="26" t="s">
        <v>85</v>
      </c>
      <c r="C40" s="26" t="s">
        <v>90</v>
      </c>
      <c r="D40" s="17">
        <v>25000.0</v>
      </c>
      <c r="E40" s="18">
        <f>D40/Dashboard!$B$3</f>
        <v>2.5</v>
      </c>
      <c r="F40" s="19" t="s">
        <v>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>
      <c r="A41" s="20" t="s">
        <v>11</v>
      </c>
      <c r="B41" s="27" t="s">
        <v>85</v>
      </c>
      <c r="C41" s="27" t="s">
        <v>91</v>
      </c>
      <c r="D41" s="22">
        <v>50000.0</v>
      </c>
      <c r="E41" s="23">
        <f>D41/Dashboard!$B$3</f>
        <v>5</v>
      </c>
      <c r="F41" s="24" t="s">
        <v>8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>
      <c r="A42" s="16" t="s">
        <v>11</v>
      </c>
      <c r="B42" s="26" t="s">
        <v>85</v>
      </c>
      <c r="C42" s="26" t="s">
        <v>92</v>
      </c>
      <c r="D42" s="17">
        <v>100000.0</v>
      </c>
      <c r="E42" s="18">
        <f>D42/Dashboard!$B$3</f>
        <v>10</v>
      </c>
      <c r="F42" s="19" t="s">
        <v>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>
      <c r="A43" s="20" t="s">
        <v>11</v>
      </c>
      <c r="B43" s="21" t="s">
        <v>93</v>
      </c>
      <c r="C43" s="21" t="s">
        <v>94</v>
      </c>
      <c r="D43" s="22">
        <v>200000.0</v>
      </c>
      <c r="E43" s="23">
        <f>D43/Dashboard!$B$3</f>
        <v>20</v>
      </c>
      <c r="F43" s="24" t="s">
        <v>8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>
      <c r="A44" s="16" t="s">
        <v>11</v>
      </c>
      <c r="B44" s="25" t="s">
        <v>93</v>
      </c>
      <c r="C44" s="25" t="s">
        <v>95</v>
      </c>
      <c r="D44" s="17">
        <v>100000.0</v>
      </c>
      <c r="E44" s="18">
        <f>D44/Dashboard!$B$3</f>
        <v>10</v>
      </c>
      <c r="F44" s="19" t="s">
        <v>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>
      <c r="A45" s="20" t="s">
        <v>11</v>
      </c>
      <c r="B45" s="27" t="s">
        <v>96</v>
      </c>
      <c r="C45" s="27" t="s">
        <v>97</v>
      </c>
      <c r="D45" s="22">
        <v>20000.0</v>
      </c>
      <c r="E45" s="23">
        <f>D45/Dashboard!$B$3</f>
        <v>2</v>
      </c>
      <c r="F45" s="24" t="s">
        <v>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>
      <c r="A46" s="16" t="s">
        <v>11</v>
      </c>
      <c r="B46" s="26" t="s">
        <v>96</v>
      </c>
      <c r="C46" s="25" t="s">
        <v>98</v>
      </c>
      <c r="D46" s="17">
        <v>20000.0</v>
      </c>
      <c r="E46" s="18">
        <f>D46/Dashboard!$B$3</f>
        <v>2</v>
      </c>
      <c r="F46" s="19" t="s">
        <v>8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>
      <c r="A47" s="20" t="s">
        <v>11</v>
      </c>
      <c r="B47" s="27" t="s">
        <v>96</v>
      </c>
      <c r="C47" s="21" t="s">
        <v>99</v>
      </c>
      <c r="D47" s="22">
        <v>60000.0</v>
      </c>
      <c r="E47" s="23">
        <f>D47/Dashboard!$B$3</f>
        <v>6</v>
      </c>
      <c r="F47" s="24" t="s">
        <v>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>
      <c r="A48" s="16" t="s">
        <v>11</v>
      </c>
      <c r="B48" s="26" t="s">
        <v>96</v>
      </c>
      <c r="C48" s="25" t="s">
        <v>100</v>
      </c>
      <c r="D48" s="17">
        <v>100000.0</v>
      </c>
      <c r="E48" s="18">
        <f>D48/Dashboard!$B$3</f>
        <v>10</v>
      </c>
      <c r="F48" s="19" t="s">
        <v>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>
      <c r="A49" s="20" t="s">
        <v>11</v>
      </c>
      <c r="B49" s="27" t="s">
        <v>96</v>
      </c>
      <c r="C49" s="27" t="s">
        <v>101</v>
      </c>
      <c r="D49" s="22">
        <v>60000.0</v>
      </c>
      <c r="E49" s="23">
        <f>D49/Dashboard!$B$3</f>
        <v>6</v>
      </c>
      <c r="F49" s="24" t="s">
        <v>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>
      <c r="A50" s="16" t="s">
        <v>11</v>
      </c>
      <c r="B50" s="26" t="s">
        <v>96</v>
      </c>
      <c r="C50" s="26" t="s">
        <v>102</v>
      </c>
      <c r="D50" s="17">
        <v>21000.0</v>
      </c>
      <c r="E50" s="18">
        <f>D50/Dashboard!$B$3</f>
        <v>2.1</v>
      </c>
      <c r="F50" s="19" t="s">
        <v>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>
      <c r="A51" s="20" t="s">
        <v>11</v>
      </c>
      <c r="B51" s="27" t="s">
        <v>96</v>
      </c>
      <c r="C51" s="27" t="s">
        <v>103</v>
      </c>
      <c r="D51" s="22">
        <v>30000.0</v>
      </c>
      <c r="E51" s="23">
        <f>D51/Dashboard!$B$3</f>
        <v>3</v>
      </c>
      <c r="F51" s="24" t="s">
        <v>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>
      <c r="A52" s="16" t="s">
        <v>11</v>
      </c>
      <c r="B52" s="26" t="s">
        <v>104</v>
      </c>
      <c r="C52" s="26" t="s">
        <v>105</v>
      </c>
      <c r="D52" s="29">
        <v>20000.0</v>
      </c>
      <c r="E52" s="18">
        <f>D52/Dashboard!$B$3</f>
        <v>2</v>
      </c>
      <c r="F52" s="19" t="s">
        <v>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>
      <c r="A53" s="20" t="s">
        <v>11</v>
      </c>
      <c r="B53" s="27" t="s">
        <v>104</v>
      </c>
      <c r="C53" s="27" t="s">
        <v>106</v>
      </c>
      <c r="D53" s="30">
        <v>10000.0</v>
      </c>
      <c r="E53" s="23">
        <f>D53/Dashboard!$B$3</f>
        <v>1</v>
      </c>
      <c r="F53" s="24" t="s">
        <v>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>
      <c r="A54" s="16" t="s">
        <v>11</v>
      </c>
      <c r="B54" s="26" t="s">
        <v>104</v>
      </c>
      <c r="C54" s="26" t="s">
        <v>107</v>
      </c>
      <c r="D54" s="29">
        <v>41000.0</v>
      </c>
      <c r="E54" s="18">
        <f>D54/Dashboard!$B$3</f>
        <v>4.1</v>
      </c>
      <c r="F54" s="19" t="s">
        <v>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>
      <c r="A55" s="20" t="s">
        <v>11</v>
      </c>
      <c r="B55" s="27" t="s">
        <v>108</v>
      </c>
      <c r="C55" s="27" t="s">
        <v>109</v>
      </c>
      <c r="D55" s="30">
        <v>28000.0</v>
      </c>
      <c r="E55" s="23">
        <f>D55/Dashboard!$B$3</f>
        <v>2.8</v>
      </c>
      <c r="F55" s="24" t="s">
        <v>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>
      <c r="A56" s="16" t="s">
        <v>11</v>
      </c>
      <c r="B56" s="26" t="s">
        <v>108</v>
      </c>
      <c r="C56" s="26" t="s">
        <v>110</v>
      </c>
      <c r="D56" s="29">
        <v>20000.0</v>
      </c>
      <c r="E56" s="18">
        <f>D56/Dashboard!$B$3</f>
        <v>2</v>
      </c>
      <c r="F56" s="19" t="s">
        <v>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>
      <c r="A57" s="20" t="s">
        <v>11</v>
      </c>
      <c r="B57" s="27" t="s">
        <v>111</v>
      </c>
      <c r="C57" s="27" t="s">
        <v>112</v>
      </c>
      <c r="D57" s="30">
        <v>150000.0</v>
      </c>
      <c r="E57" s="23">
        <f>D57/Dashboard!$B$3</f>
        <v>15</v>
      </c>
      <c r="F57" s="24" t="s">
        <v>8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>
      <c r="A58" s="16" t="s">
        <v>11</v>
      </c>
      <c r="B58" s="26" t="s">
        <v>111</v>
      </c>
      <c r="C58" s="26" t="s">
        <v>113</v>
      </c>
      <c r="D58" s="29">
        <v>100000.0</v>
      </c>
      <c r="E58" s="18">
        <f>D58/Dashboard!$B$3</f>
        <v>10</v>
      </c>
      <c r="F58" s="19" t="s">
        <v>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>
      <c r="A59" s="20" t="s">
        <v>11</v>
      </c>
      <c r="B59" s="27" t="s">
        <v>111</v>
      </c>
      <c r="C59" s="27" t="s">
        <v>114</v>
      </c>
      <c r="D59" s="30">
        <v>20000.0</v>
      </c>
      <c r="E59" s="23">
        <f>D59/Dashboard!$B$3</f>
        <v>2</v>
      </c>
      <c r="F59" s="24" t="s">
        <v>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>
      <c r="A60" s="16" t="s">
        <v>11</v>
      </c>
      <c r="B60" s="26" t="s">
        <v>115</v>
      </c>
      <c r="C60" s="26" t="s">
        <v>115</v>
      </c>
      <c r="D60" s="29">
        <v>450000.0</v>
      </c>
      <c r="E60" s="18">
        <f>D60/Dashboard!$B$3</f>
        <v>45</v>
      </c>
      <c r="F60" s="19" t="s">
        <v>8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>
      <c r="A61" s="20" t="s">
        <v>11</v>
      </c>
      <c r="B61" s="27" t="s">
        <v>116</v>
      </c>
      <c r="C61" s="27" t="s">
        <v>117</v>
      </c>
      <c r="D61" s="30">
        <v>319350.0</v>
      </c>
      <c r="E61" s="23">
        <f>D61/Dashboard!$B$3</f>
        <v>31.935</v>
      </c>
      <c r="F61" s="24" t="s">
        <v>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>
      <c r="A62" s="16" t="s">
        <v>12</v>
      </c>
      <c r="B62" s="26" t="s">
        <v>12</v>
      </c>
      <c r="C62" s="26" t="s">
        <v>12</v>
      </c>
      <c r="D62" s="29">
        <v>5800000.0</v>
      </c>
      <c r="E62" s="18">
        <f>D62/Dashboard!$B$3</f>
        <v>580</v>
      </c>
      <c r="F62" s="19" t="s">
        <v>8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>
      <c r="A63" s="20" t="s">
        <v>13</v>
      </c>
      <c r="B63" s="27" t="s">
        <v>13</v>
      </c>
      <c r="C63" s="27" t="s">
        <v>13</v>
      </c>
      <c r="D63" s="30">
        <v>1605134.0</v>
      </c>
      <c r="E63" s="23">
        <f>D63/Dashboard!$B$3</f>
        <v>160.5134</v>
      </c>
      <c r="F63" s="24" t="s">
        <v>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>
      <c r="A64" s="16" t="s">
        <v>13</v>
      </c>
      <c r="B64" s="26" t="s">
        <v>13</v>
      </c>
      <c r="C64" s="26" t="s">
        <v>118</v>
      </c>
      <c r="D64" s="29">
        <v>757743.0</v>
      </c>
      <c r="E64" s="18">
        <f>D64/Dashboard!$B$3</f>
        <v>75.7743</v>
      </c>
      <c r="F64" s="19" t="s">
        <v>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>
      <c r="A65" s="20" t="s">
        <v>13</v>
      </c>
      <c r="B65" s="27" t="s">
        <v>13</v>
      </c>
      <c r="C65" s="27" t="s">
        <v>119</v>
      </c>
      <c r="D65" s="30">
        <v>21500.0</v>
      </c>
      <c r="E65" s="23">
        <f>D65/Dashboard!$B$3</f>
        <v>2.15</v>
      </c>
      <c r="F65" s="24" t="s">
        <v>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>
      <c r="A66" s="31"/>
      <c r="B66" s="31"/>
      <c r="C66" s="31"/>
      <c r="D66" s="31"/>
      <c r="E66" s="31"/>
      <c r="F66" s="3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>
      <c r="A67" s="32"/>
      <c r="B67" s="32"/>
      <c r="C67" s="32"/>
      <c r="D67" s="32"/>
      <c r="E67" s="32"/>
      <c r="F67" s="3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>
      <c r="A68" s="31"/>
      <c r="B68" s="31"/>
      <c r="C68" s="31"/>
      <c r="D68" s="31"/>
      <c r="E68" s="31"/>
      <c r="F68" s="3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>
      <c r="A69" s="32"/>
      <c r="B69" s="32"/>
      <c r="C69" s="32"/>
      <c r="D69" s="32"/>
      <c r="E69" s="32"/>
      <c r="F69" s="3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>
      <c r="A70" s="31"/>
      <c r="B70" s="31"/>
      <c r="C70" s="31"/>
      <c r="D70" s="31"/>
      <c r="E70" s="31"/>
      <c r="F70" s="3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>
      <c r="A71" s="32"/>
      <c r="B71" s="32"/>
      <c r="C71" s="32"/>
      <c r="D71" s="32"/>
      <c r="E71" s="32"/>
      <c r="F71" s="3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>
      <c r="A72" s="31"/>
      <c r="B72" s="31"/>
      <c r="C72" s="31"/>
      <c r="D72" s="31"/>
      <c r="E72" s="31"/>
      <c r="F72" s="3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>
      <c r="A73" s="32"/>
      <c r="B73" s="32"/>
      <c r="C73" s="32"/>
      <c r="D73" s="32"/>
      <c r="E73" s="32"/>
      <c r="F73" s="3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>
      <c r="A74" s="31"/>
      <c r="B74" s="31"/>
      <c r="C74" s="31"/>
      <c r="D74" s="31"/>
      <c r="E74" s="31"/>
      <c r="F74" s="3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>
      <c r="A75" s="32"/>
      <c r="B75" s="32"/>
      <c r="C75" s="32"/>
      <c r="D75" s="32"/>
      <c r="E75" s="32"/>
      <c r="F75" s="3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>
      <c r="A76" s="31"/>
      <c r="B76" s="31"/>
      <c r="C76" s="31"/>
      <c r="D76" s="31"/>
      <c r="E76" s="31"/>
      <c r="F76" s="3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>
      <c r="A77" s="32"/>
      <c r="B77" s="32"/>
      <c r="C77" s="32"/>
      <c r="D77" s="32"/>
      <c r="E77" s="32"/>
      <c r="F77" s="3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>
      <c r="A78" s="31"/>
      <c r="B78" s="31"/>
      <c r="C78" s="31"/>
      <c r="D78" s="31"/>
      <c r="E78" s="31"/>
      <c r="F78" s="3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>
      <c r="A79" s="32"/>
      <c r="B79" s="32"/>
      <c r="C79" s="32"/>
      <c r="D79" s="32"/>
      <c r="E79" s="32"/>
      <c r="F79" s="3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>
      <c r="A80" s="31"/>
      <c r="B80" s="31"/>
      <c r="C80" s="31"/>
      <c r="D80" s="31"/>
      <c r="E80" s="31"/>
      <c r="F80" s="3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>
      <c r="A81" s="32"/>
      <c r="B81" s="32"/>
      <c r="C81" s="32"/>
      <c r="D81" s="32"/>
      <c r="E81" s="32"/>
      <c r="F81" s="3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>
      <c r="A82" s="31"/>
      <c r="B82" s="31"/>
      <c r="C82" s="31"/>
      <c r="D82" s="31"/>
      <c r="E82" s="31"/>
      <c r="F82" s="3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>
      <c r="A83" s="32"/>
      <c r="B83" s="32"/>
      <c r="C83" s="32"/>
      <c r="D83" s="32"/>
      <c r="E83" s="32"/>
      <c r="F83" s="3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>
      <c r="A84" s="31"/>
      <c r="B84" s="31"/>
      <c r="C84" s="31"/>
      <c r="D84" s="31"/>
      <c r="E84" s="31"/>
      <c r="F84" s="3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>
      <c r="A85" s="32"/>
      <c r="B85" s="32"/>
      <c r="C85" s="32"/>
      <c r="D85" s="32"/>
      <c r="E85" s="32"/>
      <c r="F85" s="3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>
      <c r="A86" s="31"/>
      <c r="B86" s="31"/>
      <c r="C86" s="31"/>
      <c r="D86" s="31"/>
      <c r="E86" s="31"/>
      <c r="F86" s="3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>
      <c r="A87" s="32"/>
      <c r="B87" s="32"/>
      <c r="C87" s="32"/>
      <c r="D87" s="32"/>
      <c r="E87" s="32"/>
      <c r="F87" s="3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>
      <c r="A88" s="31"/>
      <c r="B88" s="31"/>
      <c r="C88" s="31"/>
      <c r="D88" s="31"/>
      <c r="E88" s="31"/>
      <c r="F88" s="3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>
      <c r="A89" s="32"/>
      <c r="B89" s="32"/>
      <c r="C89" s="32"/>
      <c r="D89" s="32"/>
      <c r="E89" s="32"/>
      <c r="F89" s="3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>
      <c r="A90" s="31"/>
      <c r="B90" s="31"/>
      <c r="C90" s="31"/>
      <c r="D90" s="31"/>
      <c r="E90" s="31"/>
      <c r="F90" s="3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>
      <c r="A91" s="32"/>
      <c r="B91" s="32"/>
      <c r="C91" s="32"/>
      <c r="D91" s="32"/>
      <c r="E91" s="32"/>
      <c r="F91" s="3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>
      <c r="A92" s="31"/>
      <c r="B92" s="31"/>
      <c r="C92" s="31"/>
      <c r="D92" s="31"/>
      <c r="E92" s="31"/>
      <c r="F92" s="3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>
      <c r="A93" s="32"/>
      <c r="B93" s="32"/>
      <c r="C93" s="32"/>
      <c r="D93" s="32"/>
      <c r="E93" s="32"/>
      <c r="F93" s="3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>
      <c r="A94" s="31"/>
      <c r="B94" s="31"/>
      <c r="C94" s="31"/>
      <c r="D94" s="31"/>
      <c r="E94" s="31"/>
      <c r="F94" s="3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>
      <c r="A95" s="32"/>
      <c r="B95" s="32"/>
      <c r="C95" s="32"/>
      <c r="D95" s="32"/>
      <c r="E95" s="32"/>
      <c r="F95" s="3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>
      <c r="A96" s="31"/>
      <c r="B96" s="31"/>
      <c r="C96" s="31"/>
      <c r="D96" s="31"/>
      <c r="E96" s="31"/>
      <c r="F96" s="3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>
      <c r="A97" s="32"/>
      <c r="B97" s="32"/>
      <c r="C97" s="32"/>
      <c r="D97" s="32"/>
      <c r="E97" s="32"/>
      <c r="F97" s="3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>
      <c r="A98" s="31"/>
      <c r="B98" s="31"/>
      <c r="C98" s="31"/>
      <c r="D98" s="31"/>
      <c r="E98" s="31"/>
      <c r="F98" s="3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>
      <c r="A99" s="32"/>
      <c r="B99" s="32"/>
      <c r="C99" s="32"/>
      <c r="D99" s="32"/>
      <c r="E99" s="32"/>
      <c r="F99" s="3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>
      <c r="A100" s="31"/>
      <c r="B100" s="31"/>
      <c r="C100" s="31"/>
      <c r="D100" s="31"/>
      <c r="E100" s="31"/>
      <c r="F100" s="3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>
      <c r="A101" s="32"/>
      <c r="B101" s="32"/>
      <c r="C101" s="32"/>
      <c r="D101" s="32"/>
      <c r="E101" s="32"/>
      <c r="F101" s="3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>
      <c r="A102" s="31"/>
      <c r="B102" s="31"/>
      <c r="C102" s="31"/>
      <c r="D102" s="31"/>
      <c r="E102" s="31"/>
      <c r="F102" s="3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>
      <c r="A103" s="32"/>
      <c r="B103" s="32"/>
      <c r="C103" s="32"/>
      <c r="D103" s="32"/>
      <c r="E103" s="32"/>
      <c r="F103" s="3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>
      <c r="A104" s="31"/>
      <c r="B104" s="31"/>
      <c r="C104" s="31"/>
      <c r="D104" s="31"/>
      <c r="E104" s="31"/>
      <c r="F104" s="3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>
      <c r="A105" s="32"/>
      <c r="B105" s="32"/>
      <c r="C105" s="32"/>
      <c r="D105" s="32"/>
      <c r="E105" s="32"/>
      <c r="F105" s="3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>
      <c r="A106" s="31"/>
      <c r="B106" s="31"/>
      <c r="C106" s="31"/>
      <c r="D106" s="31"/>
      <c r="E106" s="31"/>
      <c r="F106" s="3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>
      <c r="A107" s="32"/>
      <c r="B107" s="32"/>
      <c r="C107" s="32"/>
      <c r="D107" s="32"/>
      <c r="E107" s="32"/>
      <c r="F107" s="3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>
      <c r="A108" s="31"/>
      <c r="B108" s="31"/>
      <c r="C108" s="31"/>
      <c r="D108" s="31"/>
      <c r="E108" s="31"/>
      <c r="F108" s="3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>
      <c r="A109" s="32"/>
      <c r="B109" s="32"/>
      <c r="C109" s="32"/>
      <c r="D109" s="32"/>
      <c r="E109" s="32"/>
      <c r="F109" s="3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>
      <c r="A110" s="31"/>
      <c r="B110" s="31"/>
      <c r="C110" s="31"/>
      <c r="D110" s="31"/>
      <c r="E110" s="31"/>
      <c r="F110" s="3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>
      <c r="A111" s="32"/>
      <c r="B111" s="32"/>
      <c r="C111" s="32"/>
      <c r="D111" s="32"/>
      <c r="E111" s="32"/>
      <c r="F111" s="3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>
      <c r="A112" s="31"/>
      <c r="B112" s="31"/>
      <c r="C112" s="31"/>
      <c r="D112" s="31"/>
      <c r="E112" s="31"/>
      <c r="F112" s="3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>
      <c r="A113" s="32"/>
      <c r="B113" s="32"/>
      <c r="C113" s="32"/>
      <c r="D113" s="32"/>
      <c r="E113" s="32"/>
      <c r="F113" s="3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>
      <c r="A114" s="31"/>
      <c r="B114" s="31"/>
      <c r="C114" s="31"/>
      <c r="D114" s="31"/>
      <c r="E114" s="31"/>
      <c r="F114" s="3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>
      <c r="A115" s="32"/>
      <c r="B115" s="32"/>
      <c r="C115" s="32"/>
      <c r="D115" s="32"/>
      <c r="E115" s="32"/>
      <c r="F115" s="3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>
      <c r="A116" s="31"/>
      <c r="B116" s="31"/>
      <c r="C116" s="31"/>
      <c r="D116" s="31"/>
      <c r="E116" s="31"/>
      <c r="F116" s="3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>
      <c r="A117" s="32"/>
      <c r="B117" s="32"/>
      <c r="C117" s="32"/>
      <c r="D117" s="32"/>
      <c r="E117" s="32"/>
      <c r="F117" s="3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>
      <c r="A118" s="31"/>
      <c r="B118" s="31"/>
      <c r="C118" s="31"/>
      <c r="D118" s="31"/>
      <c r="E118" s="31"/>
      <c r="F118" s="3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>
      <c r="A119" s="32"/>
      <c r="B119" s="32"/>
      <c r="C119" s="32"/>
      <c r="D119" s="32"/>
      <c r="E119" s="32"/>
      <c r="F119" s="3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>
      <c r="A120" s="31"/>
      <c r="B120" s="31"/>
      <c r="C120" s="31"/>
      <c r="D120" s="31"/>
      <c r="E120" s="31"/>
      <c r="F120" s="3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>
      <c r="A121" s="32"/>
      <c r="B121" s="32"/>
      <c r="C121" s="32"/>
      <c r="D121" s="32"/>
      <c r="E121" s="32"/>
      <c r="F121" s="3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>
      <c r="A122" s="31"/>
      <c r="B122" s="31"/>
      <c r="C122" s="31"/>
      <c r="D122" s="31"/>
      <c r="E122" s="31"/>
      <c r="F122" s="3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>
      <c r="A123" s="32"/>
      <c r="B123" s="32"/>
      <c r="C123" s="32"/>
      <c r="D123" s="32"/>
      <c r="E123" s="32"/>
      <c r="F123" s="3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>
      <c r="A124" s="31"/>
      <c r="B124" s="31"/>
      <c r="C124" s="31"/>
      <c r="D124" s="31"/>
      <c r="E124" s="31"/>
      <c r="F124" s="3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>
      <c r="A125" s="32"/>
      <c r="B125" s="32"/>
      <c r="C125" s="32"/>
      <c r="D125" s="32"/>
      <c r="E125" s="32"/>
      <c r="F125" s="3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>
      <c r="A126" s="31"/>
      <c r="B126" s="31"/>
      <c r="C126" s="31"/>
      <c r="D126" s="31"/>
      <c r="E126" s="31"/>
      <c r="F126" s="3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>
      <c r="A127" s="32"/>
      <c r="B127" s="32"/>
      <c r="C127" s="32"/>
      <c r="D127" s="32"/>
      <c r="E127" s="32"/>
      <c r="F127" s="3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>
      <c r="A128" s="31"/>
      <c r="B128" s="31"/>
      <c r="C128" s="31"/>
      <c r="D128" s="31"/>
      <c r="E128" s="31"/>
      <c r="F128" s="3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>
      <c r="A129" s="32"/>
      <c r="B129" s="32"/>
      <c r="C129" s="32"/>
      <c r="D129" s="32"/>
      <c r="E129" s="32"/>
      <c r="F129" s="3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>
      <c r="A130" s="31"/>
      <c r="B130" s="31"/>
      <c r="C130" s="31"/>
      <c r="D130" s="31"/>
      <c r="E130" s="31"/>
      <c r="F130" s="3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>
      <c r="A131" s="32"/>
      <c r="B131" s="32"/>
      <c r="C131" s="32"/>
      <c r="D131" s="32"/>
      <c r="E131" s="32"/>
      <c r="F131" s="3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>
      <c r="A132" s="31"/>
      <c r="B132" s="31"/>
      <c r="C132" s="31"/>
      <c r="D132" s="31"/>
      <c r="E132" s="31"/>
      <c r="F132" s="3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>
      <c r="A133" s="32"/>
      <c r="B133" s="32"/>
      <c r="C133" s="32"/>
      <c r="D133" s="32"/>
      <c r="E133" s="32"/>
      <c r="F133" s="3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>
      <c r="A134" s="31"/>
      <c r="B134" s="31"/>
      <c r="C134" s="31"/>
      <c r="D134" s="31"/>
      <c r="E134" s="31"/>
      <c r="F134" s="3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>
      <c r="A135" s="32"/>
      <c r="B135" s="32"/>
      <c r="C135" s="32"/>
      <c r="D135" s="32"/>
      <c r="E135" s="32"/>
      <c r="F135" s="3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>
      <c r="A136" s="31"/>
      <c r="B136" s="31"/>
      <c r="C136" s="31"/>
      <c r="D136" s="31"/>
      <c r="E136" s="31"/>
      <c r="F136" s="3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>
      <c r="A137" s="32"/>
      <c r="B137" s="32"/>
      <c r="C137" s="32"/>
      <c r="D137" s="32"/>
      <c r="E137" s="32"/>
      <c r="F137" s="3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>
      <c r="A138" s="31"/>
      <c r="B138" s="31"/>
      <c r="C138" s="31"/>
      <c r="D138" s="31"/>
      <c r="E138" s="31"/>
      <c r="F138" s="3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>
      <c r="A139" s="32"/>
      <c r="B139" s="32"/>
      <c r="C139" s="32"/>
      <c r="D139" s="32"/>
      <c r="E139" s="32"/>
      <c r="F139" s="3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>
      <c r="A140" s="31"/>
      <c r="B140" s="31"/>
      <c r="C140" s="31"/>
      <c r="D140" s="31"/>
      <c r="E140" s="31"/>
      <c r="F140" s="3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>
      <c r="A141" s="32"/>
      <c r="B141" s="32"/>
      <c r="C141" s="32"/>
      <c r="D141" s="32"/>
      <c r="E141" s="32"/>
      <c r="F141" s="3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>
      <c r="A142" s="31"/>
      <c r="B142" s="31"/>
      <c r="C142" s="31"/>
      <c r="D142" s="31"/>
      <c r="E142" s="31"/>
      <c r="F142" s="3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>
      <c r="A143" s="32"/>
      <c r="B143" s="32"/>
      <c r="C143" s="32"/>
      <c r="D143" s="32"/>
      <c r="E143" s="32"/>
      <c r="F143" s="3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>
      <c r="A144" s="31"/>
      <c r="B144" s="31"/>
      <c r="C144" s="31"/>
      <c r="D144" s="31"/>
      <c r="E144" s="31"/>
      <c r="F144" s="3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>
      <c r="A145" s="32"/>
      <c r="B145" s="32"/>
      <c r="C145" s="32"/>
      <c r="D145" s="32"/>
      <c r="E145" s="32"/>
      <c r="F145" s="3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>
      <c r="A146" s="31"/>
      <c r="B146" s="31"/>
      <c r="C146" s="31"/>
      <c r="D146" s="31"/>
      <c r="E146" s="31"/>
      <c r="F146" s="3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>
      <c r="A147" s="32"/>
      <c r="B147" s="32"/>
      <c r="C147" s="32"/>
      <c r="D147" s="32"/>
      <c r="E147" s="32"/>
      <c r="F147" s="3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>
      <c r="A148" s="31"/>
      <c r="B148" s="31"/>
      <c r="C148" s="31"/>
      <c r="D148" s="31"/>
      <c r="E148" s="31"/>
      <c r="F148" s="3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>
      <c r="A149" s="32"/>
      <c r="B149" s="32"/>
      <c r="C149" s="32"/>
      <c r="D149" s="32"/>
      <c r="E149" s="32"/>
      <c r="F149" s="3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>
      <c r="A150" s="31"/>
      <c r="B150" s="31"/>
      <c r="C150" s="31"/>
      <c r="D150" s="31"/>
      <c r="E150" s="31"/>
      <c r="F150" s="3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>
      <c r="A151" s="32"/>
      <c r="B151" s="32"/>
      <c r="C151" s="32"/>
      <c r="D151" s="32"/>
      <c r="E151" s="32"/>
      <c r="F151" s="3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>
      <c r="A152" s="31"/>
      <c r="B152" s="31"/>
      <c r="C152" s="31"/>
      <c r="D152" s="31"/>
      <c r="E152" s="31"/>
      <c r="F152" s="3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>
      <c r="A153" s="32"/>
      <c r="B153" s="32"/>
      <c r="C153" s="32"/>
      <c r="D153" s="32"/>
      <c r="E153" s="32"/>
      <c r="F153" s="3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>
      <c r="A154" s="31"/>
      <c r="B154" s="31"/>
      <c r="C154" s="31"/>
      <c r="D154" s="31"/>
      <c r="E154" s="31"/>
      <c r="F154" s="3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>
      <c r="A155" s="32"/>
      <c r="B155" s="32"/>
      <c r="C155" s="32"/>
      <c r="D155" s="32"/>
      <c r="E155" s="32"/>
      <c r="F155" s="3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>
      <c r="A156" s="31"/>
      <c r="B156" s="31"/>
      <c r="C156" s="31"/>
      <c r="D156" s="31"/>
      <c r="E156" s="31"/>
      <c r="F156" s="3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>
      <c r="A157" s="32"/>
      <c r="B157" s="32"/>
      <c r="C157" s="32"/>
      <c r="D157" s="32"/>
      <c r="E157" s="32"/>
      <c r="F157" s="3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>
      <c r="A158" s="31"/>
      <c r="B158" s="31"/>
      <c r="C158" s="31"/>
      <c r="D158" s="31"/>
      <c r="E158" s="31"/>
      <c r="F158" s="3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>
      <c r="A159" s="32"/>
      <c r="B159" s="32"/>
      <c r="C159" s="32"/>
      <c r="D159" s="32"/>
      <c r="E159" s="32"/>
      <c r="F159" s="3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>
      <c r="A160" s="31"/>
      <c r="B160" s="31"/>
      <c r="C160" s="31"/>
      <c r="D160" s="31"/>
      <c r="E160" s="31"/>
      <c r="F160" s="3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>
      <c r="A161" s="32"/>
      <c r="B161" s="32"/>
      <c r="C161" s="32"/>
      <c r="D161" s="32"/>
      <c r="E161" s="32"/>
      <c r="F161" s="3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>
      <c r="A162" s="31"/>
      <c r="B162" s="31"/>
      <c r="C162" s="31"/>
      <c r="D162" s="31"/>
      <c r="E162" s="31"/>
      <c r="F162" s="3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>
      <c r="A163" s="32"/>
      <c r="B163" s="32"/>
      <c r="C163" s="32"/>
      <c r="D163" s="32"/>
      <c r="E163" s="32"/>
      <c r="F163" s="3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>
      <c r="A164" s="31"/>
      <c r="B164" s="31"/>
      <c r="C164" s="31"/>
      <c r="D164" s="31"/>
      <c r="E164" s="31"/>
      <c r="F164" s="3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>
      <c r="A165" s="32"/>
      <c r="B165" s="32"/>
      <c r="C165" s="32"/>
      <c r="D165" s="32"/>
      <c r="E165" s="32"/>
      <c r="F165" s="3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>
      <c r="A166" s="31"/>
      <c r="B166" s="31"/>
      <c r="C166" s="31"/>
      <c r="D166" s="31"/>
      <c r="E166" s="31"/>
      <c r="F166" s="3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>
      <c r="A167" s="32"/>
      <c r="B167" s="32"/>
      <c r="C167" s="32"/>
      <c r="D167" s="32"/>
      <c r="E167" s="32"/>
      <c r="F167" s="3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>
      <c r="A168" s="31"/>
      <c r="B168" s="31"/>
      <c r="C168" s="31"/>
      <c r="D168" s="31"/>
      <c r="E168" s="31"/>
      <c r="F168" s="3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>
      <c r="A169" s="32"/>
      <c r="B169" s="32"/>
      <c r="C169" s="32"/>
      <c r="D169" s="32"/>
      <c r="E169" s="32"/>
      <c r="F169" s="3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>
      <c r="A170" s="31"/>
      <c r="B170" s="31"/>
      <c r="C170" s="31"/>
      <c r="D170" s="31"/>
      <c r="E170" s="31"/>
      <c r="F170" s="3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>
      <c r="A171" s="32"/>
      <c r="B171" s="32"/>
      <c r="C171" s="32"/>
      <c r="D171" s="32"/>
      <c r="E171" s="32"/>
      <c r="F171" s="3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>
      <c r="A172" s="31"/>
      <c r="B172" s="31"/>
      <c r="C172" s="31"/>
      <c r="D172" s="31"/>
      <c r="E172" s="31"/>
      <c r="F172" s="3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>
      <c r="A173" s="32"/>
      <c r="B173" s="32"/>
      <c r="C173" s="32"/>
      <c r="D173" s="32"/>
      <c r="E173" s="32"/>
      <c r="F173" s="3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>
      <c r="A174" s="31"/>
      <c r="B174" s="31"/>
      <c r="C174" s="31"/>
      <c r="D174" s="31"/>
      <c r="E174" s="31"/>
      <c r="F174" s="3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>
      <c r="A175" s="32"/>
      <c r="B175" s="32"/>
      <c r="C175" s="32"/>
      <c r="D175" s="32"/>
      <c r="E175" s="32"/>
      <c r="F175" s="3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>
      <c r="A176" s="31"/>
      <c r="B176" s="31"/>
      <c r="C176" s="31"/>
      <c r="D176" s="31"/>
      <c r="E176" s="31"/>
      <c r="F176" s="3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>
      <c r="A177" s="32"/>
      <c r="B177" s="32"/>
      <c r="C177" s="32"/>
      <c r="D177" s="32"/>
      <c r="E177" s="32"/>
      <c r="F177" s="3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>
      <c r="A178" s="31"/>
      <c r="B178" s="31"/>
      <c r="C178" s="31"/>
      <c r="D178" s="31"/>
      <c r="E178" s="31"/>
      <c r="F178" s="3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>
      <c r="A179" s="32"/>
      <c r="B179" s="32"/>
      <c r="C179" s="32"/>
      <c r="D179" s="32"/>
      <c r="E179" s="32"/>
      <c r="F179" s="3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>
      <c r="A180" s="31"/>
      <c r="B180" s="31"/>
      <c r="C180" s="31"/>
      <c r="D180" s="31"/>
      <c r="E180" s="31"/>
      <c r="F180" s="3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>
      <c r="A181" s="32"/>
      <c r="B181" s="32"/>
      <c r="C181" s="32"/>
      <c r="D181" s="32"/>
      <c r="E181" s="32"/>
      <c r="F181" s="3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>
      <c r="A182" s="31"/>
      <c r="B182" s="31"/>
      <c r="C182" s="31"/>
      <c r="D182" s="31"/>
      <c r="E182" s="31"/>
      <c r="F182" s="3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>
      <c r="A183" s="32"/>
      <c r="B183" s="32"/>
      <c r="C183" s="32"/>
      <c r="D183" s="32"/>
      <c r="E183" s="32"/>
      <c r="F183" s="3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>
      <c r="A184" s="31"/>
      <c r="B184" s="31"/>
      <c r="C184" s="31"/>
      <c r="D184" s="31"/>
      <c r="E184" s="31"/>
      <c r="F184" s="3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>
      <c r="A185" s="32"/>
      <c r="B185" s="32"/>
      <c r="C185" s="32"/>
      <c r="D185" s="32"/>
      <c r="E185" s="32"/>
      <c r="F185" s="3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>
      <c r="A186" s="31"/>
      <c r="B186" s="31"/>
      <c r="C186" s="31"/>
      <c r="D186" s="31"/>
      <c r="E186" s="31"/>
      <c r="F186" s="3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>
      <c r="A187" s="32"/>
      <c r="B187" s="32"/>
      <c r="C187" s="32"/>
      <c r="D187" s="32"/>
      <c r="E187" s="32"/>
      <c r="F187" s="3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>
      <c r="A188" s="31"/>
      <c r="B188" s="31"/>
      <c r="C188" s="31"/>
      <c r="D188" s="31"/>
      <c r="E188" s="31"/>
      <c r="F188" s="3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>
      <c r="A189" s="32"/>
      <c r="B189" s="32"/>
      <c r="C189" s="32"/>
      <c r="D189" s="32"/>
      <c r="E189" s="32"/>
      <c r="F189" s="3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>
      <c r="A190" s="31"/>
      <c r="B190" s="31"/>
      <c r="C190" s="31"/>
      <c r="D190" s="31"/>
      <c r="E190" s="31"/>
      <c r="F190" s="3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>
      <c r="A191" s="32"/>
      <c r="B191" s="32"/>
      <c r="C191" s="32"/>
      <c r="D191" s="32"/>
      <c r="E191" s="32"/>
      <c r="F191" s="3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>
      <c r="A192" s="31"/>
      <c r="B192" s="31"/>
      <c r="C192" s="31"/>
      <c r="D192" s="31"/>
      <c r="E192" s="31"/>
      <c r="F192" s="3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>
      <c r="A193" s="32"/>
      <c r="B193" s="32"/>
      <c r="C193" s="32"/>
      <c r="D193" s="32"/>
      <c r="E193" s="32"/>
      <c r="F193" s="3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>
      <c r="A194" s="31"/>
      <c r="B194" s="31"/>
      <c r="C194" s="31"/>
      <c r="D194" s="31"/>
      <c r="E194" s="31"/>
      <c r="F194" s="3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>
      <c r="A195" s="32"/>
      <c r="B195" s="32"/>
      <c r="C195" s="32"/>
      <c r="D195" s="32"/>
      <c r="E195" s="32"/>
      <c r="F195" s="3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>
      <c r="A196" s="31"/>
      <c r="B196" s="31"/>
      <c r="C196" s="31"/>
      <c r="D196" s="31"/>
      <c r="E196" s="31"/>
      <c r="F196" s="3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>
      <c r="A197" s="32"/>
      <c r="B197" s="32"/>
      <c r="C197" s="32"/>
      <c r="D197" s="32"/>
      <c r="E197" s="32"/>
      <c r="F197" s="3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>
      <c r="A198" s="31"/>
      <c r="B198" s="31"/>
      <c r="C198" s="31"/>
      <c r="D198" s="31"/>
      <c r="E198" s="31"/>
      <c r="F198" s="3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>
      <c r="A199" s="32"/>
      <c r="B199" s="32"/>
      <c r="C199" s="32"/>
      <c r="D199" s="32"/>
      <c r="E199" s="32"/>
      <c r="F199" s="3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>
      <c r="A200" s="31"/>
      <c r="B200" s="31"/>
      <c r="C200" s="31"/>
      <c r="D200" s="31"/>
      <c r="E200" s="31"/>
      <c r="F200" s="3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>
      <c r="A201" s="32"/>
      <c r="B201" s="32"/>
      <c r="C201" s="32"/>
      <c r="D201" s="32"/>
      <c r="E201" s="32"/>
      <c r="F201" s="3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>
      <c r="A202" s="31"/>
      <c r="B202" s="31"/>
      <c r="C202" s="31"/>
      <c r="D202" s="31"/>
      <c r="E202" s="31"/>
      <c r="F202" s="3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>
      <c r="A203" s="32"/>
      <c r="B203" s="32"/>
      <c r="C203" s="32"/>
      <c r="D203" s="32"/>
      <c r="E203" s="32"/>
      <c r="F203" s="3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>
      <c r="A204" s="31"/>
      <c r="B204" s="31"/>
      <c r="C204" s="31"/>
      <c r="D204" s="31"/>
      <c r="E204" s="31"/>
      <c r="F204" s="3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>
      <c r="A205" s="32"/>
      <c r="B205" s="32"/>
      <c r="C205" s="32"/>
      <c r="D205" s="32"/>
      <c r="E205" s="32"/>
      <c r="F205" s="3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>
      <c r="A206" s="31"/>
      <c r="B206" s="31"/>
      <c r="C206" s="31"/>
      <c r="D206" s="31"/>
      <c r="E206" s="31"/>
      <c r="F206" s="3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>
      <c r="A207" s="32"/>
      <c r="B207" s="32"/>
      <c r="C207" s="32"/>
      <c r="D207" s="32"/>
      <c r="E207" s="32"/>
      <c r="F207" s="3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>
      <c r="A208" s="31"/>
      <c r="B208" s="31"/>
      <c r="C208" s="31"/>
      <c r="D208" s="31"/>
      <c r="E208" s="31"/>
      <c r="F208" s="3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>
      <c r="A209" s="32"/>
      <c r="B209" s="32"/>
      <c r="C209" s="32"/>
      <c r="D209" s="32"/>
      <c r="E209" s="32"/>
      <c r="F209" s="3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>
      <c r="A210" s="31"/>
      <c r="B210" s="31"/>
      <c r="C210" s="31"/>
      <c r="D210" s="31"/>
      <c r="E210" s="31"/>
      <c r="F210" s="3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>
      <c r="A211" s="32"/>
      <c r="B211" s="32"/>
      <c r="C211" s="32"/>
      <c r="D211" s="32"/>
      <c r="E211" s="32"/>
      <c r="F211" s="3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>
      <c r="A212" s="31"/>
      <c r="B212" s="31"/>
      <c r="C212" s="31"/>
      <c r="D212" s="31"/>
      <c r="E212" s="31"/>
      <c r="F212" s="3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>
      <c r="A213" s="32"/>
      <c r="B213" s="32"/>
      <c r="C213" s="32"/>
      <c r="D213" s="32"/>
      <c r="E213" s="32"/>
      <c r="F213" s="3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>
      <c r="A214" s="31"/>
      <c r="B214" s="31"/>
      <c r="C214" s="31"/>
      <c r="D214" s="31"/>
      <c r="E214" s="31"/>
      <c r="F214" s="3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>
      <c r="A215" s="32"/>
      <c r="B215" s="32"/>
      <c r="C215" s="32"/>
      <c r="D215" s="32"/>
      <c r="E215" s="32"/>
      <c r="F215" s="3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>
      <c r="A216" s="31"/>
      <c r="B216" s="31"/>
      <c r="C216" s="31"/>
      <c r="D216" s="31"/>
      <c r="E216" s="31"/>
      <c r="F216" s="3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>
      <c r="A217" s="32"/>
      <c r="B217" s="32"/>
      <c r="C217" s="32"/>
      <c r="D217" s="32"/>
      <c r="E217" s="32"/>
      <c r="F217" s="3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>
      <c r="A218" s="31"/>
      <c r="B218" s="31"/>
      <c r="C218" s="31"/>
      <c r="D218" s="31"/>
      <c r="E218" s="31"/>
      <c r="F218" s="3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>
      <c r="A219" s="32"/>
      <c r="B219" s="32"/>
      <c r="C219" s="32"/>
      <c r="D219" s="32"/>
      <c r="E219" s="32"/>
      <c r="F219" s="3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>
      <c r="A220" s="31"/>
      <c r="B220" s="31"/>
      <c r="C220" s="31"/>
      <c r="D220" s="31"/>
      <c r="E220" s="31"/>
      <c r="F220" s="3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>
      <c r="A221" s="32"/>
      <c r="B221" s="32"/>
      <c r="C221" s="32"/>
      <c r="D221" s="32"/>
      <c r="E221" s="32"/>
      <c r="F221" s="3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>
      <c r="A222" s="31"/>
      <c r="B222" s="31"/>
      <c r="C222" s="31"/>
      <c r="D222" s="31"/>
      <c r="E222" s="31"/>
      <c r="F222" s="3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>
      <c r="A223" s="32"/>
      <c r="B223" s="32"/>
      <c r="C223" s="32"/>
      <c r="D223" s="32"/>
      <c r="E223" s="32"/>
      <c r="F223" s="3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>
      <c r="A224" s="31"/>
      <c r="B224" s="31"/>
      <c r="C224" s="31"/>
      <c r="D224" s="31"/>
      <c r="E224" s="31"/>
      <c r="F224" s="3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>
      <c r="A225" s="32"/>
      <c r="B225" s="32"/>
      <c r="C225" s="32"/>
      <c r="D225" s="32"/>
      <c r="E225" s="32"/>
      <c r="F225" s="3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>
      <c r="A226" s="31"/>
      <c r="B226" s="31"/>
      <c r="C226" s="31"/>
      <c r="D226" s="31"/>
      <c r="E226" s="31"/>
      <c r="F226" s="3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>
      <c r="A227" s="32"/>
      <c r="B227" s="32"/>
      <c r="C227" s="32"/>
      <c r="D227" s="32"/>
      <c r="E227" s="32"/>
      <c r="F227" s="3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>
      <c r="A228" s="31"/>
      <c r="B228" s="31"/>
      <c r="C228" s="31"/>
      <c r="D228" s="31"/>
      <c r="E228" s="31"/>
      <c r="F228" s="3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>
      <c r="A229" s="32"/>
      <c r="B229" s="32"/>
      <c r="C229" s="32"/>
      <c r="D229" s="32"/>
      <c r="E229" s="32"/>
      <c r="F229" s="3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>
      <c r="A230" s="31"/>
      <c r="B230" s="31"/>
      <c r="C230" s="31"/>
      <c r="D230" s="31"/>
      <c r="E230" s="31"/>
      <c r="F230" s="3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>
      <c r="A231" s="32"/>
      <c r="B231" s="32"/>
      <c r="C231" s="32"/>
      <c r="D231" s="32"/>
      <c r="E231" s="32"/>
      <c r="F231" s="3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>
      <c r="A232" s="31"/>
      <c r="B232" s="31"/>
      <c r="C232" s="31"/>
      <c r="D232" s="31"/>
      <c r="E232" s="31"/>
      <c r="F232" s="3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>
      <c r="A233" s="32"/>
      <c r="B233" s="32"/>
      <c r="C233" s="32"/>
      <c r="D233" s="32"/>
      <c r="E233" s="32"/>
      <c r="F233" s="3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>
      <c r="A234" s="31"/>
      <c r="B234" s="31"/>
      <c r="C234" s="31"/>
      <c r="D234" s="31"/>
      <c r="E234" s="31"/>
      <c r="F234" s="3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>
      <c r="A235" s="32"/>
      <c r="B235" s="32"/>
      <c r="C235" s="32"/>
      <c r="D235" s="32"/>
      <c r="E235" s="32"/>
      <c r="F235" s="3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>
      <c r="A236" s="31"/>
      <c r="B236" s="31"/>
      <c r="C236" s="31"/>
      <c r="D236" s="31"/>
      <c r="E236" s="31"/>
      <c r="F236" s="3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>
      <c r="A237" s="32"/>
      <c r="B237" s="32"/>
      <c r="C237" s="32"/>
      <c r="D237" s="32"/>
      <c r="E237" s="32"/>
      <c r="F237" s="3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>
      <c r="A238" s="31"/>
      <c r="B238" s="31"/>
      <c r="C238" s="31"/>
      <c r="D238" s="31"/>
      <c r="E238" s="31"/>
      <c r="F238" s="3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>
      <c r="A239" s="32"/>
      <c r="B239" s="32"/>
      <c r="C239" s="32"/>
      <c r="D239" s="32"/>
      <c r="E239" s="32"/>
      <c r="F239" s="3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>
      <c r="A240" s="31"/>
      <c r="B240" s="31"/>
      <c r="C240" s="31"/>
      <c r="D240" s="31"/>
      <c r="E240" s="31"/>
      <c r="F240" s="3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>
      <c r="A241" s="32"/>
      <c r="B241" s="32"/>
      <c r="C241" s="32"/>
      <c r="D241" s="32"/>
      <c r="E241" s="32"/>
      <c r="F241" s="3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>
      <c r="A242" s="31"/>
      <c r="B242" s="31"/>
      <c r="C242" s="31"/>
      <c r="D242" s="31"/>
      <c r="E242" s="31"/>
      <c r="F242" s="3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>
      <c r="A243" s="32"/>
      <c r="B243" s="32"/>
      <c r="C243" s="32"/>
      <c r="D243" s="32"/>
      <c r="E243" s="32"/>
      <c r="F243" s="3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>
      <c r="A244" s="31"/>
      <c r="B244" s="31"/>
      <c r="C244" s="31"/>
      <c r="D244" s="31"/>
      <c r="E244" s="31"/>
      <c r="F244" s="3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>
      <c r="A245" s="32"/>
      <c r="B245" s="32"/>
      <c r="C245" s="32"/>
      <c r="D245" s="32"/>
      <c r="E245" s="32"/>
      <c r="F245" s="3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>
      <c r="A246" s="31"/>
      <c r="B246" s="31"/>
      <c r="C246" s="31"/>
      <c r="D246" s="31"/>
      <c r="E246" s="31"/>
      <c r="F246" s="3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>
      <c r="A247" s="32"/>
      <c r="B247" s="32"/>
      <c r="C247" s="32"/>
      <c r="D247" s="32"/>
      <c r="E247" s="32"/>
      <c r="F247" s="3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>
      <c r="A248" s="31"/>
      <c r="B248" s="31"/>
      <c r="C248" s="31"/>
      <c r="D248" s="31"/>
      <c r="E248" s="31"/>
      <c r="F248" s="3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>
      <c r="A249" s="32"/>
      <c r="B249" s="32"/>
      <c r="C249" s="32"/>
      <c r="D249" s="32"/>
      <c r="E249" s="32"/>
      <c r="F249" s="3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>
      <c r="A250" s="31"/>
      <c r="B250" s="31"/>
      <c r="C250" s="31"/>
      <c r="D250" s="31"/>
      <c r="E250" s="31"/>
      <c r="F250" s="3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>
      <c r="A251" s="32"/>
      <c r="B251" s="32"/>
      <c r="C251" s="32"/>
      <c r="D251" s="32"/>
      <c r="E251" s="32"/>
      <c r="F251" s="3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>
      <c r="A252" s="31"/>
      <c r="B252" s="31"/>
      <c r="C252" s="31"/>
      <c r="D252" s="31"/>
      <c r="E252" s="31"/>
      <c r="F252" s="3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>
      <c r="A253" s="32"/>
      <c r="B253" s="32"/>
      <c r="C253" s="32"/>
      <c r="D253" s="32"/>
      <c r="E253" s="32"/>
      <c r="F253" s="3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>
      <c r="A254" s="31"/>
      <c r="B254" s="31"/>
      <c r="C254" s="31"/>
      <c r="D254" s="31"/>
      <c r="E254" s="31"/>
      <c r="F254" s="3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>
      <c r="A255" s="32"/>
      <c r="B255" s="32"/>
      <c r="C255" s="32"/>
      <c r="D255" s="32"/>
      <c r="E255" s="32"/>
      <c r="F255" s="3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>
      <c r="A256" s="31"/>
      <c r="B256" s="31"/>
      <c r="C256" s="31"/>
      <c r="D256" s="31"/>
      <c r="E256" s="31"/>
      <c r="F256" s="3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>
      <c r="A257" s="32"/>
      <c r="B257" s="32"/>
      <c r="C257" s="32"/>
      <c r="D257" s="32"/>
      <c r="E257" s="32"/>
      <c r="F257" s="3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>
      <c r="A258" s="31"/>
      <c r="B258" s="31"/>
      <c r="C258" s="31"/>
      <c r="D258" s="31"/>
      <c r="E258" s="31"/>
      <c r="F258" s="3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>
      <c r="A259" s="32"/>
      <c r="B259" s="32"/>
      <c r="C259" s="32"/>
      <c r="D259" s="32"/>
      <c r="E259" s="32"/>
      <c r="F259" s="3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>
      <c r="A260" s="31"/>
      <c r="B260" s="31"/>
      <c r="C260" s="31"/>
      <c r="D260" s="31"/>
      <c r="E260" s="31"/>
      <c r="F260" s="3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>
      <c r="A261" s="32"/>
      <c r="B261" s="32"/>
      <c r="C261" s="32"/>
      <c r="D261" s="32"/>
      <c r="E261" s="32"/>
      <c r="F261" s="3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>
      <c r="A262" s="31"/>
      <c r="B262" s="31"/>
      <c r="C262" s="31"/>
      <c r="D262" s="31"/>
      <c r="E262" s="31"/>
      <c r="F262" s="3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>
      <c r="A263" s="32"/>
      <c r="B263" s="32"/>
      <c r="C263" s="32"/>
      <c r="D263" s="32"/>
      <c r="E263" s="32"/>
      <c r="F263" s="3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>
      <c r="A264" s="31"/>
      <c r="B264" s="31"/>
      <c r="C264" s="31"/>
      <c r="D264" s="31"/>
      <c r="E264" s="31"/>
      <c r="F264" s="3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>
      <c r="A265" s="32"/>
      <c r="B265" s="32"/>
      <c r="C265" s="32"/>
      <c r="D265" s="32"/>
      <c r="E265" s="32"/>
      <c r="F265" s="3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>
      <c r="A266" s="31"/>
      <c r="B266" s="31"/>
      <c r="C266" s="31"/>
      <c r="D266" s="31"/>
      <c r="E266" s="31"/>
      <c r="F266" s="3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>
      <c r="A267" s="32"/>
      <c r="B267" s="32"/>
      <c r="C267" s="32"/>
      <c r="D267" s="32"/>
      <c r="E267" s="32"/>
      <c r="F267" s="3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>
      <c r="A268" s="31"/>
      <c r="B268" s="31"/>
      <c r="C268" s="31"/>
      <c r="D268" s="31"/>
      <c r="E268" s="31"/>
      <c r="F268" s="3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>
      <c r="A269" s="32"/>
      <c r="B269" s="32"/>
      <c r="C269" s="32"/>
      <c r="D269" s="32"/>
      <c r="E269" s="32"/>
      <c r="F269" s="3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>
      <c r="A270" s="31"/>
      <c r="B270" s="31"/>
      <c r="C270" s="31"/>
      <c r="D270" s="31"/>
      <c r="E270" s="31"/>
      <c r="F270" s="3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>
      <c r="A271" s="32"/>
      <c r="B271" s="32"/>
      <c r="C271" s="32"/>
      <c r="D271" s="32"/>
      <c r="E271" s="32"/>
      <c r="F271" s="3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>
      <c r="A272" s="31"/>
      <c r="B272" s="31"/>
      <c r="C272" s="31"/>
      <c r="D272" s="31"/>
      <c r="E272" s="31"/>
      <c r="F272" s="3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>
      <c r="A273" s="32"/>
      <c r="B273" s="32"/>
      <c r="C273" s="32"/>
      <c r="D273" s="32"/>
      <c r="E273" s="32"/>
      <c r="F273" s="3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>
      <c r="A274" s="31"/>
      <c r="B274" s="31"/>
      <c r="C274" s="31"/>
      <c r="D274" s="31"/>
      <c r="E274" s="31"/>
      <c r="F274" s="3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>
      <c r="A275" s="32"/>
      <c r="B275" s="32"/>
      <c r="C275" s="32"/>
      <c r="D275" s="32"/>
      <c r="E275" s="32"/>
      <c r="F275" s="3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>
      <c r="A276" s="31"/>
      <c r="B276" s="31"/>
      <c r="C276" s="31"/>
      <c r="D276" s="31"/>
      <c r="E276" s="31"/>
      <c r="F276" s="3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>
      <c r="A277" s="32"/>
      <c r="B277" s="32"/>
      <c r="C277" s="32"/>
      <c r="D277" s="32"/>
      <c r="E277" s="32"/>
      <c r="F277" s="3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>
      <c r="A278" s="31"/>
      <c r="B278" s="31"/>
      <c r="C278" s="31"/>
      <c r="D278" s="31"/>
      <c r="E278" s="31"/>
      <c r="F278" s="3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>
      <c r="A279" s="32"/>
      <c r="B279" s="32"/>
      <c r="C279" s="32"/>
      <c r="D279" s="32"/>
      <c r="E279" s="32"/>
      <c r="F279" s="3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>
      <c r="A280" s="31"/>
      <c r="B280" s="31"/>
      <c r="C280" s="31"/>
      <c r="D280" s="31"/>
      <c r="E280" s="31"/>
      <c r="F280" s="3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>
      <c r="A281" s="32"/>
      <c r="B281" s="32"/>
      <c r="C281" s="32"/>
      <c r="D281" s="32"/>
      <c r="E281" s="32"/>
      <c r="F281" s="3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>
      <c r="A282" s="31"/>
      <c r="B282" s="31"/>
      <c r="C282" s="31"/>
      <c r="D282" s="31"/>
      <c r="E282" s="31"/>
      <c r="F282" s="3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>
      <c r="A283" s="32"/>
      <c r="B283" s="32"/>
      <c r="C283" s="32"/>
      <c r="D283" s="32"/>
      <c r="E283" s="32"/>
      <c r="F283" s="3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>
      <c r="A284" s="31"/>
      <c r="B284" s="31"/>
      <c r="C284" s="31"/>
      <c r="D284" s="31"/>
      <c r="E284" s="31"/>
      <c r="F284" s="3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>
      <c r="A285" s="32"/>
      <c r="B285" s="32"/>
      <c r="C285" s="32"/>
      <c r="D285" s="32"/>
      <c r="E285" s="32"/>
      <c r="F285" s="3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>
      <c r="A286" s="31"/>
      <c r="B286" s="31"/>
      <c r="C286" s="31"/>
      <c r="D286" s="31"/>
      <c r="E286" s="31"/>
      <c r="F286" s="3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>
      <c r="A287" s="32"/>
      <c r="B287" s="32"/>
      <c r="C287" s="32"/>
      <c r="D287" s="32"/>
      <c r="E287" s="32"/>
      <c r="F287" s="3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>
      <c r="A288" s="31"/>
      <c r="B288" s="31"/>
      <c r="C288" s="31"/>
      <c r="D288" s="31"/>
      <c r="E288" s="31"/>
      <c r="F288" s="3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>
      <c r="A289" s="32"/>
      <c r="B289" s="32"/>
      <c r="C289" s="32"/>
      <c r="D289" s="32"/>
      <c r="E289" s="32"/>
      <c r="F289" s="3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>
      <c r="A290" s="31"/>
      <c r="B290" s="31"/>
      <c r="C290" s="31"/>
      <c r="D290" s="31"/>
      <c r="E290" s="31"/>
      <c r="F290" s="3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>
      <c r="A291" s="32"/>
      <c r="B291" s="32"/>
      <c r="C291" s="32"/>
      <c r="D291" s="32"/>
      <c r="E291" s="32"/>
      <c r="F291" s="3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>
      <c r="A292" s="31"/>
      <c r="B292" s="31"/>
      <c r="C292" s="31"/>
      <c r="D292" s="31"/>
      <c r="E292" s="31"/>
      <c r="F292" s="3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>
      <c r="A293" s="32"/>
      <c r="B293" s="32"/>
      <c r="C293" s="32"/>
      <c r="D293" s="32"/>
      <c r="E293" s="32"/>
      <c r="F293" s="3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>
      <c r="A294" s="31"/>
      <c r="B294" s="31"/>
      <c r="C294" s="31"/>
      <c r="D294" s="31"/>
      <c r="E294" s="31"/>
      <c r="F294" s="3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>
      <c r="A295" s="32"/>
      <c r="B295" s="32"/>
      <c r="C295" s="32"/>
      <c r="D295" s="32"/>
      <c r="E295" s="32"/>
      <c r="F295" s="3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>
      <c r="A296" s="31"/>
      <c r="B296" s="31"/>
      <c r="C296" s="31"/>
      <c r="D296" s="31"/>
      <c r="E296" s="31"/>
      <c r="F296" s="3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>
      <c r="A297" s="32"/>
      <c r="B297" s="32"/>
      <c r="C297" s="32"/>
      <c r="D297" s="32"/>
      <c r="E297" s="32"/>
      <c r="F297" s="3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>
      <c r="A298" s="31"/>
      <c r="B298" s="31"/>
      <c r="C298" s="31"/>
      <c r="D298" s="31"/>
      <c r="E298" s="31"/>
      <c r="F298" s="3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>
      <c r="A299" s="32"/>
      <c r="B299" s="32"/>
      <c r="C299" s="32"/>
      <c r="D299" s="32"/>
      <c r="E299" s="32"/>
      <c r="F299" s="3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>
      <c r="A300" s="31"/>
      <c r="B300" s="31"/>
      <c r="C300" s="31"/>
      <c r="D300" s="31"/>
      <c r="E300" s="31"/>
      <c r="F300" s="3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>
      <c r="A301" s="32"/>
      <c r="B301" s="32"/>
      <c r="C301" s="32"/>
      <c r="D301" s="32"/>
      <c r="E301" s="32"/>
      <c r="F301" s="3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>
      <c r="A302" s="31"/>
      <c r="B302" s="31"/>
      <c r="C302" s="31"/>
      <c r="D302" s="31"/>
      <c r="E302" s="31"/>
      <c r="F302" s="3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>
      <c r="A303" s="32"/>
      <c r="B303" s="32"/>
      <c r="C303" s="32"/>
      <c r="D303" s="32"/>
      <c r="E303" s="32"/>
      <c r="F303" s="3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>
      <c r="A304" s="31"/>
      <c r="B304" s="31"/>
      <c r="C304" s="31"/>
      <c r="D304" s="31"/>
      <c r="E304" s="31"/>
      <c r="F304" s="3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>
      <c r="A305" s="32"/>
      <c r="B305" s="32"/>
      <c r="C305" s="32"/>
      <c r="D305" s="32"/>
      <c r="E305" s="32"/>
      <c r="F305" s="3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>
      <c r="A306" s="31"/>
      <c r="B306" s="31"/>
      <c r="C306" s="31"/>
      <c r="D306" s="31"/>
      <c r="E306" s="31"/>
      <c r="F306" s="3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>
      <c r="A307" s="32"/>
      <c r="B307" s="32"/>
      <c r="C307" s="32"/>
      <c r="D307" s="32"/>
      <c r="E307" s="32"/>
      <c r="F307" s="3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>
      <c r="A308" s="31"/>
      <c r="B308" s="31"/>
      <c r="C308" s="31"/>
      <c r="D308" s="31"/>
      <c r="E308" s="31"/>
      <c r="F308" s="3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>
      <c r="A309" s="32"/>
      <c r="B309" s="32"/>
      <c r="C309" s="32"/>
      <c r="D309" s="32"/>
      <c r="E309" s="32"/>
      <c r="F309" s="3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>
      <c r="A310" s="31"/>
      <c r="B310" s="31"/>
      <c r="C310" s="31"/>
      <c r="D310" s="31"/>
      <c r="E310" s="31"/>
      <c r="F310" s="3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>
      <c r="A311" s="32"/>
      <c r="B311" s="32"/>
      <c r="C311" s="32"/>
      <c r="D311" s="32"/>
      <c r="E311" s="32"/>
      <c r="F311" s="3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>
      <c r="A312" s="31"/>
      <c r="B312" s="31"/>
      <c r="C312" s="31"/>
      <c r="D312" s="31"/>
      <c r="E312" s="31"/>
      <c r="F312" s="3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>
      <c r="A313" s="32"/>
      <c r="B313" s="32"/>
      <c r="C313" s="32"/>
      <c r="D313" s="32"/>
      <c r="E313" s="32"/>
      <c r="F313" s="3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>
      <c r="A314" s="31"/>
      <c r="B314" s="31"/>
      <c r="C314" s="31"/>
      <c r="D314" s="31"/>
      <c r="E314" s="31"/>
      <c r="F314" s="3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>
      <c r="A315" s="32"/>
      <c r="B315" s="32"/>
      <c r="C315" s="32"/>
      <c r="D315" s="32"/>
      <c r="E315" s="32"/>
      <c r="F315" s="3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>
      <c r="A316" s="31"/>
      <c r="B316" s="31"/>
      <c r="C316" s="31"/>
      <c r="D316" s="31"/>
      <c r="E316" s="31"/>
      <c r="F316" s="3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>
      <c r="A317" s="32"/>
      <c r="B317" s="32"/>
      <c r="C317" s="32"/>
      <c r="D317" s="32"/>
      <c r="E317" s="32"/>
      <c r="F317" s="3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>
      <c r="A318" s="31"/>
      <c r="B318" s="31"/>
      <c r="C318" s="31"/>
      <c r="D318" s="31"/>
      <c r="E318" s="31"/>
      <c r="F318" s="3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>
      <c r="A319" s="32"/>
      <c r="B319" s="32"/>
      <c r="C319" s="32"/>
      <c r="D319" s="32"/>
      <c r="E319" s="32"/>
      <c r="F319" s="3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>
      <c r="A320" s="31"/>
      <c r="B320" s="31"/>
      <c r="C320" s="31"/>
      <c r="D320" s="31"/>
      <c r="E320" s="31"/>
      <c r="F320" s="3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>
      <c r="A321" s="32"/>
      <c r="B321" s="32"/>
      <c r="C321" s="32"/>
      <c r="D321" s="32"/>
      <c r="E321" s="32"/>
      <c r="F321" s="3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>
      <c r="A322" s="31"/>
      <c r="B322" s="31"/>
      <c r="C322" s="31"/>
      <c r="D322" s="31"/>
      <c r="E322" s="31"/>
      <c r="F322" s="3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>
      <c r="A323" s="32"/>
      <c r="B323" s="32"/>
      <c r="C323" s="32"/>
      <c r="D323" s="32"/>
      <c r="E323" s="32"/>
      <c r="F323" s="3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>
      <c r="A324" s="31"/>
      <c r="B324" s="31"/>
      <c r="C324" s="31"/>
      <c r="D324" s="31"/>
      <c r="E324" s="31"/>
      <c r="F324" s="3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>
      <c r="A325" s="32"/>
      <c r="B325" s="32"/>
      <c r="C325" s="32"/>
      <c r="D325" s="32"/>
      <c r="E325" s="32"/>
      <c r="F325" s="3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>
      <c r="A326" s="31"/>
      <c r="B326" s="31"/>
      <c r="C326" s="31"/>
      <c r="D326" s="31"/>
      <c r="E326" s="31"/>
      <c r="F326" s="3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>
      <c r="A327" s="32"/>
      <c r="B327" s="32"/>
      <c r="C327" s="32"/>
      <c r="D327" s="32"/>
      <c r="E327" s="32"/>
      <c r="F327" s="3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>
      <c r="A328" s="31"/>
      <c r="B328" s="31"/>
      <c r="C328" s="31"/>
      <c r="D328" s="31"/>
      <c r="E328" s="31"/>
      <c r="F328" s="3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>
      <c r="A329" s="32"/>
      <c r="B329" s="32"/>
      <c r="C329" s="32"/>
      <c r="D329" s="32"/>
      <c r="E329" s="32"/>
      <c r="F329" s="3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>
      <c r="A330" s="31"/>
      <c r="B330" s="31"/>
      <c r="C330" s="31"/>
      <c r="D330" s="31"/>
      <c r="E330" s="31"/>
      <c r="F330" s="3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>
      <c r="A331" s="32"/>
      <c r="B331" s="32"/>
      <c r="C331" s="32"/>
      <c r="D331" s="32"/>
      <c r="E331" s="32"/>
      <c r="F331" s="3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>
      <c r="A332" s="31"/>
      <c r="B332" s="31"/>
      <c r="C332" s="31"/>
      <c r="D332" s="31"/>
      <c r="E332" s="31"/>
      <c r="F332" s="3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>
      <c r="A333" s="32"/>
      <c r="B333" s="32"/>
      <c r="C333" s="32"/>
      <c r="D333" s="32"/>
      <c r="E333" s="32"/>
      <c r="F333" s="3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>
      <c r="A334" s="31"/>
      <c r="B334" s="31"/>
      <c r="C334" s="31"/>
      <c r="D334" s="31"/>
      <c r="E334" s="31"/>
      <c r="F334" s="3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>
      <c r="A335" s="32"/>
      <c r="B335" s="32"/>
      <c r="C335" s="32"/>
      <c r="D335" s="32"/>
      <c r="E335" s="32"/>
      <c r="F335" s="3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>
      <c r="A336" s="31"/>
      <c r="B336" s="31"/>
      <c r="C336" s="31"/>
      <c r="D336" s="31"/>
      <c r="E336" s="31"/>
      <c r="F336" s="3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>
      <c r="A337" s="32"/>
      <c r="B337" s="32"/>
      <c r="C337" s="32"/>
      <c r="D337" s="32"/>
      <c r="E337" s="32"/>
      <c r="F337" s="3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>
      <c r="A338" s="31"/>
      <c r="B338" s="31"/>
      <c r="C338" s="31"/>
      <c r="D338" s="31"/>
      <c r="E338" s="31"/>
      <c r="F338" s="3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>
      <c r="A339" s="32"/>
      <c r="B339" s="32"/>
      <c r="C339" s="32"/>
      <c r="D339" s="32"/>
      <c r="E339" s="32"/>
      <c r="F339" s="3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>
      <c r="A340" s="31"/>
      <c r="B340" s="31"/>
      <c r="C340" s="31"/>
      <c r="D340" s="31"/>
      <c r="E340" s="31"/>
      <c r="F340" s="3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>
      <c r="A341" s="32"/>
      <c r="B341" s="32"/>
      <c r="C341" s="32"/>
      <c r="D341" s="32"/>
      <c r="E341" s="32"/>
      <c r="F341" s="3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>
      <c r="A342" s="31"/>
      <c r="B342" s="31"/>
      <c r="C342" s="31"/>
      <c r="D342" s="31"/>
      <c r="E342" s="31"/>
      <c r="F342" s="3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>
      <c r="A343" s="32"/>
      <c r="B343" s="32"/>
      <c r="C343" s="32"/>
      <c r="D343" s="32"/>
      <c r="E343" s="32"/>
      <c r="F343" s="3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>
      <c r="A344" s="31"/>
      <c r="B344" s="31"/>
      <c r="C344" s="31"/>
      <c r="D344" s="31"/>
      <c r="E344" s="31"/>
      <c r="F344" s="3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>
      <c r="A345" s="32"/>
      <c r="B345" s="32"/>
      <c r="C345" s="32"/>
      <c r="D345" s="32"/>
      <c r="E345" s="32"/>
      <c r="F345" s="3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>
      <c r="A346" s="31"/>
      <c r="B346" s="31"/>
      <c r="C346" s="31"/>
      <c r="D346" s="31"/>
      <c r="E346" s="31"/>
      <c r="F346" s="3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>
      <c r="A347" s="32"/>
      <c r="B347" s="32"/>
      <c r="C347" s="32"/>
      <c r="D347" s="32"/>
      <c r="E347" s="32"/>
      <c r="F347" s="3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>
      <c r="A348" s="31"/>
      <c r="B348" s="31"/>
      <c r="C348" s="31"/>
      <c r="D348" s="31"/>
      <c r="E348" s="31"/>
      <c r="F348" s="3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>
      <c r="A349" s="32"/>
      <c r="B349" s="32"/>
      <c r="C349" s="32"/>
      <c r="D349" s="32"/>
      <c r="E349" s="32"/>
      <c r="F349" s="3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>
      <c r="A350" s="31"/>
      <c r="B350" s="31"/>
      <c r="C350" s="31"/>
      <c r="D350" s="31"/>
      <c r="E350" s="31"/>
      <c r="F350" s="3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>
      <c r="A351" s="32"/>
      <c r="B351" s="32"/>
      <c r="C351" s="32"/>
      <c r="D351" s="32"/>
      <c r="E351" s="32"/>
      <c r="F351" s="3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>
      <c r="A352" s="31"/>
      <c r="B352" s="31"/>
      <c r="C352" s="31"/>
      <c r="D352" s="31"/>
      <c r="E352" s="31"/>
      <c r="F352" s="3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>
      <c r="A353" s="32"/>
      <c r="B353" s="32"/>
      <c r="C353" s="32"/>
      <c r="D353" s="32"/>
      <c r="E353" s="32"/>
      <c r="F353" s="3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>
      <c r="A354" s="31"/>
      <c r="B354" s="31"/>
      <c r="C354" s="31"/>
      <c r="D354" s="31"/>
      <c r="E354" s="31"/>
      <c r="F354" s="3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>
      <c r="A355" s="32"/>
      <c r="B355" s="32"/>
      <c r="C355" s="32"/>
      <c r="D355" s="32"/>
      <c r="E355" s="32"/>
      <c r="F355" s="3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>
      <c r="A356" s="31"/>
      <c r="B356" s="31"/>
      <c r="C356" s="31"/>
      <c r="D356" s="31"/>
      <c r="E356" s="31"/>
      <c r="F356" s="3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>
      <c r="A357" s="32"/>
      <c r="B357" s="32"/>
      <c r="C357" s="32"/>
      <c r="D357" s="32"/>
      <c r="E357" s="32"/>
      <c r="F357" s="3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>
      <c r="A358" s="31"/>
      <c r="B358" s="31"/>
      <c r="C358" s="31"/>
      <c r="D358" s="31"/>
      <c r="E358" s="31"/>
      <c r="F358" s="3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>
      <c r="A359" s="32"/>
      <c r="B359" s="32"/>
      <c r="C359" s="32"/>
      <c r="D359" s="32"/>
      <c r="E359" s="32"/>
      <c r="F359" s="3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>
      <c r="A360" s="31"/>
      <c r="B360" s="31"/>
      <c r="C360" s="31"/>
      <c r="D360" s="31"/>
      <c r="E360" s="31"/>
      <c r="F360" s="3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>
      <c r="A361" s="32"/>
      <c r="B361" s="32"/>
      <c r="C361" s="32"/>
      <c r="D361" s="32"/>
      <c r="E361" s="32"/>
      <c r="F361" s="3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>
      <c r="A362" s="31"/>
      <c r="B362" s="31"/>
      <c r="C362" s="31"/>
      <c r="D362" s="31"/>
      <c r="E362" s="31"/>
      <c r="F362" s="3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>
      <c r="A363" s="32"/>
      <c r="B363" s="32"/>
      <c r="C363" s="32"/>
      <c r="D363" s="32"/>
      <c r="E363" s="32"/>
      <c r="F363" s="3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>
      <c r="A364" s="31"/>
      <c r="B364" s="31"/>
      <c r="C364" s="31"/>
      <c r="D364" s="31"/>
      <c r="E364" s="31"/>
      <c r="F364" s="3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>
      <c r="A365" s="32"/>
      <c r="B365" s="32"/>
      <c r="C365" s="32"/>
      <c r="D365" s="32"/>
      <c r="E365" s="32"/>
      <c r="F365" s="3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>
      <c r="A366" s="31"/>
      <c r="B366" s="31"/>
      <c r="C366" s="31"/>
      <c r="D366" s="31"/>
      <c r="E366" s="31"/>
      <c r="F366" s="3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>
      <c r="A367" s="32"/>
      <c r="B367" s="32"/>
      <c r="C367" s="32"/>
      <c r="D367" s="32"/>
      <c r="E367" s="32"/>
      <c r="F367" s="3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>
      <c r="A368" s="31"/>
      <c r="B368" s="31"/>
      <c r="C368" s="31"/>
      <c r="D368" s="31"/>
      <c r="E368" s="31"/>
      <c r="F368" s="3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>
      <c r="A369" s="32"/>
      <c r="B369" s="32"/>
      <c r="C369" s="32"/>
      <c r="D369" s="32"/>
      <c r="E369" s="32"/>
      <c r="F369" s="3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>
      <c r="A370" s="31"/>
      <c r="B370" s="31"/>
      <c r="C370" s="31"/>
      <c r="D370" s="31"/>
      <c r="E370" s="31"/>
      <c r="F370" s="3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>
      <c r="A371" s="32"/>
      <c r="B371" s="32"/>
      <c r="C371" s="32"/>
      <c r="D371" s="32"/>
      <c r="E371" s="32"/>
      <c r="F371" s="3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>
      <c r="A372" s="31"/>
      <c r="B372" s="31"/>
      <c r="C372" s="31"/>
      <c r="D372" s="31"/>
      <c r="E372" s="31"/>
      <c r="F372" s="3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>
      <c r="A373" s="32"/>
      <c r="B373" s="32"/>
      <c r="C373" s="32"/>
      <c r="D373" s="32"/>
      <c r="E373" s="32"/>
      <c r="F373" s="3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>
      <c r="A374" s="31"/>
      <c r="B374" s="31"/>
      <c r="C374" s="31"/>
      <c r="D374" s="31"/>
      <c r="E374" s="31"/>
      <c r="F374" s="3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>
      <c r="A375" s="32"/>
      <c r="B375" s="32"/>
      <c r="C375" s="32"/>
      <c r="D375" s="32"/>
      <c r="E375" s="32"/>
      <c r="F375" s="3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>
      <c r="A376" s="31"/>
      <c r="B376" s="31"/>
      <c r="C376" s="31"/>
      <c r="D376" s="31"/>
      <c r="E376" s="31"/>
      <c r="F376" s="3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>
      <c r="A377" s="32"/>
      <c r="B377" s="32"/>
      <c r="C377" s="32"/>
      <c r="D377" s="32"/>
      <c r="E377" s="32"/>
      <c r="F377" s="3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>
      <c r="A378" s="31"/>
      <c r="B378" s="31"/>
      <c r="C378" s="31"/>
      <c r="D378" s="31"/>
      <c r="E378" s="31"/>
      <c r="F378" s="3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>
      <c r="A379" s="32"/>
      <c r="B379" s="32"/>
      <c r="C379" s="32"/>
      <c r="D379" s="32"/>
      <c r="E379" s="32"/>
      <c r="F379" s="3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>
      <c r="A380" s="31"/>
      <c r="B380" s="31"/>
      <c r="C380" s="31"/>
      <c r="D380" s="31"/>
      <c r="E380" s="31"/>
      <c r="F380" s="3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>
      <c r="A381" s="32"/>
      <c r="B381" s="32"/>
      <c r="C381" s="32"/>
      <c r="D381" s="32"/>
      <c r="E381" s="32"/>
      <c r="F381" s="3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>
      <c r="A382" s="31"/>
      <c r="B382" s="31"/>
      <c r="C382" s="31"/>
      <c r="D382" s="31"/>
      <c r="E382" s="31"/>
      <c r="F382" s="3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>
      <c r="A383" s="32"/>
      <c r="B383" s="32"/>
      <c r="C383" s="32"/>
      <c r="D383" s="32"/>
      <c r="E383" s="32"/>
      <c r="F383" s="3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>
      <c r="A384" s="31"/>
      <c r="B384" s="31"/>
      <c r="C384" s="31"/>
      <c r="D384" s="31"/>
      <c r="E384" s="31"/>
      <c r="F384" s="3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>
      <c r="A385" s="32"/>
      <c r="B385" s="32"/>
      <c r="C385" s="32"/>
      <c r="D385" s="32"/>
      <c r="E385" s="32"/>
      <c r="F385" s="3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>
      <c r="A386" s="31"/>
      <c r="B386" s="31"/>
      <c r="C386" s="31"/>
      <c r="D386" s="31"/>
      <c r="E386" s="31"/>
      <c r="F386" s="3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>
      <c r="A387" s="32"/>
      <c r="B387" s="32"/>
      <c r="C387" s="32"/>
      <c r="D387" s="32"/>
      <c r="E387" s="32"/>
      <c r="F387" s="3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>
      <c r="A388" s="31"/>
      <c r="B388" s="31"/>
      <c r="C388" s="31"/>
      <c r="D388" s="31"/>
      <c r="E388" s="31"/>
      <c r="F388" s="3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>
      <c r="A389" s="32"/>
      <c r="B389" s="32"/>
      <c r="C389" s="32"/>
      <c r="D389" s="32"/>
      <c r="E389" s="32"/>
      <c r="F389" s="3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>
      <c r="A390" s="31"/>
      <c r="B390" s="31"/>
      <c r="C390" s="31"/>
      <c r="D390" s="31"/>
      <c r="E390" s="31"/>
      <c r="F390" s="3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>
      <c r="A391" s="32"/>
      <c r="B391" s="32"/>
      <c r="C391" s="32"/>
      <c r="D391" s="32"/>
      <c r="E391" s="32"/>
      <c r="F391" s="3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>
      <c r="A392" s="31"/>
      <c r="B392" s="31"/>
      <c r="C392" s="31"/>
      <c r="D392" s="31"/>
      <c r="E392" s="31"/>
      <c r="F392" s="3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>
      <c r="A393" s="32"/>
      <c r="B393" s="32"/>
      <c r="C393" s="32"/>
      <c r="D393" s="32"/>
      <c r="E393" s="32"/>
      <c r="F393" s="3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>
      <c r="A394" s="31"/>
      <c r="B394" s="31"/>
      <c r="C394" s="31"/>
      <c r="D394" s="31"/>
      <c r="E394" s="31"/>
      <c r="F394" s="3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>
      <c r="A395" s="32"/>
      <c r="B395" s="32"/>
      <c r="C395" s="32"/>
      <c r="D395" s="32"/>
      <c r="E395" s="32"/>
      <c r="F395" s="3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>
      <c r="A396" s="31"/>
      <c r="B396" s="31"/>
      <c r="C396" s="31"/>
      <c r="D396" s="31"/>
      <c r="E396" s="31"/>
      <c r="F396" s="3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>
      <c r="A397" s="32"/>
      <c r="B397" s="32"/>
      <c r="C397" s="32"/>
      <c r="D397" s="32"/>
      <c r="E397" s="32"/>
      <c r="F397" s="3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>
      <c r="A398" s="31"/>
      <c r="B398" s="31"/>
      <c r="C398" s="31"/>
      <c r="D398" s="31"/>
      <c r="E398" s="31"/>
      <c r="F398" s="3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>
      <c r="A399" s="32"/>
      <c r="B399" s="32"/>
      <c r="C399" s="32"/>
      <c r="D399" s="32"/>
      <c r="E399" s="32"/>
      <c r="F399" s="3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>
      <c r="A400" s="31"/>
      <c r="B400" s="31"/>
      <c r="C400" s="31"/>
      <c r="D400" s="31"/>
      <c r="E400" s="31"/>
      <c r="F400" s="3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>
      <c r="A401" s="32"/>
      <c r="B401" s="32"/>
      <c r="C401" s="32"/>
      <c r="D401" s="32"/>
      <c r="E401" s="32"/>
      <c r="F401" s="3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>
      <c r="A402" s="31"/>
      <c r="B402" s="31"/>
      <c r="C402" s="31"/>
      <c r="D402" s="31"/>
      <c r="E402" s="31"/>
      <c r="F402" s="3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>
      <c r="A403" s="32"/>
      <c r="B403" s="32"/>
      <c r="C403" s="32"/>
      <c r="D403" s="32"/>
      <c r="E403" s="32"/>
      <c r="F403" s="3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>
      <c r="A404" s="31"/>
      <c r="B404" s="31"/>
      <c r="C404" s="31"/>
      <c r="D404" s="31"/>
      <c r="E404" s="31"/>
      <c r="F404" s="3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>
      <c r="A405" s="32"/>
      <c r="B405" s="32"/>
      <c r="C405" s="32"/>
      <c r="D405" s="32"/>
      <c r="E405" s="32"/>
      <c r="F405" s="3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>
      <c r="A406" s="31"/>
      <c r="B406" s="31"/>
      <c r="C406" s="31"/>
      <c r="D406" s="31"/>
      <c r="E406" s="31"/>
      <c r="F406" s="3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>
      <c r="A407" s="32"/>
      <c r="B407" s="32"/>
      <c r="C407" s="32"/>
      <c r="D407" s="32"/>
      <c r="E407" s="32"/>
      <c r="F407" s="3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>
      <c r="A408" s="31"/>
      <c r="B408" s="31"/>
      <c r="C408" s="31"/>
      <c r="D408" s="31"/>
      <c r="E408" s="31"/>
      <c r="F408" s="3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>
      <c r="A409" s="32"/>
      <c r="B409" s="32"/>
      <c r="C409" s="32"/>
      <c r="D409" s="32"/>
      <c r="E409" s="32"/>
      <c r="F409" s="3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>
      <c r="A410" s="31"/>
      <c r="B410" s="31"/>
      <c r="C410" s="31"/>
      <c r="D410" s="31"/>
      <c r="E410" s="31"/>
      <c r="F410" s="3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>
      <c r="A411" s="32"/>
      <c r="B411" s="32"/>
      <c r="C411" s="32"/>
      <c r="D411" s="32"/>
      <c r="E411" s="32"/>
      <c r="F411" s="3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>
      <c r="A412" s="31"/>
      <c r="B412" s="31"/>
      <c r="C412" s="31"/>
      <c r="D412" s="31"/>
      <c r="E412" s="31"/>
      <c r="F412" s="3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>
      <c r="A413" s="32"/>
      <c r="B413" s="32"/>
      <c r="C413" s="32"/>
      <c r="D413" s="32"/>
      <c r="E413" s="32"/>
      <c r="F413" s="3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>
      <c r="A414" s="31"/>
      <c r="B414" s="31"/>
      <c r="C414" s="31"/>
      <c r="D414" s="31"/>
      <c r="E414" s="31"/>
      <c r="F414" s="3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>
      <c r="A415" s="32"/>
      <c r="B415" s="32"/>
      <c r="C415" s="32"/>
      <c r="D415" s="32"/>
      <c r="E415" s="32"/>
      <c r="F415" s="3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>
      <c r="A416" s="31"/>
      <c r="B416" s="31"/>
      <c r="C416" s="31"/>
      <c r="D416" s="31"/>
      <c r="E416" s="31"/>
      <c r="F416" s="3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>
      <c r="A417" s="32"/>
      <c r="B417" s="32"/>
      <c r="C417" s="32"/>
      <c r="D417" s="32"/>
      <c r="E417" s="32"/>
      <c r="F417" s="3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>
      <c r="A418" s="31"/>
      <c r="B418" s="31"/>
      <c r="C418" s="31"/>
      <c r="D418" s="31"/>
      <c r="E418" s="31"/>
      <c r="F418" s="3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>
      <c r="A419" s="32"/>
      <c r="B419" s="32"/>
      <c r="C419" s="32"/>
      <c r="D419" s="32"/>
      <c r="E419" s="32"/>
      <c r="F419" s="3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>
      <c r="A420" s="31"/>
      <c r="B420" s="31"/>
      <c r="C420" s="31"/>
      <c r="D420" s="31"/>
      <c r="E420" s="31"/>
      <c r="F420" s="3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>
      <c r="A421" s="32"/>
      <c r="B421" s="32"/>
      <c r="C421" s="32"/>
      <c r="D421" s="32"/>
      <c r="E421" s="32"/>
      <c r="F421" s="3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>
      <c r="A422" s="31"/>
      <c r="B422" s="31"/>
      <c r="C422" s="31"/>
      <c r="D422" s="31"/>
      <c r="E422" s="31"/>
      <c r="F422" s="3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>
      <c r="A423" s="32"/>
      <c r="B423" s="32"/>
      <c r="C423" s="32"/>
      <c r="D423" s="32"/>
      <c r="E423" s="32"/>
      <c r="F423" s="3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>
      <c r="A424" s="31"/>
      <c r="B424" s="31"/>
      <c r="C424" s="31"/>
      <c r="D424" s="31"/>
      <c r="E424" s="31"/>
      <c r="F424" s="3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>
      <c r="A425" s="32"/>
      <c r="B425" s="32"/>
      <c r="C425" s="32"/>
      <c r="D425" s="32"/>
      <c r="E425" s="32"/>
      <c r="F425" s="3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>
      <c r="A426" s="31"/>
      <c r="B426" s="31"/>
      <c r="C426" s="31"/>
      <c r="D426" s="31"/>
      <c r="E426" s="31"/>
      <c r="F426" s="3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>
      <c r="A427" s="32"/>
      <c r="B427" s="32"/>
      <c r="C427" s="32"/>
      <c r="D427" s="32"/>
      <c r="E427" s="32"/>
      <c r="F427" s="3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>
      <c r="A428" s="31"/>
      <c r="B428" s="31"/>
      <c r="C428" s="31"/>
      <c r="D428" s="31"/>
      <c r="E428" s="31"/>
      <c r="F428" s="3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>
      <c r="A429" s="32"/>
      <c r="B429" s="32"/>
      <c r="C429" s="32"/>
      <c r="D429" s="32"/>
      <c r="E429" s="32"/>
      <c r="F429" s="3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>
      <c r="A430" s="31"/>
      <c r="B430" s="31"/>
      <c r="C430" s="31"/>
      <c r="D430" s="31"/>
      <c r="E430" s="31"/>
      <c r="F430" s="3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>
      <c r="A431" s="32"/>
      <c r="B431" s="32"/>
      <c r="C431" s="32"/>
      <c r="D431" s="32"/>
      <c r="E431" s="32"/>
      <c r="F431" s="3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>
      <c r="A432" s="31"/>
      <c r="B432" s="31"/>
      <c r="C432" s="31"/>
      <c r="D432" s="31"/>
      <c r="E432" s="31"/>
      <c r="F432" s="3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>
      <c r="A433" s="32"/>
      <c r="B433" s="32"/>
      <c r="C433" s="32"/>
      <c r="D433" s="32"/>
      <c r="E433" s="32"/>
      <c r="F433" s="3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>
      <c r="A434" s="31"/>
      <c r="B434" s="31"/>
      <c r="C434" s="31"/>
      <c r="D434" s="31"/>
      <c r="E434" s="31"/>
      <c r="F434" s="3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>
      <c r="A435" s="32"/>
      <c r="B435" s="32"/>
      <c r="C435" s="32"/>
      <c r="D435" s="32"/>
      <c r="E435" s="32"/>
      <c r="F435" s="3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>
      <c r="A436" s="31"/>
      <c r="B436" s="31"/>
      <c r="C436" s="31"/>
      <c r="D436" s="31"/>
      <c r="E436" s="31"/>
      <c r="F436" s="3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>
      <c r="A437" s="32"/>
      <c r="B437" s="32"/>
      <c r="C437" s="32"/>
      <c r="D437" s="32"/>
      <c r="E437" s="32"/>
      <c r="F437" s="3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>
      <c r="A438" s="31"/>
      <c r="B438" s="31"/>
      <c r="C438" s="31"/>
      <c r="D438" s="31"/>
      <c r="E438" s="31"/>
      <c r="F438" s="3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>
      <c r="A439" s="32"/>
      <c r="B439" s="32"/>
      <c r="C439" s="32"/>
      <c r="D439" s="32"/>
      <c r="E439" s="32"/>
      <c r="F439" s="3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>
      <c r="A440" s="31"/>
      <c r="B440" s="31"/>
      <c r="C440" s="31"/>
      <c r="D440" s="31"/>
      <c r="E440" s="31"/>
      <c r="F440" s="3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>
      <c r="A441" s="32"/>
      <c r="B441" s="32"/>
      <c r="C441" s="32"/>
      <c r="D441" s="32"/>
      <c r="E441" s="32"/>
      <c r="F441" s="3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>
      <c r="A442" s="31"/>
      <c r="B442" s="31"/>
      <c r="C442" s="31"/>
      <c r="D442" s="31"/>
      <c r="E442" s="31"/>
      <c r="F442" s="3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>
      <c r="A443" s="32"/>
      <c r="B443" s="32"/>
      <c r="C443" s="32"/>
      <c r="D443" s="32"/>
      <c r="E443" s="32"/>
      <c r="F443" s="3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>
      <c r="A444" s="31"/>
      <c r="B444" s="31"/>
      <c r="C444" s="31"/>
      <c r="D444" s="31"/>
      <c r="E444" s="31"/>
      <c r="F444" s="3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>
      <c r="A445" s="32"/>
      <c r="B445" s="32"/>
      <c r="C445" s="32"/>
      <c r="D445" s="32"/>
      <c r="E445" s="32"/>
      <c r="F445" s="3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>
      <c r="A446" s="31"/>
      <c r="B446" s="31"/>
      <c r="C446" s="31"/>
      <c r="D446" s="31"/>
      <c r="E446" s="31"/>
      <c r="F446" s="3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>
      <c r="A447" s="32"/>
      <c r="B447" s="32"/>
      <c r="C447" s="32"/>
      <c r="D447" s="32"/>
      <c r="E447" s="32"/>
      <c r="F447" s="3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>
      <c r="A448" s="31"/>
      <c r="B448" s="31"/>
      <c r="C448" s="31"/>
      <c r="D448" s="31"/>
      <c r="E448" s="31"/>
      <c r="F448" s="3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>
      <c r="A449" s="32"/>
      <c r="B449" s="32"/>
      <c r="C449" s="32"/>
      <c r="D449" s="32"/>
      <c r="E449" s="32"/>
      <c r="F449" s="3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>
      <c r="A450" s="31"/>
      <c r="B450" s="31"/>
      <c r="C450" s="31"/>
      <c r="D450" s="31"/>
      <c r="E450" s="31"/>
      <c r="F450" s="3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>
      <c r="A451" s="32"/>
      <c r="B451" s="32"/>
      <c r="C451" s="32"/>
      <c r="D451" s="32"/>
      <c r="E451" s="32"/>
      <c r="F451" s="3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>
      <c r="A452" s="31"/>
      <c r="B452" s="31"/>
      <c r="C452" s="31"/>
      <c r="D452" s="31"/>
      <c r="E452" s="31"/>
      <c r="F452" s="3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>
      <c r="A453" s="32"/>
      <c r="B453" s="32"/>
      <c r="C453" s="32"/>
      <c r="D453" s="32"/>
      <c r="E453" s="32"/>
      <c r="F453" s="3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>
      <c r="A454" s="31"/>
      <c r="B454" s="31"/>
      <c r="C454" s="31"/>
      <c r="D454" s="31"/>
      <c r="E454" s="31"/>
      <c r="F454" s="3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>
      <c r="A455" s="32"/>
      <c r="B455" s="32"/>
      <c r="C455" s="32"/>
      <c r="D455" s="32"/>
      <c r="E455" s="32"/>
      <c r="F455" s="3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>
      <c r="A456" s="31"/>
      <c r="B456" s="31"/>
      <c r="C456" s="31"/>
      <c r="D456" s="31"/>
      <c r="E456" s="31"/>
      <c r="F456" s="3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>
      <c r="A457" s="32"/>
      <c r="B457" s="32"/>
      <c r="C457" s="32"/>
      <c r="D457" s="32"/>
      <c r="E457" s="32"/>
      <c r="F457" s="3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>
      <c r="A458" s="31"/>
      <c r="B458" s="31"/>
      <c r="C458" s="31"/>
      <c r="D458" s="31"/>
      <c r="E458" s="31"/>
      <c r="F458" s="3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>
      <c r="A459" s="32"/>
      <c r="B459" s="32"/>
      <c r="C459" s="32"/>
      <c r="D459" s="32"/>
      <c r="E459" s="32"/>
      <c r="F459" s="3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>
      <c r="A460" s="31"/>
      <c r="B460" s="31"/>
      <c r="C460" s="31"/>
      <c r="D460" s="31"/>
      <c r="E460" s="31"/>
      <c r="F460" s="3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>
      <c r="A461" s="32"/>
      <c r="B461" s="32"/>
      <c r="C461" s="32"/>
      <c r="D461" s="32"/>
      <c r="E461" s="32"/>
      <c r="F461" s="3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>
      <c r="A462" s="31"/>
      <c r="B462" s="31"/>
      <c r="C462" s="31"/>
      <c r="D462" s="31"/>
      <c r="E462" s="31"/>
      <c r="F462" s="3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>
      <c r="A463" s="32"/>
      <c r="B463" s="32"/>
      <c r="C463" s="32"/>
      <c r="D463" s="32"/>
      <c r="E463" s="32"/>
      <c r="F463" s="3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>
      <c r="A464" s="31"/>
      <c r="B464" s="31"/>
      <c r="C464" s="31"/>
      <c r="D464" s="31"/>
      <c r="E464" s="31"/>
      <c r="F464" s="3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>
      <c r="A465" s="32"/>
      <c r="B465" s="32"/>
      <c r="C465" s="32"/>
      <c r="D465" s="32"/>
      <c r="E465" s="32"/>
      <c r="F465" s="3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>
      <c r="A466" s="31"/>
      <c r="B466" s="31"/>
      <c r="C466" s="31"/>
      <c r="D466" s="31"/>
      <c r="E466" s="31"/>
      <c r="F466" s="3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>
      <c r="A467" s="32"/>
      <c r="B467" s="32"/>
      <c r="C467" s="32"/>
      <c r="D467" s="32"/>
      <c r="E467" s="32"/>
      <c r="F467" s="3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>
      <c r="A468" s="31"/>
      <c r="B468" s="31"/>
      <c r="C468" s="31"/>
      <c r="D468" s="31"/>
      <c r="E468" s="31"/>
      <c r="F468" s="3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>
      <c r="A469" s="32"/>
      <c r="B469" s="32"/>
      <c r="C469" s="32"/>
      <c r="D469" s="32"/>
      <c r="E469" s="32"/>
      <c r="F469" s="3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>
      <c r="A470" s="31"/>
      <c r="B470" s="31"/>
      <c r="C470" s="31"/>
      <c r="D470" s="31"/>
      <c r="E470" s="31"/>
      <c r="F470" s="3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>
      <c r="A471" s="32"/>
      <c r="B471" s="32"/>
      <c r="C471" s="32"/>
      <c r="D471" s="32"/>
      <c r="E471" s="32"/>
      <c r="F471" s="3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>
      <c r="A472" s="31"/>
      <c r="B472" s="31"/>
      <c r="C472" s="31"/>
      <c r="D472" s="31"/>
      <c r="E472" s="31"/>
      <c r="F472" s="3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>
      <c r="A473" s="32"/>
      <c r="B473" s="32"/>
      <c r="C473" s="32"/>
      <c r="D473" s="32"/>
      <c r="E473" s="32"/>
      <c r="F473" s="3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>
      <c r="A474" s="31"/>
      <c r="B474" s="31"/>
      <c r="C474" s="31"/>
      <c r="D474" s="31"/>
      <c r="E474" s="31"/>
      <c r="F474" s="3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>
      <c r="A475" s="32"/>
      <c r="B475" s="32"/>
      <c r="C475" s="32"/>
      <c r="D475" s="32"/>
      <c r="E475" s="32"/>
      <c r="F475" s="3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>
      <c r="A476" s="31"/>
      <c r="B476" s="31"/>
      <c r="C476" s="31"/>
      <c r="D476" s="31"/>
      <c r="E476" s="31"/>
      <c r="F476" s="3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>
      <c r="A477" s="32"/>
      <c r="B477" s="32"/>
      <c r="C477" s="32"/>
      <c r="D477" s="32"/>
      <c r="E477" s="32"/>
      <c r="F477" s="3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>
      <c r="A478" s="31"/>
      <c r="B478" s="31"/>
      <c r="C478" s="31"/>
      <c r="D478" s="31"/>
      <c r="E478" s="31"/>
      <c r="F478" s="3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>
      <c r="A479" s="32"/>
      <c r="B479" s="32"/>
      <c r="C479" s="32"/>
      <c r="D479" s="32"/>
      <c r="E479" s="32"/>
      <c r="F479" s="3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>
      <c r="A480" s="31"/>
      <c r="B480" s="31"/>
      <c r="C480" s="31"/>
      <c r="D480" s="31"/>
      <c r="E480" s="31"/>
      <c r="F480" s="3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>
      <c r="A481" s="32"/>
      <c r="B481" s="32"/>
      <c r="C481" s="32"/>
      <c r="D481" s="32"/>
      <c r="E481" s="32"/>
      <c r="F481" s="3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>
      <c r="A482" s="31"/>
      <c r="B482" s="31"/>
      <c r="C482" s="31"/>
      <c r="D482" s="31"/>
      <c r="E482" s="31"/>
      <c r="F482" s="3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>
      <c r="A483" s="32"/>
      <c r="B483" s="32"/>
      <c r="C483" s="32"/>
      <c r="D483" s="32"/>
      <c r="E483" s="32"/>
      <c r="F483" s="3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>
      <c r="A484" s="31"/>
      <c r="B484" s="31"/>
      <c r="C484" s="31"/>
      <c r="D484" s="31"/>
      <c r="E484" s="31"/>
      <c r="F484" s="3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>
      <c r="A485" s="32"/>
      <c r="B485" s="32"/>
      <c r="C485" s="32"/>
      <c r="D485" s="32"/>
      <c r="E485" s="32"/>
      <c r="F485" s="3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>
      <c r="A486" s="31"/>
      <c r="B486" s="31"/>
      <c r="C486" s="31"/>
      <c r="D486" s="31"/>
      <c r="E486" s="31"/>
      <c r="F486" s="3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>
      <c r="A487" s="32"/>
      <c r="B487" s="32"/>
      <c r="C487" s="32"/>
      <c r="D487" s="32"/>
      <c r="E487" s="32"/>
      <c r="F487" s="3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>
      <c r="A488" s="31"/>
      <c r="B488" s="31"/>
      <c r="C488" s="31"/>
      <c r="D488" s="31"/>
      <c r="E488" s="31"/>
      <c r="F488" s="3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>
      <c r="A489" s="32"/>
      <c r="B489" s="32"/>
      <c r="C489" s="32"/>
      <c r="D489" s="32"/>
      <c r="E489" s="32"/>
      <c r="F489" s="3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>
      <c r="A490" s="31"/>
      <c r="B490" s="31"/>
      <c r="C490" s="31"/>
      <c r="D490" s="31"/>
      <c r="E490" s="31"/>
      <c r="F490" s="3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>
      <c r="A491" s="32"/>
      <c r="B491" s="32"/>
      <c r="C491" s="32"/>
      <c r="D491" s="32"/>
      <c r="E491" s="32"/>
      <c r="F491" s="3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>
      <c r="A492" s="31"/>
      <c r="B492" s="31"/>
      <c r="C492" s="31"/>
      <c r="D492" s="31"/>
      <c r="E492" s="31"/>
      <c r="F492" s="3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>
      <c r="A493" s="32"/>
      <c r="B493" s="32"/>
      <c r="C493" s="32"/>
      <c r="D493" s="32"/>
      <c r="E493" s="32"/>
      <c r="F493" s="3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>
      <c r="A494" s="31"/>
      <c r="B494" s="31"/>
      <c r="C494" s="31"/>
      <c r="D494" s="31"/>
      <c r="E494" s="31"/>
      <c r="F494" s="3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>
      <c r="A495" s="32"/>
      <c r="B495" s="32"/>
      <c r="C495" s="32"/>
      <c r="D495" s="32"/>
      <c r="E495" s="32"/>
      <c r="F495" s="3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>
      <c r="A496" s="31"/>
      <c r="B496" s="31"/>
      <c r="C496" s="31"/>
      <c r="D496" s="31"/>
      <c r="E496" s="31"/>
      <c r="F496" s="3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>
      <c r="A497" s="32"/>
      <c r="B497" s="32"/>
      <c r="C497" s="32"/>
      <c r="D497" s="32"/>
      <c r="E497" s="32"/>
      <c r="F497" s="3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>
      <c r="A498" s="31"/>
      <c r="B498" s="31"/>
      <c r="C498" s="31"/>
      <c r="D498" s="31"/>
      <c r="E498" s="31"/>
      <c r="F498" s="3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>
      <c r="A499" s="32"/>
      <c r="B499" s="32"/>
      <c r="C499" s="32"/>
      <c r="D499" s="32"/>
      <c r="E499" s="32"/>
      <c r="F499" s="3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>
      <c r="A500" s="31"/>
      <c r="B500" s="31"/>
      <c r="C500" s="31"/>
      <c r="D500" s="31"/>
      <c r="E500" s="31"/>
      <c r="F500" s="3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>
      <c r="A501" s="32"/>
      <c r="B501" s="32"/>
      <c r="C501" s="32"/>
      <c r="D501" s="32"/>
      <c r="E501" s="32"/>
      <c r="F501" s="3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>
      <c r="A502" s="31"/>
      <c r="B502" s="31"/>
      <c r="C502" s="31"/>
      <c r="D502" s="31"/>
      <c r="E502" s="31"/>
      <c r="F502" s="3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>
      <c r="A503" s="32"/>
      <c r="B503" s="32"/>
      <c r="C503" s="32"/>
      <c r="D503" s="32"/>
      <c r="E503" s="32"/>
      <c r="F503" s="3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>
      <c r="A504" s="31"/>
      <c r="B504" s="31"/>
      <c r="C504" s="31"/>
      <c r="D504" s="31"/>
      <c r="E504" s="31"/>
      <c r="F504" s="3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>
      <c r="A505" s="32"/>
      <c r="B505" s="32"/>
      <c r="C505" s="32"/>
      <c r="D505" s="32"/>
      <c r="E505" s="32"/>
      <c r="F505" s="3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>
      <c r="A506" s="31"/>
      <c r="B506" s="31"/>
      <c r="C506" s="31"/>
      <c r="D506" s="31"/>
      <c r="E506" s="31"/>
      <c r="F506" s="3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>
      <c r="A507" s="32"/>
      <c r="B507" s="32"/>
      <c r="C507" s="32"/>
      <c r="D507" s="32"/>
      <c r="E507" s="32"/>
      <c r="F507" s="3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>
      <c r="A508" s="31"/>
      <c r="B508" s="31"/>
      <c r="C508" s="31"/>
      <c r="D508" s="31"/>
      <c r="E508" s="31"/>
      <c r="F508" s="3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>
      <c r="A509" s="32"/>
      <c r="B509" s="32"/>
      <c r="C509" s="32"/>
      <c r="D509" s="32"/>
      <c r="E509" s="32"/>
      <c r="F509" s="3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>
      <c r="A510" s="31"/>
      <c r="B510" s="31"/>
      <c r="C510" s="31"/>
      <c r="D510" s="31"/>
      <c r="E510" s="31"/>
      <c r="F510" s="3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>
      <c r="A511" s="32"/>
      <c r="B511" s="32"/>
      <c r="C511" s="32"/>
      <c r="D511" s="32"/>
      <c r="E511" s="32"/>
      <c r="F511" s="3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>
      <c r="A512" s="31"/>
      <c r="B512" s="31"/>
      <c r="C512" s="31"/>
      <c r="D512" s="31"/>
      <c r="E512" s="31"/>
      <c r="F512" s="3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>
      <c r="A513" s="32"/>
      <c r="B513" s="32"/>
      <c r="C513" s="32"/>
      <c r="D513" s="32"/>
      <c r="E513" s="32"/>
      <c r="F513" s="3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>
      <c r="A514" s="31"/>
      <c r="B514" s="31"/>
      <c r="C514" s="31"/>
      <c r="D514" s="31"/>
      <c r="E514" s="31"/>
      <c r="F514" s="3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>
      <c r="A515" s="32"/>
      <c r="B515" s="32"/>
      <c r="C515" s="32"/>
      <c r="D515" s="32"/>
      <c r="E515" s="32"/>
      <c r="F515" s="3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>
      <c r="A516" s="31"/>
      <c r="B516" s="31"/>
      <c r="C516" s="31"/>
      <c r="D516" s="31"/>
      <c r="E516" s="31"/>
      <c r="F516" s="3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>
      <c r="A517" s="32"/>
      <c r="B517" s="32"/>
      <c r="C517" s="32"/>
      <c r="D517" s="32"/>
      <c r="E517" s="32"/>
      <c r="F517" s="3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>
      <c r="A518" s="31"/>
      <c r="B518" s="31"/>
      <c r="C518" s="31"/>
      <c r="D518" s="31"/>
      <c r="E518" s="31"/>
      <c r="F518" s="3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>
      <c r="A519" s="32"/>
      <c r="B519" s="32"/>
      <c r="C519" s="32"/>
      <c r="D519" s="32"/>
      <c r="E519" s="32"/>
      <c r="F519" s="3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>
      <c r="A520" s="31"/>
      <c r="B520" s="31"/>
      <c r="C520" s="31"/>
      <c r="D520" s="31"/>
      <c r="E520" s="31"/>
      <c r="F520" s="3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>
      <c r="A521" s="32"/>
      <c r="B521" s="32"/>
      <c r="C521" s="32"/>
      <c r="D521" s="32"/>
      <c r="E521" s="32"/>
      <c r="F521" s="3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>
      <c r="A522" s="31"/>
      <c r="B522" s="31"/>
      <c r="C522" s="31"/>
      <c r="D522" s="31"/>
      <c r="E522" s="31"/>
      <c r="F522" s="3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>
      <c r="A523" s="32"/>
      <c r="B523" s="32"/>
      <c r="C523" s="32"/>
      <c r="D523" s="32"/>
      <c r="E523" s="32"/>
      <c r="F523" s="3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>
      <c r="A524" s="31"/>
      <c r="B524" s="31"/>
      <c r="C524" s="31"/>
      <c r="D524" s="31"/>
      <c r="E524" s="31"/>
      <c r="F524" s="3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>
      <c r="A525" s="32"/>
      <c r="B525" s="32"/>
      <c r="C525" s="32"/>
      <c r="D525" s="32"/>
      <c r="E525" s="32"/>
      <c r="F525" s="3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>
      <c r="A526" s="31"/>
      <c r="B526" s="31"/>
      <c r="C526" s="31"/>
      <c r="D526" s="31"/>
      <c r="E526" s="31"/>
      <c r="F526" s="3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>
      <c r="A527" s="32"/>
      <c r="B527" s="32"/>
      <c r="C527" s="32"/>
      <c r="D527" s="32"/>
      <c r="E527" s="32"/>
      <c r="F527" s="3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>
      <c r="A528" s="31"/>
      <c r="B528" s="31"/>
      <c r="C528" s="31"/>
      <c r="D528" s="31"/>
      <c r="E528" s="31"/>
      <c r="F528" s="3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>
      <c r="A529" s="32"/>
      <c r="B529" s="32"/>
      <c r="C529" s="32"/>
      <c r="D529" s="32"/>
      <c r="E529" s="32"/>
      <c r="F529" s="3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>
      <c r="A530" s="31"/>
      <c r="B530" s="31"/>
      <c r="C530" s="31"/>
      <c r="D530" s="31"/>
      <c r="E530" s="31"/>
      <c r="F530" s="3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>
      <c r="A531" s="32"/>
      <c r="B531" s="32"/>
      <c r="C531" s="32"/>
      <c r="D531" s="32"/>
      <c r="E531" s="32"/>
      <c r="F531" s="3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>
      <c r="A532" s="31"/>
      <c r="B532" s="31"/>
      <c r="C532" s="31"/>
      <c r="D532" s="31"/>
      <c r="E532" s="31"/>
      <c r="F532" s="3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>
      <c r="A533" s="32"/>
      <c r="B533" s="32"/>
      <c r="C533" s="32"/>
      <c r="D533" s="32"/>
      <c r="E533" s="32"/>
      <c r="F533" s="3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>
      <c r="A534" s="31"/>
      <c r="B534" s="31"/>
      <c r="C534" s="31"/>
      <c r="D534" s="31"/>
      <c r="E534" s="31"/>
      <c r="F534" s="3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>
      <c r="A535" s="32"/>
      <c r="B535" s="32"/>
      <c r="C535" s="32"/>
      <c r="D535" s="32"/>
      <c r="E535" s="32"/>
      <c r="F535" s="3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>
      <c r="A536" s="31"/>
      <c r="B536" s="31"/>
      <c r="C536" s="31"/>
      <c r="D536" s="31"/>
      <c r="E536" s="31"/>
      <c r="F536" s="3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>
      <c r="A537" s="32"/>
      <c r="B537" s="32"/>
      <c r="C537" s="32"/>
      <c r="D537" s="32"/>
      <c r="E537" s="32"/>
      <c r="F537" s="3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>
      <c r="A538" s="31"/>
      <c r="B538" s="31"/>
      <c r="C538" s="31"/>
      <c r="D538" s="31"/>
      <c r="E538" s="31"/>
      <c r="F538" s="3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>
      <c r="A539" s="32"/>
      <c r="B539" s="32"/>
      <c r="C539" s="32"/>
      <c r="D539" s="32"/>
      <c r="E539" s="32"/>
      <c r="F539" s="3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>
      <c r="A540" s="31"/>
      <c r="B540" s="31"/>
      <c r="C540" s="31"/>
      <c r="D540" s="31"/>
      <c r="E540" s="31"/>
      <c r="F540" s="3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>
      <c r="A541" s="32"/>
      <c r="B541" s="32"/>
      <c r="C541" s="32"/>
      <c r="D541" s="32"/>
      <c r="E541" s="32"/>
      <c r="F541" s="3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>
      <c r="A542" s="31"/>
      <c r="B542" s="31"/>
      <c r="C542" s="31"/>
      <c r="D542" s="31"/>
      <c r="E542" s="31"/>
      <c r="F542" s="3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>
      <c r="A543" s="32"/>
      <c r="B543" s="32"/>
      <c r="C543" s="32"/>
      <c r="D543" s="32"/>
      <c r="E543" s="32"/>
      <c r="F543" s="3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>
      <c r="A544" s="31"/>
      <c r="B544" s="31"/>
      <c r="C544" s="31"/>
      <c r="D544" s="31"/>
      <c r="E544" s="31"/>
      <c r="F544" s="3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>
      <c r="A545" s="32"/>
      <c r="B545" s="32"/>
      <c r="C545" s="32"/>
      <c r="D545" s="32"/>
      <c r="E545" s="32"/>
      <c r="F545" s="3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>
      <c r="A546" s="31"/>
      <c r="B546" s="31"/>
      <c r="C546" s="31"/>
      <c r="D546" s="31"/>
      <c r="E546" s="31"/>
      <c r="F546" s="3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>
      <c r="A547" s="32"/>
      <c r="B547" s="32"/>
      <c r="C547" s="32"/>
      <c r="D547" s="32"/>
      <c r="E547" s="32"/>
      <c r="F547" s="3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>
      <c r="A548" s="31"/>
      <c r="B548" s="31"/>
      <c r="C548" s="31"/>
      <c r="D548" s="31"/>
      <c r="E548" s="31"/>
      <c r="F548" s="3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>
      <c r="A549" s="32"/>
      <c r="B549" s="32"/>
      <c r="C549" s="32"/>
      <c r="D549" s="32"/>
      <c r="E549" s="32"/>
      <c r="F549" s="3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>
      <c r="A550" s="31"/>
      <c r="B550" s="31"/>
      <c r="C550" s="31"/>
      <c r="D550" s="31"/>
      <c r="E550" s="31"/>
      <c r="F550" s="3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>
      <c r="A551" s="32"/>
      <c r="B551" s="32"/>
      <c r="C551" s="32"/>
      <c r="D551" s="32"/>
      <c r="E551" s="32"/>
      <c r="F551" s="3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>
      <c r="A552" s="31"/>
      <c r="B552" s="31"/>
      <c r="C552" s="31"/>
      <c r="D552" s="31"/>
      <c r="E552" s="31"/>
      <c r="F552" s="3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>
      <c r="A553" s="32"/>
      <c r="B553" s="32"/>
      <c r="C553" s="32"/>
      <c r="D553" s="32"/>
      <c r="E553" s="32"/>
      <c r="F553" s="3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>
      <c r="A554" s="31"/>
      <c r="B554" s="31"/>
      <c r="C554" s="31"/>
      <c r="D554" s="31"/>
      <c r="E554" s="31"/>
      <c r="F554" s="3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>
      <c r="A555" s="32"/>
      <c r="B555" s="32"/>
      <c r="C555" s="32"/>
      <c r="D555" s="32"/>
      <c r="E555" s="32"/>
      <c r="F555" s="3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>
      <c r="A556" s="31"/>
      <c r="B556" s="31"/>
      <c r="C556" s="31"/>
      <c r="D556" s="31"/>
      <c r="E556" s="31"/>
      <c r="F556" s="3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>
      <c r="A557" s="32"/>
      <c r="B557" s="32"/>
      <c r="C557" s="32"/>
      <c r="D557" s="32"/>
      <c r="E557" s="32"/>
      <c r="F557" s="3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>
      <c r="A558" s="31"/>
      <c r="B558" s="31"/>
      <c r="C558" s="31"/>
      <c r="D558" s="31"/>
      <c r="E558" s="31"/>
      <c r="F558" s="3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>
      <c r="A559" s="32"/>
      <c r="B559" s="32"/>
      <c r="C559" s="32"/>
      <c r="D559" s="32"/>
      <c r="E559" s="32"/>
      <c r="F559" s="3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>
      <c r="A560" s="31"/>
      <c r="B560" s="31"/>
      <c r="C560" s="31"/>
      <c r="D560" s="31"/>
      <c r="E560" s="31"/>
      <c r="F560" s="3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>
      <c r="A561" s="32"/>
      <c r="B561" s="32"/>
      <c r="C561" s="32"/>
      <c r="D561" s="32"/>
      <c r="E561" s="32"/>
      <c r="F561" s="3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>
      <c r="A562" s="31"/>
      <c r="B562" s="31"/>
      <c r="C562" s="31"/>
      <c r="D562" s="31"/>
      <c r="E562" s="31"/>
      <c r="F562" s="3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>
      <c r="A563" s="32"/>
      <c r="B563" s="32"/>
      <c r="C563" s="32"/>
      <c r="D563" s="32"/>
      <c r="E563" s="32"/>
      <c r="F563" s="3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>
      <c r="A564" s="31"/>
      <c r="B564" s="31"/>
      <c r="C564" s="31"/>
      <c r="D564" s="31"/>
      <c r="E564" s="31"/>
      <c r="F564" s="3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>
      <c r="A565" s="32"/>
      <c r="B565" s="32"/>
      <c r="C565" s="32"/>
      <c r="D565" s="32"/>
      <c r="E565" s="32"/>
      <c r="F565" s="3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>
      <c r="A566" s="31"/>
      <c r="B566" s="31"/>
      <c r="C566" s="31"/>
      <c r="D566" s="31"/>
      <c r="E566" s="31"/>
      <c r="F566" s="3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>
      <c r="A567" s="32"/>
      <c r="B567" s="32"/>
      <c r="C567" s="32"/>
      <c r="D567" s="32"/>
      <c r="E567" s="32"/>
      <c r="F567" s="3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>
      <c r="A568" s="31"/>
      <c r="B568" s="31"/>
      <c r="C568" s="31"/>
      <c r="D568" s="31"/>
      <c r="E568" s="31"/>
      <c r="F568" s="3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>
      <c r="A569" s="32"/>
      <c r="B569" s="32"/>
      <c r="C569" s="32"/>
      <c r="D569" s="32"/>
      <c r="E569" s="32"/>
      <c r="F569" s="3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>
      <c r="A570" s="31"/>
      <c r="B570" s="31"/>
      <c r="C570" s="31"/>
      <c r="D570" s="31"/>
      <c r="E570" s="31"/>
      <c r="F570" s="3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>
      <c r="A571" s="32"/>
      <c r="B571" s="32"/>
      <c r="C571" s="32"/>
      <c r="D571" s="32"/>
      <c r="E571" s="32"/>
      <c r="F571" s="3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>
      <c r="A572" s="31"/>
      <c r="B572" s="31"/>
      <c r="C572" s="31"/>
      <c r="D572" s="31"/>
      <c r="E572" s="31"/>
      <c r="F572" s="3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>
      <c r="A573" s="32"/>
      <c r="B573" s="32"/>
      <c r="C573" s="32"/>
      <c r="D573" s="32"/>
      <c r="E573" s="32"/>
      <c r="F573" s="3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>
      <c r="A574" s="31"/>
      <c r="B574" s="31"/>
      <c r="C574" s="31"/>
      <c r="D574" s="31"/>
      <c r="E574" s="31"/>
      <c r="F574" s="3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>
      <c r="A575" s="32"/>
      <c r="B575" s="32"/>
      <c r="C575" s="32"/>
      <c r="D575" s="32"/>
      <c r="E575" s="32"/>
      <c r="F575" s="3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>
      <c r="A576" s="31"/>
      <c r="B576" s="31"/>
      <c r="C576" s="31"/>
      <c r="D576" s="31"/>
      <c r="E576" s="31"/>
      <c r="F576" s="3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>
      <c r="A577" s="32"/>
      <c r="B577" s="32"/>
      <c r="C577" s="32"/>
      <c r="D577" s="32"/>
      <c r="E577" s="32"/>
      <c r="F577" s="3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>
      <c r="A578" s="31"/>
      <c r="B578" s="31"/>
      <c r="C578" s="31"/>
      <c r="D578" s="31"/>
      <c r="E578" s="31"/>
      <c r="F578" s="3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>
      <c r="A579" s="32"/>
      <c r="B579" s="32"/>
      <c r="C579" s="32"/>
      <c r="D579" s="32"/>
      <c r="E579" s="32"/>
      <c r="F579" s="3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>
      <c r="A580" s="31"/>
      <c r="B580" s="31"/>
      <c r="C580" s="31"/>
      <c r="D580" s="31"/>
      <c r="E580" s="31"/>
      <c r="F580" s="3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>
      <c r="A581" s="32"/>
      <c r="B581" s="32"/>
      <c r="C581" s="32"/>
      <c r="D581" s="32"/>
      <c r="E581" s="32"/>
      <c r="F581" s="3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>
      <c r="A582" s="31"/>
      <c r="B582" s="31"/>
      <c r="C582" s="31"/>
      <c r="D582" s="31"/>
      <c r="E582" s="31"/>
      <c r="F582" s="3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>
      <c r="A583" s="32"/>
      <c r="B583" s="32"/>
      <c r="C583" s="32"/>
      <c r="D583" s="32"/>
      <c r="E583" s="32"/>
      <c r="F583" s="3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>
      <c r="A584" s="31"/>
      <c r="B584" s="31"/>
      <c r="C584" s="31"/>
      <c r="D584" s="31"/>
      <c r="E584" s="31"/>
      <c r="F584" s="3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>
      <c r="A585" s="32"/>
      <c r="B585" s="32"/>
      <c r="C585" s="32"/>
      <c r="D585" s="32"/>
      <c r="E585" s="32"/>
      <c r="F585" s="3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>
      <c r="A586" s="31"/>
      <c r="B586" s="31"/>
      <c r="C586" s="31"/>
      <c r="D586" s="31"/>
      <c r="E586" s="31"/>
      <c r="F586" s="3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>
      <c r="A587" s="32"/>
      <c r="B587" s="32"/>
      <c r="C587" s="32"/>
      <c r="D587" s="32"/>
      <c r="E587" s="32"/>
      <c r="F587" s="3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>
      <c r="A588" s="31"/>
      <c r="B588" s="31"/>
      <c r="C588" s="31"/>
      <c r="D588" s="31"/>
      <c r="E588" s="31"/>
      <c r="F588" s="3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>
      <c r="A589" s="32"/>
      <c r="B589" s="32"/>
      <c r="C589" s="32"/>
      <c r="D589" s="32"/>
      <c r="E589" s="32"/>
      <c r="F589" s="3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>
      <c r="A590" s="31"/>
      <c r="B590" s="31"/>
      <c r="C590" s="31"/>
      <c r="D590" s="31"/>
      <c r="E590" s="31"/>
      <c r="F590" s="3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>
      <c r="A591" s="32"/>
      <c r="B591" s="32"/>
      <c r="C591" s="32"/>
      <c r="D591" s="32"/>
      <c r="E591" s="32"/>
      <c r="F591" s="3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>
      <c r="A592" s="31"/>
      <c r="B592" s="31"/>
      <c r="C592" s="31"/>
      <c r="D592" s="31"/>
      <c r="E592" s="31"/>
      <c r="F592" s="3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>
      <c r="A593" s="32"/>
      <c r="B593" s="32"/>
      <c r="C593" s="32"/>
      <c r="D593" s="32"/>
      <c r="E593" s="32"/>
      <c r="F593" s="3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>
      <c r="A594" s="31"/>
      <c r="B594" s="31"/>
      <c r="C594" s="31"/>
      <c r="D594" s="31"/>
      <c r="E594" s="31"/>
      <c r="F594" s="3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>
      <c r="A595" s="32"/>
      <c r="B595" s="32"/>
      <c r="C595" s="32"/>
      <c r="D595" s="32"/>
      <c r="E595" s="32"/>
      <c r="F595" s="3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>
      <c r="A596" s="31"/>
      <c r="B596" s="31"/>
      <c r="C596" s="31"/>
      <c r="D596" s="31"/>
      <c r="E596" s="31"/>
      <c r="F596" s="3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>
      <c r="A597" s="32"/>
      <c r="B597" s="32"/>
      <c r="C597" s="32"/>
      <c r="D597" s="32"/>
      <c r="E597" s="32"/>
      <c r="F597" s="3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>
      <c r="A598" s="31"/>
      <c r="B598" s="31"/>
      <c r="C598" s="31"/>
      <c r="D598" s="31"/>
      <c r="E598" s="31"/>
      <c r="F598" s="3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>
      <c r="A599" s="32"/>
      <c r="B599" s="32"/>
      <c r="C599" s="32"/>
      <c r="D599" s="32"/>
      <c r="E599" s="32"/>
      <c r="F599" s="3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>
      <c r="A600" s="31"/>
      <c r="B600" s="31"/>
      <c r="C600" s="31"/>
      <c r="D600" s="31"/>
      <c r="E600" s="31"/>
      <c r="F600" s="3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>
      <c r="A601" s="32"/>
      <c r="B601" s="32"/>
      <c r="C601" s="32"/>
      <c r="D601" s="32"/>
      <c r="E601" s="32"/>
      <c r="F601" s="3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>
      <c r="A602" s="31"/>
      <c r="B602" s="31"/>
      <c r="C602" s="31"/>
      <c r="D602" s="31"/>
      <c r="E602" s="31"/>
      <c r="F602" s="3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>
      <c r="A603" s="32"/>
      <c r="B603" s="32"/>
      <c r="C603" s="32"/>
      <c r="D603" s="32"/>
      <c r="E603" s="32"/>
      <c r="F603" s="3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>
      <c r="A604" s="31"/>
      <c r="B604" s="31"/>
      <c r="C604" s="31"/>
      <c r="D604" s="31"/>
      <c r="E604" s="31"/>
      <c r="F604" s="3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>
      <c r="A605" s="32"/>
      <c r="B605" s="32"/>
      <c r="C605" s="32"/>
      <c r="D605" s="32"/>
      <c r="E605" s="32"/>
      <c r="F605" s="3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>
      <c r="A606" s="31"/>
      <c r="B606" s="31"/>
      <c r="C606" s="31"/>
      <c r="D606" s="31"/>
      <c r="E606" s="31"/>
      <c r="F606" s="3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>
      <c r="A607" s="32"/>
      <c r="B607" s="32"/>
      <c r="C607" s="32"/>
      <c r="D607" s="32"/>
      <c r="E607" s="32"/>
      <c r="F607" s="3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>
      <c r="A608" s="31"/>
      <c r="B608" s="31"/>
      <c r="C608" s="31"/>
      <c r="D608" s="31"/>
      <c r="E608" s="31"/>
      <c r="F608" s="3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>
      <c r="A609" s="32"/>
      <c r="B609" s="32"/>
      <c r="C609" s="32"/>
      <c r="D609" s="32"/>
      <c r="E609" s="32"/>
      <c r="F609" s="3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>
      <c r="A610" s="31"/>
      <c r="B610" s="31"/>
      <c r="C610" s="31"/>
      <c r="D610" s="31"/>
      <c r="E610" s="31"/>
      <c r="F610" s="3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>
      <c r="A611" s="32"/>
      <c r="B611" s="32"/>
      <c r="C611" s="32"/>
      <c r="D611" s="32"/>
      <c r="E611" s="32"/>
      <c r="F611" s="3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>
      <c r="A612" s="31"/>
      <c r="B612" s="31"/>
      <c r="C612" s="31"/>
      <c r="D612" s="31"/>
      <c r="E612" s="31"/>
      <c r="F612" s="3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>
      <c r="A613" s="32"/>
      <c r="B613" s="32"/>
      <c r="C613" s="32"/>
      <c r="D613" s="32"/>
      <c r="E613" s="32"/>
      <c r="F613" s="3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>
      <c r="A614" s="31"/>
      <c r="B614" s="31"/>
      <c r="C614" s="31"/>
      <c r="D614" s="31"/>
      <c r="E614" s="31"/>
      <c r="F614" s="3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>
      <c r="A615" s="32"/>
      <c r="B615" s="32"/>
      <c r="C615" s="32"/>
      <c r="D615" s="32"/>
      <c r="E615" s="32"/>
      <c r="F615" s="3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>
      <c r="A616" s="31"/>
      <c r="B616" s="31"/>
      <c r="C616" s="31"/>
      <c r="D616" s="31"/>
      <c r="E616" s="31"/>
      <c r="F616" s="3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>
      <c r="A617" s="32"/>
      <c r="B617" s="32"/>
      <c r="C617" s="32"/>
      <c r="D617" s="32"/>
      <c r="E617" s="32"/>
      <c r="F617" s="3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>
      <c r="A618" s="31"/>
      <c r="B618" s="31"/>
      <c r="C618" s="31"/>
      <c r="D618" s="31"/>
      <c r="E618" s="31"/>
      <c r="F618" s="3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>
      <c r="A619" s="32"/>
      <c r="B619" s="32"/>
      <c r="C619" s="32"/>
      <c r="D619" s="32"/>
      <c r="E619" s="32"/>
      <c r="F619" s="3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>
      <c r="A620" s="31"/>
      <c r="B620" s="31"/>
      <c r="C620" s="31"/>
      <c r="D620" s="31"/>
      <c r="E620" s="31"/>
      <c r="F620" s="3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>
      <c r="A621" s="32"/>
      <c r="B621" s="32"/>
      <c r="C621" s="32"/>
      <c r="D621" s="32"/>
      <c r="E621" s="32"/>
      <c r="F621" s="3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>
      <c r="A622" s="31"/>
      <c r="B622" s="31"/>
      <c r="C622" s="31"/>
      <c r="D622" s="31"/>
      <c r="E622" s="31"/>
      <c r="F622" s="3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>
      <c r="A623" s="32"/>
      <c r="B623" s="32"/>
      <c r="C623" s="32"/>
      <c r="D623" s="32"/>
      <c r="E623" s="32"/>
      <c r="F623" s="3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>
      <c r="A624" s="31"/>
      <c r="B624" s="31"/>
      <c r="C624" s="31"/>
      <c r="D624" s="31"/>
      <c r="E624" s="31"/>
      <c r="F624" s="3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>
      <c r="A625" s="32"/>
      <c r="B625" s="32"/>
      <c r="C625" s="32"/>
      <c r="D625" s="32"/>
      <c r="E625" s="32"/>
      <c r="F625" s="3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>
      <c r="A626" s="31"/>
      <c r="B626" s="31"/>
      <c r="C626" s="31"/>
      <c r="D626" s="31"/>
      <c r="E626" s="31"/>
      <c r="F626" s="3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>
      <c r="A627" s="32"/>
      <c r="B627" s="32"/>
      <c r="C627" s="32"/>
      <c r="D627" s="32"/>
      <c r="E627" s="32"/>
      <c r="F627" s="3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>
      <c r="A628" s="31"/>
      <c r="B628" s="31"/>
      <c r="C628" s="31"/>
      <c r="D628" s="31"/>
      <c r="E628" s="31"/>
      <c r="F628" s="3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>
      <c r="A629" s="32"/>
      <c r="B629" s="32"/>
      <c r="C629" s="32"/>
      <c r="D629" s="32"/>
      <c r="E629" s="32"/>
      <c r="F629" s="3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>
      <c r="A630" s="31"/>
      <c r="B630" s="31"/>
      <c r="C630" s="31"/>
      <c r="D630" s="31"/>
      <c r="E630" s="31"/>
      <c r="F630" s="3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>
      <c r="A631" s="32"/>
      <c r="B631" s="32"/>
      <c r="C631" s="32"/>
      <c r="D631" s="32"/>
      <c r="E631" s="32"/>
      <c r="F631" s="3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>
      <c r="A632" s="31"/>
      <c r="B632" s="31"/>
      <c r="C632" s="31"/>
      <c r="D632" s="31"/>
      <c r="E632" s="31"/>
      <c r="F632" s="3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>
      <c r="A633" s="32"/>
      <c r="B633" s="32"/>
      <c r="C633" s="32"/>
      <c r="D633" s="32"/>
      <c r="E633" s="32"/>
      <c r="F633" s="3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>
      <c r="A634" s="31"/>
      <c r="B634" s="31"/>
      <c r="C634" s="31"/>
      <c r="D634" s="31"/>
      <c r="E634" s="31"/>
      <c r="F634" s="3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>
      <c r="A635" s="32"/>
      <c r="B635" s="32"/>
      <c r="C635" s="32"/>
      <c r="D635" s="32"/>
      <c r="E635" s="32"/>
      <c r="F635" s="3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>
      <c r="A636" s="31"/>
      <c r="B636" s="31"/>
      <c r="C636" s="31"/>
      <c r="D636" s="31"/>
      <c r="E636" s="31"/>
      <c r="F636" s="3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>
      <c r="A637" s="32"/>
      <c r="B637" s="32"/>
      <c r="C637" s="32"/>
      <c r="D637" s="32"/>
      <c r="E637" s="32"/>
      <c r="F637" s="3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>
      <c r="A638" s="31"/>
      <c r="B638" s="31"/>
      <c r="C638" s="31"/>
      <c r="D638" s="31"/>
      <c r="E638" s="31"/>
      <c r="F638" s="3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>
      <c r="A639" s="32"/>
      <c r="B639" s="32"/>
      <c r="C639" s="32"/>
      <c r="D639" s="32"/>
      <c r="E639" s="32"/>
      <c r="F639" s="3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>
      <c r="A640" s="31"/>
      <c r="B640" s="31"/>
      <c r="C640" s="31"/>
      <c r="D640" s="31"/>
      <c r="E640" s="31"/>
      <c r="F640" s="3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>
      <c r="A641" s="32"/>
      <c r="B641" s="32"/>
      <c r="C641" s="32"/>
      <c r="D641" s="32"/>
      <c r="E641" s="32"/>
      <c r="F641" s="3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>
      <c r="A642" s="31"/>
      <c r="B642" s="31"/>
      <c r="C642" s="31"/>
      <c r="D642" s="31"/>
      <c r="E642" s="31"/>
      <c r="F642" s="3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>
      <c r="A643" s="32"/>
      <c r="B643" s="32"/>
      <c r="C643" s="32"/>
      <c r="D643" s="32"/>
      <c r="E643" s="32"/>
      <c r="F643" s="3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>
      <c r="A644" s="31"/>
      <c r="B644" s="31"/>
      <c r="C644" s="31"/>
      <c r="D644" s="31"/>
      <c r="E644" s="31"/>
      <c r="F644" s="3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>
      <c r="A645" s="32"/>
      <c r="B645" s="32"/>
      <c r="C645" s="32"/>
      <c r="D645" s="32"/>
      <c r="E645" s="32"/>
      <c r="F645" s="3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>
      <c r="A646" s="31"/>
      <c r="B646" s="31"/>
      <c r="C646" s="31"/>
      <c r="D646" s="31"/>
      <c r="E646" s="31"/>
      <c r="F646" s="3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>
      <c r="A647" s="32"/>
      <c r="B647" s="32"/>
      <c r="C647" s="32"/>
      <c r="D647" s="32"/>
      <c r="E647" s="32"/>
      <c r="F647" s="3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>
      <c r="A648" s="31"/>
      <c r="B648" s="31"/>
      <c r="C648" s="31"/>
      <c r="D648" s="31"/>
      <c r="E648" s="31"/>
      <c r="F648" s="3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>
      <c r="A649" s="32"/>
      <c r="B649" s="32"/>
      <c r="C649" s="32"/>
      <c r="D649" s="32"/>
      <c r="E649" s="32"/>
      <c r="F649" s="3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>
      <c r="A650" s="31"/>
      <c r="B650" s="31"/>
      <c r="C650" s="31"/>
      <c r="D650" s="31"/>
      <c r="E650" s="31"/>
      <c r="F650" s="3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>
      <c r="A651" s="32"/>
      <c r="B651" s="32"/>
      <c r="C651" s="32"/>
      <c r="D651" s="32"/>
      <c r="E651" s="32"/>
      <c r="F651" s="3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>
      <c r="A652" s="31"/>
      <c r="B652" s="31"/>
      <c r="C652" s="31"/>
      <c r="D652" s="31"/>
      <c r="E652" s="31"/>
      <c r="F652" s="3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>
      <c r="A653" s="32"/>
      <c r="B653" s="32"/>
      <c r="C653" s="32"/>
      <c r="D653" s="32"/>
      <c r="E653" s="32"/>
      <c r="F653" s="3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>
      <c r="A654" s="31"/>
      <c r="B654" s="31"/>
      <c r="C654" s="31"/>
      <c r="D654" s="31"/>
      <c r="E654" s="31"/>
      <c r="F654" s="3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>
      <c r="A655" s="32"/>
      <c r="B655" s="32"/>
      <c r="C655" s="32"/>
      <c r="D655" s="32"/>
      <c r="E655" s="32"/>
      <c r="F655" s="3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>
      <c r="A656" s="31"/>
      <c r="B656" s="31"/>
      <c r="C656" s="31"/>
      <c r="D656" s="31"/>
      <c r="E656" s="31"/>
      <c r="F656" s="3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>
      <c r="A657" s="32"/>
      <c r="B657" s="32"/>
      <c r="C657" s="32"/>
      <c r="D657" s="32"/>
      <c r="E657" s="32"/>
      <c r="F657" s="3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>
      <c r="A658" s="31"/>
      <c r="B658" s="31"/>
      <c r="C658" s="31"/>
      <c r="D658" s="31"/>
      <c r="E658" s="31"/>
      <c r="F658" s="3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>
      <c r="A659" s="32"/>
      <c r="B659" s="32"/>
      <c r="C659" s="32"/>
      <c r="D659" s="32"/>
      <c r="E659" s="32"/>
      <c r="F659" s="3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>
      <c r="A660" s="31"/>
      <c r="B660" s="31"/>
      <c r="C660" s="31"/>
      <c r="D660" s="31"/>
      <c r="E660" s="31"/>
      <c r="F660" s="3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>
      <c r="A661" s="32"/>
      <c r="B661" s="32"/>
      <c r="C661" s="32"/>
      <c r="D661" s="32"/>
      <c r="E661" s="32"/>
      <c r="F661" s="3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>
      <c r="A662" s="31"/>
      <c r="B662" s="31"/>
      <c r="C662" s="31"/>
      <c r="D662" s="31"/>
      <c r="E662" s="31"/>
      <c r="F662" s="3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>
      <c r="A663" s="32"/>
      <c r="B663" s="32"/>
      <c r="C663" s="32"/>
      <c r="D663" s="32"/>
      <c r="E663" s="32"/>
      <c r="F663" s="3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>
      <c r="A664" s="31"/>
      <c r="B664" s="31"/>
      <c r="C664" s="31"/>
      <c r="D664" s="31"/>
      <c r="E664" s="31"/>
      <c r="F664" s="3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>
      <c r="A665" s="32"/>
      <c r="B665" s="32"/>
      <c r="C665" s="32"/>
      <c r="D665" s="32"/>
      <c r="E665" s="32"/>
      <c r="F665" s="3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>
      <c r="A666" s="31"/>
      <c r="B666" s="31"/>
      <c r="C666" s="31"/>
      <c r="D666" s="31"/>
      <c r="E666" s="31"/>
      <c r="F666" s="3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>
      <c r="A667" s="32"/>
      <c r="B667" s="32"/>
      <c r="C667" s="32"/>
      <c r="D667" s="32"/>
      <c r="E667" s="32"/>
      <c r="F667" s="3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>
      <c r="A668" s="31"/>
      <c r="B668" s="31"/>
      <c r="C668" s="31"/>
      <c r="D668" s="31"/>
      <c r="E668" s="31"/>
      <c r="F668" s="3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>
      <c r="A669" s="32"/>
      <c r="B669" s="32"/>
      <c r="C669" s="32"/>
      <c r="D669" s="32"/>
      <c r="E669" s="32"/>
      <c r="F669" s="3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>
      <c r="A670" s="31"/>
      <c r="B670" s="31"/>
      <c r="C670" s="31"/>
      <c r="D670" s="31"/>
      <c r="E670" s="31"/>
      <c r="F670" s="3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>
      <c r="A671" s="32"/>
      <c r="B671" s="32"/>
      <c r="C671" s="32"/>
      <c r="D671" s="32"/>
      <c r="E671" s="32"/>
      <c r="F671" s="3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>
      <c r="A672" s="31"/>
      <c r="B672" s="31"/>
      <c r="C672" s="31"/>
      <c r="D672" s="31"/>
      <c r="E672" s="31"/>
      <c r="F672" s="3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>
      <c r="A673" s="32"/>
      <c r="B673" s="32"/>
      <c r="C673" s="32"/>
      <c r="D673" s="32"/>
      <c r="E673" s="32"/>
      <c r="F673" s="3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>
      <c r="A674" s="31"/>
      <c r="B674" s="31"/>
      <c r="C674" s="31"/>
      <c r="D674" s="31"/>
      <c r="E674" s="31"/>
      <c r="F674" s="3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>
      <c r="A675" s="32"/>
      <c r="B675" s="32"/>
      <c r="C675" s="32"/>
      <c r="D675" s="32"/>
      <c r="E675" s="32"/>
      <c r="F675" s="3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>
      <c r="A676" s="31"/>
      <c r="B676" s="31"/>
      <c r="C676" s="31"/>
      <c r="D676" s="31"/>
      <c r="E676" s="31"/>
      <c r="F676" s="3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>
      <c r="A677" s="32"/>
      <c r="B677" s="32"/>
      <c r="C677" s="32"/>
      <c r="D677" s="32"/>
      <c r="E677" s="32"/>
      <c r="F677" s="3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>
      <c r="A678" s="31"/>
      <c r="B678" s="31"/>
      <c r="C678" s="31"/>
      <c r="D678" s="31"/>
      <c r="E678" s="31"/>
      <c r="F678" s="3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>
      <c r="A679" s="32"/>
      <c r="B679" s="32"/>
      <c r="C679" s="32"/>
      <c r="D679" s="32"/>
      <c r="E679" s="32"/>
      <c r="F679" s="3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>
      <c r="A680" s="31"/>
      <c r="B680" s="31"/>
      <c r="C680" s="31"/>
      <c r="D680" s="31"/>
      <c r="E680" s="31"/>
      <c r="F680" s="3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>
      <c r="A681" s="32"/>
      <c r="B681" s="32"/>
      <c r="C681" s="32"/>
      <c r="D681" s="32"/>
      <c r="E681" s="32"/>
      <c r="F681" s="3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>
      <c r="A682" s="31"/>
      <c r="B682" s="31"/>
      <c r="C682" s="31"/>
      <c r="D682" s="31"/>
      <c r="E682" s="31"/>
      <c r="F682" s="3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>
      <c r="A683" s="32"/>
      <c r="B683" s="32"/>
      <c r="C683" s="32"/>
      <c r="D683" s="32"/>
      <c r="E683" s="32"/>
      <c r="F683" s="3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>
      <c r="A684" s="31"/>
      <c r="B684" s="31"/>
      <c r="C684" s="31"/>
      <c r="D684" s="31"/>
      <c r="E684" s="31"/>
      <c r="F684" s="3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>
      <c r="A685" s="32"/>
      <c r="B685" s="32"/>
      <c r="C685" s="32"/>
      <c r="D685" s="32"/>
      <c r="E685" s="32"/>
      <c r="F685" s="3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>
      <c r="A686" s="31"/>
      <c r="B686" s="31"/>
      <c r="C686" s="31"/>
      <c r="D686" s="31"/>
      <c r="E686" s="31"/>
      <c r="F686" s="3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>
      <c r="A687" s="32"/>
      <c r="B687" s="32"/>
      <c r="C687" s="32"/>
      <c r="D687" s="32"/>
      <c r="E687" s="32"/>
      <c r="F687" s="3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>
      <c r="A688" s="31"/>
      <c r="B688" s="31"/>
      <c r="C688" s="31"/>
      <c r="D688" s="31"/>
      <c r="E688" s="31"/>
      <c r="F688" s="3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>
      <c r="A689" s="32"/>
      <c r="B689" s="32"/>
      <c r="C689" s="32"/>
      <c r="D689" s="32"/>
      <c r="E689" s="32"/>
      <c r="F689" s="3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>
      <c r="A690" s="31"/>
      <c r="B690" s="31"/>
      <c r="C690" s="31"/>
      <c r="D690" s="31"/>
      <c r="E690" s="31"/>
      <c r="F690" s="3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>
      <c r="A691" s="32"/>
      <c r="B691" s="32"/>
      <c r="C691" s="32"/>
      <c r="D691" s="32"/>
      <c r="E691" s="32"/>
      <c r="F691" s="3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>
      <c r="A692" s="31"/>
      <c r="B692" s="31"/>
      <c r="C692" s="31"/>
      <c r="D692" s="31"/>
      <c r="E692" s="31"/>
      <c r="F692" s="3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>
      <c r="A693" s="32"/>
      <c r="B693" s="32"/>
      <c r="C693" s="32"/>
      <c r="D693" s="32"/>
      <c r="E693" s="32"/>
      <c r="F693" s="3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>
      <c r="A694" s="31"/>
      <c r="B694" s="31"/>
      <c r="C694" s="31"/>
      <c r="D694" s="31"/>
      <c r="E694" s="31"/>
      <c r="F694" s="3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>
      <c r="A695" s="32"/>
      <c r="B695" s="32"/>
      <c r="C695" s="32"/>
      <c r="D695" s="32"/>
      <c r="E695" s="32"/>
      <c r="F695" s="3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>
      <c r="A696" s="31"/>
      <c r="B696" s="31"/>
      <c r="C696" s="31"/>
      <c r="D696" s="31"/>
      <c r="E696" s="31"/>
      <c r="F696" s="3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>
      <c r="A697" s="32"/>
      <c r="B697" s="32"/>
      <c r="C697" s="32"/>
      <c r="D697" s="32"/>
      <c r="E697" s="32"/>
      <c r="F697" s="3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>
      <c r="A698" s="31"/>
      <c r="B698" s="31"/>
      <c r="C698" s="31"/>
      <c r="D698" s="31"/>
      <c r="E698" s="31"/>
      <c r="F698" s="3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>
      <c r="A699" s="32"/>
      <c r="B699" s="32"/>
      <c r="C699" s="32"/>
      <c r="D699" s="32"/>
      <c r="E699" s="32"/>
      <c r="F699" s="3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>
      <c r="A700" s="31"/>
      <c r="B700" s="31"/>
      <c r="C700" s="31"/>
      <c r="D700" s="31"/>
      <c r="E700" s="31"/>
      <c r="F700" s="3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>
      <c r="A701" s="32"/>
      <c r="B701" s="32"/>
      <c r="C701" s="32"/>
      <c r="D701" s="32"/>
      <c r="E701" s="32"/>
      <c r="F701" s="3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>
      <c r="A702" s="31"/>
      <c r="B702" s="31"/>
      <c r="C702" s="31"/>
      <c r="D702" s="31"/>
      <c r="E702" s="31"/>
      <c r="F702" s="3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>
      <c r="A703" s="32"/>
      <c r="B703" s="32"/>
      <c r="C703" s="32"/>
      <c r="D703" s="32"/>
      <c r="E703" s="32"/>
      <c r="F703" s="3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>
      <c r="A704" s="31"/>
      <c r="B704" s="31"/>
      <c r="C704" s="31"/>
      <c r="D704" s="31"/>
      <c r="E704" s="31"/>
      <c r="F704" s="3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>
      <c r="A705" s="32"/>
      <c r="B705" s="32"/>
      <c r="C705" s="32"/>
      <c r="D705" s="32"/>
      <c r="E705" s="32"/>
      <c r="F705" s="3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>
      <c r="A706" s="31"/>
      <c r="B706" s="31"/>
      <c r="C706" s="31"/>
      <c r="D706" s="31"/>
      <c r="E706" s="31"/>
      <c r="F706" s="3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>
      <c r="A707" s="32"/>
      <c r="B707" s="32"/>
      <c r="C707" s="32"/>
      <c r="D707" s="32"/>
      <c r="E707" s="32"/>
      <c r="F707" s="3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>
      <c r="A708" s="31"/>
      <c r="B708" s="31"/>
      <c r="C708" s="31"/>
      <c r="D708" s="31"/>
      <c r="E708" s="31"/>
      <c r="F708" s="3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>
      <c r="A709" s="32"/>
      <c r="B709" s="32"/>
      <c r="C709" s="32"/>
      <c r="D709" s="32"/>
      <c r="E709" s="32"/>
      <c r="F709" s="3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>
      <c r="A710" s="31"/>
      <c r="B710" s="31"/>
      <c r="C710" s="31"/>
      <c r="D710" s="31"/>
      <c r="E710" s="31"/>
      <c r="F710" s="3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>
      <c r="A711" s="32"/>
      <c r="B711" s="32"/>
      <c r="C711" s="32"/>
      <c r="D711" s="32"/>
      <c r="E711" s="32"/>
      <c r="F711" s="3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>
      <c r="A712" s="31"/>
      <c r="B712" s="31"/>
      <c r="C712" s="31"/>
      <c r="D712" s="31"/>
      <c r="E712" s="31"/>
      <c r="F712" s="3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>
      <c r="A713" s="32"/>
      <c r="B713" s="32"/>
      <c r="C713" s="32"/>
      <c r="D713" s="32"/>
      <c r="E713" s="32"/>
      <c r="F713" s="3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>
      <c r="A714" s="31"/>
      <c r="B714" s="31"/>
      <c r="C714" s="31"/>
      <c r="D714" s="31"/>
      <c r="E714" s="31"/>
      <c r="F714" s="3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>
      <c r="A715" s="32"/>
      <c r="B715" s="32"/>
      <c r="C715" s="32"/>
      <c r="D715" s="32"/>
      <c r="E715" s="32"/>
      <c r="F715" s="3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>
      <c r="A716" s="31"/>
      <c r="B716" s="31"/>
      <c r="C716" s="31"/>
      <c r="D716" s="31"/>
      <c r="E716" s="31"/>
      <c r="F716" s="3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>
      <c r="A717" s="32"/>
      <c r="B717" s="32"/>
      <c r="C717" s="32"/>
      <c r="D717" s="32"/>
      <c r="E717" s="32"/>
      <c r="F717" s="3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>
      <c r="A718" s="31"/>
      <c r="B718" s="31"/>
      <c r="C718" s="31"/>
      <c r="D718" s="31"/>
      <c r="E718" s="31"/>
      <c r="F718" s="3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>
      <c r="A719" s="32"/>
      <c r="B719" s="32"/>
      <c r="C719" s="32"/>
      <c r="D719" s="32"/>
      <c r="E719" s="32"/>
      <c r="F719" s="3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>
      <c r="A720" s="31"/>
      <c r="B720" s="31"/>
      <c r="C720" s="31"/>
      <c r="D720" s="31"/>
      <c r="E720" s="31"/>
      <c r="F720" s="3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>
      <c r="A721" s="32"/>
      <c r="B721" s="32"/>
      <c r="C721" s="32"/>
      <c r="D721" s="32"/>
      <c r="E721" s="32"/>
      <c r="F721" s="3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>
      <c r="A722" s="31"/>
      <c r="B722" s="31"/>
      <c r="C722" s="31"/>
      <c r="D722" s="31"/>
      <c r="E722" s="31"/>
      <c r="F722" s="3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>
      <c r="A723" s="32"/>
      <c r="B723" s="32"/>
      <c r="C723" s="32"/>
      <c r="D723" s="32"/>
      <c r="E723" s="32"/>
      <c r="F723" s="3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>
      <c r="A724" s="31"/>
      <c r="B724" s="31"/>
      <c r="C724" s="31"/>
      <c r="D724" s="31"/>
      <c r="E724" s="31"/>
      <c r="F724" s="3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>
      <c r="A725" s="32"/>
      <c r="B725" s="32"/>
      <c r="C725" s="32"/>
      <c r="D725" s="32"/>
      <c r="E725" s="32"/>
      <c r="F725" s="3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>
      <c r="A726" s="31"/>
      <c r="B726" s="31"/>
      <c r="C726" s="31"/>
      <c r="D726" s="31"/>
      <c r="E726" s="31"/>
      <c r="F726" s="3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>
      <c r="A727" s="32"/>
      <c r="B727" s="32"/>
      <c r="C727" s="32"/>
      <c r="D727" s="32"/>
      <c r="E727" s="32"/>
      <c r="F727" s="3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>
      <c r="A728" s="31"/>
      <c r="B728" s="31"/>
      <c r="C728" s="31"/>
      <c r="D728" s="31"/>
      <c r="E728" s="31"/>
      <c r="F728" s="3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>
      <c r="A729" s="32"/>
      <c r="B729" s="32"/>
      <c r="C729" s="32"/>
      <c r="D729" s="32"/>
      <c r="E729" s="32"/>
      <c r="F729" s="3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>
      <c r="A730" s="31"/>
      <c r="B730" s="31"/>
      <c r="C730" s="31"/>
      <c r="D730" s="31"/>
      <c r="E730" s="31"/>
      <c r="F730" s="3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>
      <c r="A731" s="32"/>
      <c r="B731" s="32"/>
      <c r="C731" s="32"/>
      <c r="D731" s="32"/>
      <c r="E731" s="32"/>
      <c r="F731" s="3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>
      <c r="A732" s="31"/>
      <c r="B732" s="31"/>
      <c r="C732" s="31"/>
      <c r="D732" s="31"/>
      <c r="E732" s="31"/>
      <c r="F732" s="3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>
      <c r="A733" s="32"/>
      <c r="B733" s="32"/>
      <c r="C733" s="32"/>
      <c r="D733" s="32"/>
      <c r="E733" s="32"/>
      <c r="F733" s="3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>
      <c r="A734" s="31"/>
      <c r="B734" s="31"/>
      <c r="C734" s="31"/>
      <c r="D734" s="31"/>
      <c r="E734" s="31"/>
      <c r="F734" s="3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>
      <c r="A735" s="32"/>
      <c r="B735" s="32"/>
      <c r="C735" s="32"/>
      <c r="D735" s="32"/>
      <c r="E735" s="32"/>
      <c r="F735" s="3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>
      <c r="A736" s="31"/>
      <c r="B736" s="31"/>
      <c r="C736" s="31"/>
      <c r="D736" s="31"/>
      <c r="E736" s="31"/>
      <c r="F736" s="3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>
      <c r="A737" s="32"/>
      <c r="B737" s="32"/>
      <c r="C737" s="32"/>
      <c r="D737" s="32"/>
      <c r="E737" s="32"/>
      <c r="F737" s="3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>
      <c r="A738" s="31"/>
      <c r="B738" s="31"/>
      <c r="C738" s="31"/>
      <c r="D738" s="31"/>
      <c r="E738" s="31"/>
      <c r="F738" s="3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>
      <c r="A739" s="32"/>
      <c r="B739" s="32"/>
      <c r="C739" s="32"/>
      <c r="D739" s="32"/>
      <c r="E739" s="32"/>
      <c r="F739" s="3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>
      <c r="A740" s="31"/>
      <c r="B740" s="31"/>
      <c r="C740" s="31"/>
      <c r="D740" s="31"/>
      <c r="E740" s="31"/>
      <c r="F740" s="3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>
      <c r="A741" s="32"/>
      <c r="B741" s="32"/>
      <c r="C741" s="32"/>
      <c r="D741" s="32"/>
      <c r="E741" s="32"/>
      <c r="F741" s="3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>
      <c r="A742" s="31"/>
      <c r="B742" s="31"/>
      <c r="C742" s="31"/>
      <c r="D742" s="31"/>
      <c r="E742" s="31"/>
      <c r="F742" s="3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>
      <c r="A743" s="32"/>
      <c r="B743" s="32"/>
      <c r="C743" s="32"/>
      <c r="D743" s="32"/>
      <c r="E743" s="32"/>
      <c r="F743" s="3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>
      <c r="A744" s="31"/>
      <c r="B744" s="31"/>
      <c r="C744" s="31"/>
      <c r="D744" s="31"/>
      <c r="E744" s="31"/>
      <c r="F744" s="3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>
      <c r="A745" s="32"/>
      <c r="B745" s="32"/>
      <c r="C745" s="32"/>
      <c r="D745" s="32"/>
      <c r="E745" s="32"/>
      <c r="F745" s="3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>
      <c r="A746" s="31"/>
      <c r="B746" s="31"/>
      <c r="C746" s="31"/>
      <c r="D746" s="31"/>
      <c r="E746" s="31"/>
      <c r="F746" s="3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>
      <c r="A747" s="32"/>
      <c r="B747" s="32"/>
      <c r="C747" s="32"/>
      <c r="D747" s="32"/>
      <c r="E747" s="32"/>
      <c r="F747" s="3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>
      <c r="A748" s="31"/>
      <c r="B748" s="31"/>
      <c r="C748" s="31"/>
      <c r="D748" s="31"/>
      <c r="E748" s="31"/>
      <c r="F748" s="3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>
      <c r="A749" s="32"/>
      <c r="B749" s="32"/>
      <c r="C749" s="32"/>
      <c r="D749" s="32"/>
      <c r="E749" s="32"/>
      <c r="F749" s="3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>
      <c r="A750" s="31"/>
      <c r="B750" s="31"/>
      <c r="C750" s="31"/>
      <c r="D750" s="31"/>
      <c r="E750" s="31"/>
      <c r="F750" s="3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>
      <c r="A751" s="32"/>
      <c r="B751" s="32"/>
      <c r="C751" s="32"/>
      <c r="D751" s="32"/>
      <c r="E751" s="32"/>
      <c r="F751" s="3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>
      <c r="A752" s="31"/>
      <c r="B752" s="31"/>
      <c r="C752" s="31"/>
      <c r="D752" s="31"/>
      <c r="E752" s="31"/>
      <c r="F752" s="3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>
      <c r="A753" s="32"/>
      <c r="B753" s="32"/>
      <c r="C753" s="32"/>
      <c r="D753" s="32"/>
      <c r="E753" s="32"/>
      <c r="F753" s="3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>
      <c r="A754" s="31"/>
      <c r="B754" s="31"/>
      <c r="C754" s="31"/>
      <c r="D754" s="31"/>
      <c r="E754" s="31"/>
      <c r="F754" s="3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>
      <c r="A755" s="32"/>
      <c r="B755" s="32"/>
      <c r="C755" s="32"/>
      <c r="D755" s="32"/>
      <c r="E755" s="32"/>
      <c r="F755" s="3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>
      <c r="A756" s="31"/>
      <c r="B756" s="31"/>
      <c r="C756" s="31"/>
      <c r="D756" s="31"/>
      <c r="E756" s="31"/>
      <c r="F756" s="3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>
      <c r="A757" s="32"/>
      <c r="B757" s="32"/>
      <c r="C757" s="32"/>
      <c r="D757" s="32"/>
      <c r="E757" s="32"/>
      <c r="F757" s="3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>
      <c r="A758" s="31"/>
      <c r="B758" s="31"/>
      <c r="C758" s="31"/>
      <c r="D758" s="31"/>
      <c r="E758" s="31"/>
      <c r="F758" s="3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>
      <c r="A759" s="32"/>
      <c r="B759" s="32"/>
      <c r="C759" s="32"/>
      <c r="D759" s="32"/>
      <c r="E759" s="32"/>
      <c r="F759" s="3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>
      <c r="A760" s="31"/>
      <c r="B760" s="31"/>
      <c r="C760" s="31"/>
      <c r="D760" s="31"/>
      <c r="E760" s="31"/>
      <c r="F760" s="3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>
      <c r="A761" s="32"/>
      <c r="B761" s="32"/>
      <c r="C761" s="32"/>
      <c r="D761" s="32"/>
      <c r="E761" s="32"/>
      <c r="F761" s="3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>
      <c r="A762" s="31"/>
      <c r="B762" s="31"/>
      <c r="C762" s="31"/>
      <c r="D762" s="31"/>
      <c r="E762" s="31"/>
      <c r="F762" s="3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>
      <c r="A763" s="32"/>
      <c r="B763" s="32"/>
      <c r="C763" s="32"/>
      <c r="D763" s="32"/>
      <c r="E763" s="32"/>
      <c r="F763" s="3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>
      <c r="A764" s="31"/>
      <c r="B764" s="31"/>
      <c r="C764" s="31"/>
      <c r="D764" s="31"/>
      <c r="E764" s="31"/>
      <c r="F764" s="3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>
      <c r="A765" s="32"/>
      <c r="B765" s="32"/>
      <c r="C765" s="32"/>
      <c r="D765" s="32"/>
      <c r="E765" s="32"/>
      <c r="F765" s="3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>
      <c r="A766" s="31"/>
      <c r="B766" s="31"/>
      <c r="C766" s="31"/>
      <c r="D766" s="31"/>
      <c r="E766" s="31"/>
      <c r="F766" s="3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>
      <c r="A767" s="32"/>
      <c r="B767" s="32"/>
      <c r="C767" s="32"/>
      <c r="D767" s="32"/>
      <c r="E767" s="32"/>
      <c r="F767" s="3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>
      <c r="A768" s="31"/>
      <c r="B768" s="31"/>
      <c r="C768" s="31"/>
      <c r="D768" s="31"/>
      <c r="E768" s="31"/>
      <c r="F768" s="3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>
      <c r="A769" s="32"/>
      <c r="B769" s="32"/>
      <c r="C769" s="32"/>
      <c r="D769" s="32"/>
      <c r="E769" s="32"/>
      <c r="F769" s="3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>
      <c r="A770" s="31"/>
      <c r="B770" s="31"/>
      <c r="C770" s="31"/>
      <c r="D770" s="31"/>
      <c r="E770" s="31"/>
      <c r="F770" s="3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>
      <c r="A771" s="32"/>
      <c r="B771" s="32"/>
      <c r="C771" s="32"/>
      <c r="D771" s="32"/>
      <c r="E771" s="32"/>
      <c r="F771" s="3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>
      <c r="A772" s="31"/>
      <c r="B772" s="31"/>
      <c r="C772" s="31"/>
      <c r="D772" s="31"/>
      <c r="E772" s="31"/>
      <c r="F772" s="3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>
      <c r="A773" s="32"/>
      <c r="B773" s="32"/>
      <c r="C773" s="32"/>
      <c r="D773" s="32"/>
      <c r="E773" s="32"/>
      <c r="F773" s="3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>
      <c r="A774" s="31"/>
      <c r="B774" s="31"/>
      <c r="C774" s="31"/>
      <c r="D774" s="31"/>
      <c r="E774" s="31"/>
      <c r="F774" s="3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>
      <c r="A775" s="32"/>
      <c r="B775" s="32"/>
      <c r="C775" s="32"/>
      <c r="D775" s="32"/>
      <c r="E775" s="32"/>
      <c r="F775" s="3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>
      <c r="A776" s="31"/>
      <c r="B776" s="31"/>
      <c r="C776" s="31"/>
      <c r="D776" s="31"/>
      <c r="E776" s="31"/>
      <c r="F776" s="3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>
      <c r="A777" s="32"/>
      <c r="B777" s="32"/>
      <c r="C777" s="32"/>
      <c r="D777" s="32"/>
      <c r="E777" s="32"/>
      <c r="F777" s="3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>
      <c r="A778" s="31"/>
      <c r="B778" s="31"/>
      <c r="C778" s="31"/>
      <c r="D778" s="31"/>
      <c r="E778" s="31"/>
      <c r="F778" s="3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>
      <c r="A779" s="32"/>
      <c r="B779" s="32"/>
      <c r="C779" s="32"/>
      <c r="D779" s="32"/>
      <c r="E779" s="32"/>
      <c r="F779" s="3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>
      <c r="A780" s="31"/>
      <c r="B780" s="31"/>
      <c r="C780" s="31"/>
      <c r="D780" s="31"/>
      <c r="E780" s="31"/>
      <c r="F780" s="3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>
      <c r="A781" s="32"/>
      <c r="B781" s="32"/>
      <c r="C781" s="32"/>
      <c r="D781" s="32"/>
      <c r="E781" s="32"/>
      <c r="F781" s="3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>
      <c r="A782" s="31"/>
      <c r="B782" s="31"/>
      <c r="C782" s="31"/>
      <c r="D782" s="31"/>
      <c r="E782" s="31"/>
      <c r="F782" s="3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>
      <c r="A783" s="32"/>
      <c r="B783" s="32"/>
      <c r="C783" s="32"/>
      <c r="D783" s="32"/>
      <c r="E783" s="32"/>
      <c r="F783" s="3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>
      <c r="A784" s="31"/>
      <c r="B784" s="31"/>
      <c r="C784" s="31"/>
      <c r="D784" s="31"/>
      <c r="E784" s="31"/>
      <c r="F784" s="3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>
      <c r="A785" s="32"/>
      <c r="B785" s="32"/>
      <c r="C785" s="32"/>
      <c r="D785" s="32"/>
      <c r="E785" s="32"/>
      <c r="F785" s="3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>
      <c r="A786" s="31"/>
      <c r="B786" s="31"/>
      <c r="C786" s="31"/>
      <c r="D786" s="31"/>
      <c r="E786" s="31"/>
      <c r="F786" s="3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>
      <c r="A787" s="32"/>
      <c r="B787" s="32"/>
      <c r="C787" s="32"/>
      <c r="D787" s="32"/>
      <c r="E787" s="32"/>
      <c r="F787" s="3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>
      <c r="A788" s="31"/>
      <c r="B788" s="31"/>
      <c r="C788" s="31"/>
      <c r="D788" s="31"/>
      <c r="E788" s="31"/>
      <c r="F788" s="3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>
      <c r="A789" s="32"/>
      <c r="B789" s="32"/>
      <c r="C789" s="32"/>
      <c r="D789" s="32"/>
      <c r="E789" s="32"/>
      <c r="F789" s="3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>
      <c r="A790" s="31"/>
      <c r="B790" s="31"/>
      <c r="C790" s="31"/>
      <c r="D790" s="31"/>
      <c r="E790" s="31"/>
      <c r="F790" s="3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>
      <c r="A791" s="32"/>
      <c r="B791" s="32"/>
      <c r="C791" s="32"/>
      <c r="D791" s="32"/>
      <c r="E791" s="32"/>
      <c r="F791" s="3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>
      <c r="A792" s="31"/>
      <c r="B792" s="31"/>
      <c r="C792" s="31"/>
      <c r="D792" s="31"/>
      <c r="E792" s="31"/>
      <c r="F792" s="3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>
      <c r="A793" s="32"/>
      <c r="B793" s="32"/>
      <c r="C793" s="32"/>
      <c r="D793" s="32"/>
      <c r="E793" s="32"/>
      <c r="F793" s="3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>
      <c r="A794" s="31"/>
      <c r="B794" s="31"/>
      <c r="C794" s="31"/>
      <c r="D794" s="31"/>
      <c r="E794" s="31"/>
      <c r="F794" s="3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>
      <c r="A795" s="32"/>
      <c r="B795" s="32"/>
      <c r="C795" s="32"/>
      <c r="D795" s="32"/>
      <c r="E795" s="32"/>
      <c r="F795" s="3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>
      <c r="A796" s="31"/>
      <c r="B796" s="31"/>
      <c r="C796" s="31"/>
      <c r="D796" s="31"/>
      <c r="E796" s="31"/>
      <c r="F796" s="3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>
      <c r="A797" s="32"/>
      <c r="B797" s="32"/>
      <c r="C797" s="32"/>
      <c r="D797" s="32"/>
      <c r="E797" s="32"/>
      <c r="F797" s="3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>
      <c r="A798" s="31"/>
      <c r="B798" s="31"/>
      <c r="C798" s="31"/>
      <c r="D798" s="31"/>
      <c r="E798" s="31"/>
      <c r="F798" s="3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>
      <c r="A799" s="32"/>
      <c r="B799" s="32"/>
      <c r="C799" s="32"/>
      <c r="D799" s="32"/>
      <c r="E799" s="32"/>
      <c r="F799" s="3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>
      <c r="A800" s="31"/>
      <c r="B800" s="31"/>
      <c r="C800" s="31"/>
      <c r="D800" s="31"/>
      <c r="E800" s="31"/>
      <c r="F800" s="3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>
      <c r="A801" s="32"/>
      <c r="B801" s="32"/>
      <c r="C801" s="32"/>
      <c r="D801" s="32"/>
      <c r="E801" s="32"/>
      <c r="F801" s="3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>
      <c r="A802" s="31"/>
      <c r="B802" s="31"/>
      <c r="C802" s="31"/>
      <c r="D802" s="31"/>
      <c r="E802" s="31"/>
      <c r="F802" s="3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>
      <c r="A803" s="32"/>
      <c r="B803" s="32"/>
      <c r="C803" s="32"/>
      <c r="D803" s="32"/>
      <c r="E803" s="32"/>
      <c r="F803" s="3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>
      <c r="A804" s="31"/>
      <c r="B804" s="31"/>
      <c r="C804" s="31"/>
      <c r="D804" s="31"/>
      <c r="E804" s="31"/>
      <c r="F804" s="3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>
      <c r="A805" s="32"/>
      <c r="B805" s="32"/>
      <c r="C805" s="32"/>
      <c r="D805" s="32"/>
      <c r="E805" s="32"/>
      <c r="F805" s="3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>
      <c r="A806" s="31"/>
      <c r="B806" s="31"/>
      <c r="C806" s="31"/>
      <c r="D806" s="31"/>
      <c r="E806" s="31"/>
      <c r="F806" s="3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>
      <c r="A807" s="32"/>
      <c r="B807" s="32"/>
      <c r="C807" s="32"/>
      <c r="D807" s="32"/>
      <c r="E807" s="32"/>
      <c r="F807" s="3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>
      <c r="A808" s="31"/>
      <c r="B808" s="31"/>
      <c r="C808" s="31"/>
      <c r="D808" s="31"/>
      <c r="E808" s="31"/>
      <c r="F808" s="3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>
      <c r="A809" s="32"/>
      <c r="B809" s="32"/>
      <c r="C809" s="32"/>
      <c r="D809" s="32"/>
      <c r="E809" s="32"/>
      <c r="F809" s="3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>
      <c r="A810" s="31"/>
      <c r="B810" s="31"/>
      <c r="C810" s="31"/>
      <c r="D810" s="31"/>
      <c r="E810" s="31"/>
      <c r="F810" s="3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>
      <c r="A811" s="32"/>
      <c r="B811" s="32"/>
      <c r="C811" s="32"/>
      <c r="D811" s="32"/>
      <c r="E811" s="32"/>
      <c r="F811" s="3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>
      <c r="A812" s="31"/>
      <c r="B812" s="31"/>
      <c r="C812" s="31"/>
      <c r="D812" s="31"/>
      <c r="E812" s="31"/>
      <c r="F812" s="3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>
      <c r="A813" s="32"/>
      <c r="B813" s="32"/>
      <c r="C813" s="32"/>
      <c r="D813" s="32"/>
      <c r="E813" s="32"/>
      <c r="F813" s="3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>
      <c r="A814" s="31"/>
      <c r="B814" s="31"/>
      <c r="C814" s="31"/>
      <c r="D814" s="31"/>
      <c r="E814" s="31"/>
      <c r="F814" s="3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>
      <c r="A815" s="32"/>
      <c r="B815" s="32"/>
      <c r="C815" s="32"/>
      <c r="D815" s="32"/>
      <c r="E815" s="32"/>
      <c r="F815" s="3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>
      <c r="A816" s="31"/>
      <c r="B816" s="31"/>
      <c r="C816" s="31"/>
      <c r="D816" s="31"/>
      <c r="E816" s="31"/>
      <c r="F816" s="3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>
      <c r="A817" s="32"/>
      <c r="B817" s="32"/>
      <c r="C817" s="32"/>
      <c r="D817" s="32"/>
      <c r="E817" s="32"/>
      <c r="F817" s="3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>
      <c r="A818" s="31"/>
      <c r="B818" s="31"/>
      <c r="C818" s="31"/>
      <c r="D818" s="31"/>
      <c r="E818" s="31"/>
      <c r="F818" s="3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>
      <c r="A819" s="32"/>
      <c r="B819" s="32"/>
      <c r="C819" s="32"/>
      <c r="D819" s="32"/>
      <c r="E819" s="32"/>
      <c r="F819" s="3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>
      <c r="A820" s="31"/>
      <c r="B820" s="31"/>
      <c r="C820" s="31"/>
      <c r="D820" s="31"/>
      <c r="E820" s="31"/>
      <c r="F820" s="3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>
      <c r="A821" s="32"/>
      <c r="B821" s="32"/>
      <c r="C821" s="32"/>
      <c r="D821" s="32"/>
      <c r="E821" s="32"/>
      <c r="F821" s="3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>
      <c r="A822" s="31"/>
      <c r="B822" s="31"/>
      <c r="C822" s="31"/>
      <c r="D822" s="31"/>
      <c r="E822" s="31"/>
      <c r="F822" s="3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>
      <c r="A823" s="32"/>
      <c r="B823" s="32"/>
      <c r="C823" s="32"/>
      <c r="D823" s="32"/>
      <c r="E823" s="32"/>
      <c r="F823" s="3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>
      <c r="A824" s="31"/>
      <c r="B824" s="31"/>
      <c r="C824" s="31"/>
      <c r="D824" s="31"/>
      <c r="E824" s="31"/>
      <c r="F824" s="3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>
      <c r="A825" s="32"/>
      <c r="B825" s="32"/>
      <c r="C825" s="32"/>
      <c r="D825" s="32"/>
      <c r="E825" s="32"/>
      <c r="F825" s="3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>
      <c r="A826" s="31"/>
      <c r="B826" s="31"/>
      <c r="C826" s="31"/>
      <c r="D826" s="31"/>
      <c r="E826" s="31"/>
      <c r="F826" s="3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>
      <c r="A827" s="32"/>
      <c r="B827" s="32"/>
      <c r="C827" s="32"/>
      <c r="D827" s="32"/>
      <c r="E827" s="32"/>
      <c r="F827" s="3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>
      <c r="A828" s="31"/>
      <c r="B828" s="31"/>
      <c r="C828" s="31"/>
      <c r="D828" s="31"/>
      <c r="E828" s="31"/>
      <c r="F828" s="3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>
      <c r="A829" s="32"/>
      <c r="B829" s="32"/>
      <c r="C829" s="32"/>
      <c r="D829" s="32"/>
      <c r="E829" s="32"/>
      <c r="F829" s="3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>
      <c r="A830" s="31"/>
      <c r="B830" s="31"/>
      <c r="C830" s="31"/>
      <c r="D830" s="31"/>
      <c r="E830" s="31"/>
      <c r="F830" s="3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>
      <c r="A831" s="32"/>
      <c r="B831" s="32"/>
      <c r="C831" s="32"/>
      <c r="D831" s="32"/>
      <c r="E831" s="32"/>
      <c r="F831" s="3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>
      <c r="A832" s="31"/>
      <c r="B832" s="31"/>
      <c r="C832" s="31"/>
      <c r="D832" s="31"/>
      <c r="E832" s="31"/>
      <c r="F832" s="3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>
      <c r="A833" s="32"/>
      <c r="B833" s="32"/>
      <c r="C833" s="32"/>
      <c r="D833" s="32"/>
      <c r="E833" s="32"/>
      <c r="F833" s="3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>
      <c r="A834" s="31"/>
      <c r="B834" s="31"/>
      <c r="C834" s="31"/>
      <c r="D834" s="31"/>
      <c r="E834" s="31"/>
      <c r="F834" s="3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>
      <c r="A835" s="32"/>
      <c r="B835" s="32"/>
      <c r="C835" s="32"/>
      <c r="D835" s="32"/>
      <c r="E835" s="32"/>
      <c r="F835" s="3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>
      <c r="A836" s="31"/>
      <c r="B836" s="31"/>
      <c r="C836" s="31"/>
      <c r="D836" s="31"/>
      <c r="E836" s="31"/>
      <c r="F836" s="3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>
      <c r="A837" s="32"/>
      <c r="B837" s="32"/>
      <c r="C837" s="32"/>
      <c r="D837" s="32"/>
      <c r="E837" s="32"/>
      <c r="F837" s="3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>
      <c r="A838" s="31"/>
      <c r="B838" s="31"/>
      <c r="C838" s="31"/>
      <c r="D838" s="31"/>
      <c r="E838" s="31"/>
      <c r="F838" s="3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>
      <c r="A839" s="32"/>
      <c r="B839" s="32"/>
      <c r="C839" s="32"/>
      <c r="D839" s="32"/>
      <c r="E839" s="32"/>
      <c r="F839" s="3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>
      <c r="A840" s="31"/>
      <c r="B840" s="31"/>
      <c r="C840" s="31"/>
      <c r="D840" s="31"/>
      <c r="E840" s="31"/>
      <c r="F840" s="3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>
      <c r="A841" s="32"/>
      <c r="B841" s="32"/>
      <c r="C841" s="32"/>
      <c r="D841" s="32"/>
      <c r="E841" s="32"/>
      <c r="F841" s="3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>
      <c r="A842" s="31"/>
      <c r="B842" s="31"/>
      <c r="C842" s="31"/>
      <c r="D842" s="31"/>
      <c r="E842" s="31"/>
      <c r="F842" s="3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>
      <c r="A843" s="32"/>
      <c r="B843" s="32"/>
      <c r="C843" s="32"/>
      <c r="D843" s="32"/>
      <c r="E843" s="32"/>
      <c r="F843" s="3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>
      <c r="A844" s="31"/>
      <c r="B844" s="31"/>
      <c r="C844" s="31"/>
      <c r="D844" s="31"/>
      <c r="E844" s="31"/>
      <c r="F844" s="3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>
      <c r="A845" s="32"/>
      <c r="B845" s="32"/>
      <c r="C845" s="32"/>
      <c r="D845" s="32"/>
      <c r="E845" s="32"/>
      <c r="F845" s="3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>
      <c r="A846" s="31"/>
      <c r="B846" s="31"/>
      <c r="C846" s="31"/>
      <c r="D846" s="31"/>
      <c r="E846" s="31"/>
      <c r="F846" s="3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>
      <c r="A847" s="32"/>
      <c r="B847" s="32"/>
      <c r="C847" s="32"/>
      <c r="D847" s="32"/>
      <c r="E847" s="32"/>
      <c r="F847" s="3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>
      <c r="A848" s="31"/>
      <c r="B848" s="31"/>
      <c r="C848" s="31"/>
      <c r="D848" s="31"/>
      <c r="E848" s="31"/>
      <c r="F848" s="3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>
      <c r="A849" s="32"/>
      <c r="B849" s="32"/>
      <c r="C849" s="32"/>
      <c r="D849" s="32"/>
      <c r="E849" s="32"/>
      <c r="F849" s="3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>
      <c r="A850" s="31"/>
      <c r="B850" s="31"/>
      <c r="C850" s="31"/>
      <c r="D850" s="31"/>
      <c r="E850" s="31"/>
      <c r="F850" s="3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>
      <c r="A851" s="32"/>
      <c r="B851" s="32"/>
      <c r="C851" s="32"/>
      <c r="D851" s="32"/>
      <c r="E851" s="32"/>
      <c r="F851" s="3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>
      <c r="A852" s="31"/>
      <c r="B852" s="31"/>
      <c r="C852" s="31"/>
      <c r="D852" s="31"/>
      <c r="E852" s="31"/>
      <c r="F852" s="3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>
      <c r="A853" s="32"/>
      <c r="B853" s="32"/>
      <c r="C853" s="32"/>
      <c r="D853" s="32"/>
      <c r="E853" s="32"/>
      <c r="F853" s="3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>
      <c r="A854" s="31"/>
      <c r="B854" s="31"/>
      <c r="C854" s="31"/>
      <c r="D854" s="31"/>
      <c r="E854" s="31"/>
      <c r="F854" s="3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>
      <c r="A855" s="32"/>
      <c r="B855" s="32"/>
      <c r="C855" s="32"/>
      <c r="D855" s="32"/>
      <c r="E855" s="32"/>
      <c r="F855" s="3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>
      <c r="A856" s="31"/>
      <c r="B856" s="31"/>
      <c r="C856" s="31"/>
      <c r="D856" s="31"/>
      <c r="E856" s="31"/>
      <c r="F856" s="3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>
      <c r="A857" s="32"/>
      <c r="B857" s="32"/>
      <c r="C857" s="32"/>
      <c r="D857" s="32"/>
      <c r="E857" s="32"/>
      <c r="F857" s="3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>
      <c r="A858" s="31"/>
      <c r="B858" s="31"/>
      <c r="C858" s="31"/>
      <c r="D858" s="31"/>
      <c r="E858" s="31"/>
      <c r="F858" s="3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>
      <c r="A859" s="32"/>
      <c r="B859" s="32"/>
      <c r="C859" s="32"/>
      <c r="D859" s="32"/>
      <c r="E859" s="32"/>
      <c r="F859" s="3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>
      <c r="A860" s="31"/>
      <c r="B860" s="31"/>
      <c r="C860" s="31"/>
      <c r="D860" s="31"/>
      <c r="E860" s="31"/>
      <c r="F860" s="3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>
      <c r="A861" s="32"/>
      <c r="B861" s="32"/>
      <c r="C861" s="32"/>
      <c r="D861" s="32"/>
      <c r="E861" s="32"/>
      <c r="F861" s="3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>
      <c r="A862" s="31"/>
      <c r="B862" s="31"/>
      <c r="C862" s="31"/>
      <c r="D862" s="31"/>
      <c r="E862" s="31"/>
      <c r="F862" s="3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>
      <c r="A863" s="32"/>
      <c r="B863" s="32"/>
      <c r="C863" s="32"/>
      <c r="D863" s="32"/>
      <c r="E863" s="32"/>
      <c r="F863" s="3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>
      <c r="A864" s="31"/>
      <c r="B864" s="31"/>
      <c r="C864" s="31"/>
      <c r="D864" s="31"/>
      <c r="E864" s="31"/>
      <c r="F864" s="3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>
      <c r="A865" s="32"/>
      <c r="B865" s="32"/>
      <c r="C865" s="32"/>
      <c r="D865" s="32"/>
      <c r="E865" s="32"/>
      <c r="F865" s="3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>
      <c r="A866" s="31"/>
      <c r="B866" s="31"/>
      <c r="C866" s="31"/>
      <c r="D866" s="31"/>
      <c r="E866" s="31"/>
      <c r="F866" s="3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>
      <c r="A867" s="32"/>
      <c r="B867" s="32"/>
      <c r="C867" s="32"/>
      <c r="D867" s="32"/>
      <c r="E867" s="32"/>
      <c r="F867" s="3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>
      <c r="A868" s="31"/>
      <c r="B868" s="31"/>
      <c r="C868" s="31"/>
      <c r="D868" s="31"/>
      <c r="E868" s="31"/>
      <c r="F868" s="3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>
      <c r="A869" s="32"/>
      <c r="B869" s="32"/>
      <c r="C869" s="32"/>
      <c r="D869" s="32"/>
      <c r="E869" s="32"/>
      <c r="F869" s="3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>
      <c r="A870" s="31"/>
      <c r="B870" s="31"/>
      <c r="C870" s="31"/>
      <c r="D870" s="31"/>
      <c r="E870" s="31"/>
      <c r="F870" s="3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>
      <c r="A871" s="32"/>
      <c r="B871" s="32"/>
      <c r="C871" s="32"/>
      <c r="D871" s="32"/>
      <c r="E871" s="32"/>
      <c r="F871" s="3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>
      <c r="A872" s="31"/>
      <c r="B872" s="31"/>
      <c r="C872" s="31"/>
      <c r="D872" s="31"/>
      <c r="E872" s="31"/>
      <c r="F872" s="3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>
      <c r="A873" s="32"/>
      <c r="B873" s="32"/>
      <c r="C873" s="32"/>
      <c r="D873" s="32"/>
      <c r="E873" s="32"/>
      <c r="F873" s="3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>
      <c r="A874" s="31"/>
      <c r="B874" s="31"/>
      <c r="C874" s="31"/>
      <c r="D874" s="31"/>
      <c r="E874" s="31"/>
      <c r="F874" s="3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>
      <c r="A875" s="32"/>
      <c r="B875" s="32"/>
      <c r="C875" s="32"/>
      <c r="D875" s="32"/>
      <c r="E875" s="32"/>
      <c r="F875" s="3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>
      <c r="A876" s="31"/>
      <c r="B876" s="31"/>
      <c r="C876" s="31"/>
      <c r="D876" s="31"/>
      <c r="E876" s="31"/>
      <c r="F876" s="3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>
      <c r="A877" s="32"/>
      <c r="B877" s="32"/>
      <c r="C877" s="32"/>
      <c r="D877" s="32"/>
      <c r="E877" s="32"/>
      <c r="F877" s="3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>
      <c r="A878" s="31"/>
      <c r="B878" s="31"/>
      <c r="C878" s="31"/>
      <c r="D878" s="31"/>
      <c r="E878" s="31"/>
      <c r="F878" s="3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>
      <c r="A879" s="32"/>
      <c r="B879" s="32"/>
      <c r="C879" s="32"/>
      <c r="D879" s="32"/>
      <c r="E879" s="32"/>
      <c r="F879" s="3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>
      <c r="A880" s="31"/>
      <c r="B880" s="31"/>
      <c r="C880" s="31"/>
      <c r="D880" s="31"/>
      <c r="E880" s="31"/>
      <c r="F880" s="3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>
      <c r="A881" s="32"/>
      <c r="B881" s="32"/>
      <c r="C881" s="32"/>
      <c r="D881" s="32"/>
      <c r="E881" s="32"/>
      <c r="F881" s="3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>
      <c r="A882" s="31"/>
      <c r="B882" s="31"/>
      <c r="C882" s="31"/>
      <c r="D882" s="31"/>
      <c r="E882" s="31"/>
      <c r="F882" s="3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>
      <c r="A883" s="32"/>
      <c r="B883" s="32"/>
      <c r="C883" s="32"/>
      <c r="D883" s="32"/>
      <c r="E883" s="32"/>
      <c r="F883" s="3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>
      <c r="A884" s="31"/>
      <c r="B884" s="31"/>
      <c r="C884" s="31"/>
      <c r="D884" s="31"/>
      <c r="E884" s="31"/>
      <c r="F884" s="3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>
      <c r="A885" s="32"/>
      <c r="B885" s="32"/>
      <c r="C885" s="32"/>
      <c r="D885" s="32"/>
      <c r="E885" s="32"/>
      <c r="F885" s="3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>
      <c r="A886" s="31"/>
      <c r="B886" s="31"/>
      <c r="C886" s="31"/>
      <c r="D886" s="31"/>
      <c r="E886" s="31"/>
      <c r="F886" s="3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>
      <c r="A887" s="32"/>
      <c r="B887" s="32"/>
      <c r="C887" s="32"/>
      <c r="D887" s="32"/>
      <c r="E887" s="32"/>
      <c r="F887" s="3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>
      <c r="A888" s="31"/>
      <c r="B888" s="31"/>
      <c r="C888" s="31"/>
      <c r="D888" s="31"/>
      <c r="E888" s="31"/>
      <c r="F888" s="3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>
      <c r="A889" s="32"/>
      <c r="B889" s="32"/>
      <c r="C889" s="32"/>
      <c r="D889" s="32"/>
      <c r="E889" s="32"/>
      <c r="F889" s="3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>
      <c r="A890" s="31"/>
      <c r="B890" s="31"/>
      <c r="C890" s="31"/>
      <c r="D890" s="31"/>
      <c r="E890" s="31"/>
      <c r="F890" s="3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>
      <c r="A891" s="32"/>
      <c r="B891" s="32"/>
      <c r="C891" s="32"/>
      <c r="D891" s="32"/>
      <c r="E891" s="32"/>
      <c r="F891" s="3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>
      <c r="A892" s="31"/>
      <c r="B892" s="31"/>
      <c r="C892" s="31"/>
      <c r="D892" s="31"/>
      <c r="E892" s="31"/>
      <c r="F892" s="3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>
      <c r="A893" s="32"/>
      <c r="B893" s="32"/>
      <c r="C893" s="32"/>
      <c r="D893" s="32"/>
      <c r="E893" s="32"/>
      <c r="F893" s="3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>
      <c r="A894" s="31"/>
      <c r="B894" s="31"/>
      <c r="C894" s="31"/>
      <c r="D894" s="31"/>
      <c r="E894" s="31"/>
      <c r="F894" s="3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>
      <c r="A895" s="32"/>
      <c r="B895" s="32"/>
      <c r="C895" s="32"/>
      <c r="D895" s="32"/>
      <c r="E895" s="32"/>
      <c r="F895" s="3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>
      <c r="A896" s="31"/>
      <c r="B896" s="31"/>
      <c r="C896" s="31"/>
      <c r="D896" s="31"/>
      <c r="E896" s="31"/>
      <c r="F896" s="3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>
      <c r="A897" s="32"/>
      <c r="B897" s="32"/>
      <c r="C897" s="32"/>
      <c r="D897" s="32"/>
      <c r="E897" s="32"/>
      <c r="F897" s="3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>
      <c r="A898" s="31"/>
      <c r="B898" s="31"/>
      <c r="C898" s="31"/>
      <c r="D898" s="31"/>
      <c r="E898" s="31"/>
      <c r="F898" s="3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>
      <c r="A899" s="32"/>
      <c r="B899" s="32"/>
      <c r="C899" s="32"/>
      <c r="D899" s="32"/>
      <c r="E899" s="32"/>
      <c r="F899" s="3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>
      <c r="A900" s="31"/>
      <c r="B900" s="31"/>
      <c r="C900" s="31"/>
      <c r="D900" s="31"/>
      <c r="E900" s="31"/>
      <c r="F900" s="3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>
      <c r="A901" s="32"/>
      <c r="B901" s="32"/>
      <c r="C901" s="32"/>
      <c r="D901" s="32"/>
      <c r="E901" s="32"/>
      <c r="F901" s="3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>
      <c r="A902" s="31"/>
      <c r="B902" s="31"/>
      <c r="C902" s="31"/>
      <c r="D902" s="31"/>
      <c r="E902" s="31"/>
      <c r="F902" s="3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>
      <c r="A903" s="32"/>
      <c r="B903" s="32"/>
      <c r="C903" s="32"/>
      <c r="D903" s="32"/>
      <c r="E903" s="32"/>
      <c r="F903" s="3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>
      <c r="A904" s="31"/>
      <c r="B904" s="31"/>
      <c r="C904" s="31"/>
      <c r="D904" s="31"/>
      <c r="E904" s="31"/>
      <c r="F904" s="3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>
      <c r="A905" s="32"/>
      <c r="B905" s="32"/>
      <c r="C905" s="32"/>
      <c r="D905" s="32"/>
      <c r="E905" s="32"/>
      <c r="F905" s="3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>
      <c r="A906" s="31"/>
      <c r="B906" s="31"/>
      <c r="C906" s="31"/>
      <c r="D906" s="31"/>
      <c r="E906" s="31"/>
      <c r="F906" s="3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>
      <c r="A907" s="32"/>
      <c r="B907" s="32"/>
      <c r="C907" s="32"/>
      <c r="D907" s="32"/>
      <c r="E907" s="32"/>
      <c r="F907" s="3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>
      <c r="A908" s="31"/>
      <c r="B908" s="31"/>
      <c r="C908" s="31"/>
      <c r="D908" s="31"/>
      <c r="E908" s="31"/>
      <c r="F908" s="3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>
      <c r="A909" s="32"/>
      <c r="B909" s="32"/>
      <c r="C909" s="32"/>
      <c r="D909" s="32"/>
      <c r="E909" s="32"/>
      <c r="F909" s="3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>
      <c r="A910" s="31"/>
      <c r="B910" s="31"/>
      <c r="C910" s="31"/>
      <c r="D910" s="31"/>
      <c r="E910" s="31"/>
      <c r="F910" s="3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>
      <c r="A911" s="32"/>
      <c r="B911" s="32"/>
      <c r="C911" s="32"/>
      <c r="D911" s="32"/>
      <c r="E911" s="32"/>
      <c r="F911" s="3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>
      <c r="A912" s="31"/>
      <c r="B912" s="31"/>
      <c r="C912" s="31"/>
      <c r="D912" s="31"/>
      <c r="E912" s="31"/>
      <c r="F912" s="3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>
      <c r="A913" s="32"/>
      <c r="B913" s="32"/>
      <c r="C913" s="32"/>
      <c r="D913" s="32"/>
      <c r="E913" s="32"/>
      <c r="F913" s="3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>
      <c r="A914" s="31"/>
      <c r="B914" s="31"/>
      <c r="C914" s="31"/>
      <c r="D914" s="31"/>
      <c r="E914" s="31"/>
      <c r="F914" s="3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>
      <c r="A915" s="32"/>
      <c r="B915" s="32"/>
      <c r="C915" s="32"/>
      <c r="D915" s="32"/>
      <c r="E915" s="32"/>
      <c r="F915" s="3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>
      <c r="A916" s="31"/>
      <c r="B916" s="31"/>
      <c r="C916" s="31"/>
      <c r="D916" s="31"/>
      <c r="E916" s="31"/>
      <c r="F916" s="3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>
      <c r="A917" s="32"/>
      <c r="B917" s="32"/>
      <c r="C917" s="32"/>
      <c r="D917" s="32"/>
      <c r="E917" s="32"/>
      <c r="F917" s="3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>
      <c r="A918" s="31"/>
      <c r="B918" s="31"/>
      <c r="C918" s="31"/>
      <c r="D918" s="31"/>
      <c r="E918" s="31"/>
      <c r="F918" s="3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>
      <c r="A919" s="32"/>
      <c r="B919" s="32"/>
      <c r="C919" s="32"/>
      <c r="D919" s="32"/>
      <c r="E919" s="32"/>
      <c r="F919" s="3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>
      <c r="A920" s="31"/>
      <c r="B920" s="31"/>
      <c r="C920" s="31"/>
      <c r="D920" s="31"/>
      <c r="E920" s="31"/>
      <c r="F920" s="3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>
      <c r="A921" s="32"/>
      <c r="B921" s="32"/>
      <c r="C921" s="32"/>
      <c r="D921" s="32"/>
      <c r="E921" s="32"/>
      <c r="F921" s="3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>
      <c r="A922" s="31"/>
      <c r="B922" s="31"/>
      <c r="C922" s="31"/>
      <c r="D922" s="31"/>
      <c r="E922" s="31"/>
      <c r="F922" s="3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>
      <c r="A923" s="32"/>
      <c r="B923" s="32"/>
      <c r="C923" s="32"/>
      <c r="D923" s="32"/>
      <c r="E923" s="32"/>
      <c r="F923" s="3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>
      <c r="A924" s="31"/>
      <c r="B924" s="31"/>
      <c r="C924" s="31"/>
      <c r="D924" s="31"/>
      <c r="E924" s="31"/>
      <c r="F924" s="3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>
      <c r="A925" s="32"/>
      <c r="B925" s="32"/>
      <c r="C925" s="32"/>
      <c r="D925" s="32"/>
      <c r="E925" s="32"/>
      <c r="F925" s="3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>
      <c r="A926" s="31"/>
      <c r="B926" s="31"/>
      <c r="C926" s="31"/>
      <c r="D926" s="31"/>
      <c r="E926" s="31"/>
      <c r="F926" s="3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>
      <c r="A927" s="32"/>
      <c r="B927" s="32"/>
      <c r="C927" s="32"/>
      <c r="D927" s="32"/>
      <c r="E927" s="32"/>
      <c r="F927" s="3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>
      <c r="A928" s="31"/>
      <c r="B928" s="31"/>
      <c r="C928" s="31"/>
      <c r="D928" s="31"/>
      <c r="E928" s="31"/>
      <c r="F928" s="3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>
      <c r="A929" s="32"/>
      <c r="B929" s="32"/>
      <c r="C929" s="32"/>
      <c r="D929" s="32"/>
      <c r="E929" s="32"/>
      <c r="F929" s="3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>
      <c r="A930" s="31"/>
      <c r="B930" s="31"/>
      <c r="C930" s="31"/>
      <c r="D930" s="31"/>
      <c r="E930" s="31"/>
      <c r="F930" s="3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>
      <c r="A931" s="32"/>
      <c r="B931" s="32"/>
      <c r="C931" s="32"/>
      <c r="D931" s="32"/>
      <c r="E931" s="32"/>
      <c r="F931" s="3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>
      <c r="A932" s="31"/>
      <c r="B932" s="31"/>
      <c r="C932" s="31"/>
      <c r="D932" s="31"/>
      <c r="E932" s="31"/>
      <c r="F932" s="3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>
      <c r="A933" s="32"/>
      <c r="B933" s="32"/>
      <c r="C933" s="32"/>
      <c r="D933" s="32"/>
      <c r="E933" s="32"/>
      <c r="F933" s="3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>
      <c r="A934" s="31"/>
      <c r="B934" s="31"/>
      <c r="C934" s="31"/>
      <c r="D934" s="31"/>
      <c r="E934" s="31"/>
      <c r="F934" s="3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>
      <c r="A935" s="32"/>
      <c r="B935" s="32"/>
      <c r="C935" s="32"/>
      <c r="D935" s="32"/>
      <c r="E935" s="32"/>
      <c r="F935" s="3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>
      <c r="A936" s="31"/>
      <c r="B936" s="31"/>
      <c r="C936" s="31"/>
      <c r="D936" s="31"/>
      <c r="E936" s="31"/>
      <c r="F936" s="3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>
      <c r="A937" s="32"/>
      <c r="B937" s="32"/>
      <c r="C937" s="32"/>
      <c r="D937" s="32"/>
      <c r="E937" s="32"/>
      <c r="F937" s="3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>
      <c r="A938" s="31"/>
      <c r="B938" s="31"/>
      <c r="C938" s="31"/>
      <c r="D938" s="31"/>
      <c r="E938" s="31"/>
      <c r="F938" s="3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>
      <c r="A939" s="32"/>
      <c r="B939" s="32"/>
      <c r="C939" s="32"/>
      <c r="D939" s="32"/>
      <c r="E939" s="32"/>
      <c r="F939" s="3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>
      <c r="A940" s="31"/>
      <c r="B940" s="31"/>
      <c r="C940" s="31"/>
      <c r="D940" s="31"/>
      <c r="E940" s="31"/>
      <c r="F940" s="3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>
      <c r="A941" s="32"/>
      <c r="B941" s="32"/>
      <c r="C941" s="32"/>
      <c r="D941" s="32"/>
      <c r="E941" s="32"/>
      <c r="F941" s="3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>
      <c r="A942" s="31"/>
      <c r="B942" s="31"/>
      <c r="C942" s="31"/>
      <c r="D942" s="31"/>
      <c r="E942" s="31"/>
      <c r="F942" s="3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>
      <c r="A943" s="32"/>
      <c r="B943" s="32"/>
      <c r="C943" s="32"/>
      <c r="D943" s="32"/>
      <c r="E943" s="32"/>
      <c r="F943" s="3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>
      <c r="A944" s="31"/>
      <c r="B944" s="31"/>
      <c r="C944" s="31"/>
      <c r="D944" s="31"/>
      <c r="E944" s="31"/>
      <c r="F944" s="3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>
      <c r="A945" s="32"/>
      <c r="B945" s="32"/>
      <c r="C945" s="32"/>
      <c r="D945" s="32"/>
      <c r="E945" s="32"/>
      <c r="F945" s="3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>
      <c r="A946" s="31"/>
      <c r="B946" s="31"/>
      <c r="C946" s="31"/>
      <c r="D946" s="31"/>
      <c r="E946" s="31"/>
      <c r="F946" s="3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>
      <c r="A947" s="32"/>
      <c r="B947" s="32"/>
      <c r="C947" s="32"/>
      <c r="D947" s="32"/>
      <c r="E947" s="32"/>
      <c r="F947" s="3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>
      <c r="A948" s="31"/>
      <c r="B948" s="31"/>
      <c r="C948" s="31"/>
      <c r="D948" s="31"/>
      <c r="E948" s="31"/>
      <c r="F948" s="3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>
      <c r="A949" s="32"/>
      <c r="B949" s="32"/>
      <c r="C949" s="32"/>
      <c r="D949" s="32"/>
      <c r="E949" s="32"/>
      <c r="F949" s="3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>
      <c r="A950" s="31"/>
      <c r="B950" s="31"/>
      <c r="C950" s="31"/>
      <c r="D950" s="31"/>
      <c r="E950" s="31"/>
      <c r="F950" s="3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>
      <c r="A951" s="32"/>
      <c r="B951" s="32"/>
      <c r="C951" s="32"/>
      <c r="D951" s="32"/>
      <c r="E951" s="32"/>
      <c r="F951" s="3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>
      <c r="A952" s="31"/>
      <c r="B952" s="31"/>
      <c r="C952" s="31"/>
      <c r="D952" s="31"/>
      <c r="E952" s="31"/>
      <c r="F952" s="3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>
      <c r="A953" s="32"/>
      <c r="B953" s="32"/>
      <c r="C953" s="32"/>
      <c r="D953" s="32"/>
      <c r="E953" s="32"/>
      <c r="F953" s="3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>
      <c r="A954" s="31"/>
      <c r="B954" s="31"/>
      <c r="C954" s="31"/>
      <c r="D954" s="31"/>
      <c r="E954" s="31"/>
      <c r="F954" s="3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>
      <c r="A955" s="32"/>
      <c r="B955" s="32"/>
      <c r="C955" s="32"/>
      <c r="D955" s="32"/>
      <c r="E955" s="32"/>
      <c r="F955" s="3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>
      <c r="A956" s="31"/>
      <c r="B956" s="31"/>
      <c r="C956" s="31"/>
      <c r="D956" s="31"/>
      <c r="E956" s="31"/>
      <c r="F956" s="3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>
      <c r="A957" s="32"/>
      <c r="B957" s="32"/>
      <c r="C957" s="32"/>
      <c r="D957" s="32"/>
      <c r="E957" s="32"/>
      <c r="F957" s="3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>
      <c r="A958" s="31"/>
      <c r="B958" s="31"/>
      <c r="C958" s="31"/>
      <c r="D958" s="31"/>
      <c r="E958" s="31"/>
      <c r="F958" s="3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>
      <c r="A959" s="32"/>
      <c r="B959" s="32"/>
      <c r="C959" s="32"/>
      <c r="D959" s="32"/>
      <c r="E959" s="32"/>
      <c r="F959" s="3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>
      <c r="A960" s="31"/>
      <c r="B960" s="31"/>
      <c r="C960" s="31"/>
      <c r="D960" s="31"/>
      <c r="E960" s="31"/>
      <c r="F960" s="3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>
      <c r="A961" s="32"/>
      <c r="B961" s="32"/>
      <c r="C961" s="32"/>
      <c r="D961" s="32"/>
      <c r="E961" s="32"/>
      <c r="F961" s="3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</sheetData>
  <autoFilter ref="$A$1:$F$65"/>
  <dataValidations>
    <dataValidation type="list" allowBlank="1" sqref="F2:F961">
      <formula1>"Fixed,Open"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  <pageSetUpPr fitToPage="1"/>
  </sheetPr>
  <sheetViews>
    <sheetView showGridLines="0" workbookViewId="0">
      <pane xSplit="8.0" ySplit="8.0" topLeftCell="I9" activePane="bottomRight" state="frozen"/>
      <selection activeCell="I1" sqref="I1" pane="topRight"/>
      <selection activeCell="A9" sqref="A9" pane="bottomLeft"/>
      <selection activeCell="I9" sqref="I9" pane="bottomRight"/>
    </sheetView>
  </sheetViews>
  <sheetFormatPr customHeight="1" defaultColWidth="12.63" defaultRowHeight="15.75" outlineLevelRow="1"/>
  <cols>
    <col customWidth="1" min="1" max="1" width="2.63"/>
    <col customWidth="1" min="2" max="2" width="8.38"/>
    <col customWidth="1" min="3" max="3" width="27.75"/>
    <col customWidth="1" min="4" max="4" width="9.38"/>
    <col customWidth="1" min="5" max="6" width="7.63"/>
    <col customWidth="1" min="7" max="7" width="9.25"/>
    <col customWidth="1" min="9" max="21" width="2.88"/>
    <col customWidth="1" min="22" max="22" width="2.38"/>
    <col customWidth="1" min="23" max="23" width="3.0"/>
    <col customWidth="1" min="24" max="68" width="2.88"/>
    <col customWidth="1" min="69" max="149" width="2.63"/>
  </cols>
  <sheetData>
    <row r="1" ht="32.25" customHeight="1">
      <c r="A1" s="33"/>
      <c r="B1" s="34" t="s">
        <v>120</v>
      </c>
      <c r="C1" s="34"/>
      <c r="D1" s="34"/>
      <c r="E1" s="34"/>
      <c r="F1" s="34"/>
      <c r="G1" s="35"/>
      <c r="H1" s="36"/>
      <c r="I1" s="37"/>
      <c r="J1" s="38"/>
      <c r="K1" s="39" t="s">
        <v>121</v>
      </c>
      <c r="L1" s="37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40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3"/>
      <c r="EF1" s="33"/>
      <c r="EG1" s="33"/>
      <c r="EH1" s="33"/>
      <c r="EI1" s="33"/>
      <c r="EJ1" s="33"/>
      <c r="EK1" s="33"/>
      <c r="EL1" s="33"/>
      <c r="EM1" s="33"/>
      <c r="EN1" s="33"/>
      <c r="EO1" s="33"/>
      <c r="EP1" s="33"/>
      <c r="EQ1" s="33"/>
      <c r="ER1" s="33"/>
      <c r="ES1" s="33"/>
    </row>
    <row r="2" ht="9.75" customHeight="1">
      <c r="A2" s="33"/>
      <c r="B2" s="37"/>
      <c r="C2" s="37"/>
      <c r="D2" s="37"/>
      <c r="E2" s="37"/>
      <c r="F2" s="37"/>
      <c r="G2" s="36"/>
      <c r="H2" s="36"/>
      <c r="I2" s="37"/>
      <c r="J2" s="37"/>
      <c r="K2" s="37"/>
      <c r="L2" s="37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M2" s="33"/>
      <c r="AN2" s="33"/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/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/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/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/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/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/>
      <c r="DU2" s="33"/>
      <c r="DV2" s="33"/>
      <c r="DW2" s="33"/>
      <c r="DX2" s="33"/>
      <c r="DY2" s="33"/>
      <c r="DZ2" s="33"/>
      <c r="EA2" s="33"/>
      <c r="EB2" s="33"/>
      <c r="EC2" s="33"/>
      <c r="ED2" s="33"/>
      <c r="EE2" s="33"/>
      <c r="EF2" s="33"/>
      <c r="EG2" s="33"/>
      <c r="EH2" s="33"/>
      <c r="EI2" s="33"/>
      <c r="EJ2" s="33"/>
      <c r="EK2" s="33"/>
      <c r="EL2" s="33"/>
      <c r="EM2" s="33"/>
      <c r="EN2" s="33"/>
      <c r="EO2" s="33"/>
      <c r="EP2" s="33"/>
      <c r="EQ2" s="33"/>
      <c r="ER2" s="33"/>
      <c r="ES2" s="33"/>
    </row>
    <row r="3" ht="15.0" customHeight="1">
      <c r="A3" s="33"/>
      <c r="B3" s="41" t="s">
        <v>122</v>
      </c>
      <c r="C3" s="42"/>
      <c r="D3" s="43" t="str">
        <f>Dashboard!B1</f>
        <v>219 Driggs Street</v>
      </c>
      <c r="E3" s="44"/>
      <c r="F3" s="44"/>
      <c r="G3" s="45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/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/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/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/>
      <c r="DV3" s="33"/>
      <c r="DW3" s="33"/>
      <c r="DX3" s="33"/>
      <c r="DY3" s="33"/>
      <c r="DZ3" s="33"/>
      <c r="EA3" s="33"/>
      <c r="EB3" s="33"/>
      <c r="EC3" s="33"/>
      <c r="ED3" s="33"/>
      <c r="EE3" s="33"/>
      <c r="EF3" s="33"/>
      <c r="EG3" s="33"/>
      <c r="EH3" s="33"/>
      <c r="EI3" s="33"/>
      <c r="EJ3" s="33"/>
      <c r="EK3" s="33"/>
      <c r="EL3" s="33"/>
      <c r="EM3" s="33"/>
      <c r="EN3" s="33"/>
      <c r="EO3" s="33"/>
      <c r="EP3" s="33"/>
      <c r="EQ3" s="33"/>
      <c r="ER3" s="33"/>
      <c r="ES3" s="33"/>
    </row>
    <row r="4" ht="15.0" customHeight="1">
      <c r="A4" s="33"/>
      <c r="B4" s="41" t="s">
        <v>123</v>
      </c>
      <c r="C4" s="42"/>
      <c r="D4" s="46" t="s">
        <v>124</v>
      </c>
      <c r="E4" s="47"/>
      <c r="F4" s="47"/>
      <c r="G4" s="48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/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/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/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/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/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3"/>
      <c r="DZ4" s="33"/>
      <c r="EA4" s="33"/>
      <c r="EB4" s="33"/>
      <c r="EC4" s="33"/>
      <c r="ED4" s="33"/>
      <c r="EE4" s="33"/>
      <c r="EF4" s="33"/>
      <c r="EG4" s="33"/>
      <c r="EH4" s="33"/>
      <c r="EI4" s="33"/>
      <c r="EJ4" s="33"/>
      <c r="EK4" s="33"/>
      <c r="EL4" s="33"/>
      <c r="EM4" s="33"/>
      <c r="EN4" s="33"/>
      <c r="EO4" s="33"/>
      <c r="EP4" s="33"/>
      <c r="EQ4" s="33"/>
      <c r="ER4" s="33"/>
      <c r="ES4" s="33"/>
    </row>
    <row r="5" ht="9.75" customHeight="1">
      <c r="A5" s="33"/>
      <c r="B5" s="41" t="s">
        <v>125</v>
      </c>
      <c r="C5" s="42"/>
      <c r="D5" s="49">
        <v>45413.0</v>
      </c>
      <c r="E5" s="44"/>
      <c r="F5" s="44"/>
      <c r="G5" s="45"/>
      <c r="H5" s="36"/>
      <c r="I5" s="37"/>
      <c r="J5" s="37"/>
      <c r="K5" s="37"/>
      <c r="L5" s="37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</row>
    <row r="6" ht="40.5" customHeight="1">
      <c r="A6" s="33"/>
      <c r="B6" s="37"/>
      <c r="C6" s="37"/>
      <c r="D6" s="37"/>
      <c r="E6" s="37"/>
      <c r="F6" s="37"/>
      <c r="G6" s="36"/>
      <c r="H6" s="36"/>
      <c r="I6" s="50">
        <f>E9</f>
        <v>45413</v>
      </c>
      <c r="J6" s="50">
        <f t="shared" ref="J6:ES6" si="1">I6+7</f>
        <v>45420</v>
      </c>
      <c r="K6" s="50">
        <f t="shared" si="1"/>
        <v>45427</v>
      </c>
      <c r="L6" s="50">
        <f t="shared" si="1"/>
        <v>45434</v>
      </c>
      <c r="M6" s="50">
        <f t="shared" si="1"/>
        <v>45441</v>
      </c>
      <c r="N6" s="50">
        <f t="shared" si="1"/>
        <v>45448</v>
      </c>
      <c r="O6" s="50">
        <f t="shared" si="1"/>
        <v>45455</v>
      </c>
      <c r="P6" s="50">
        <f t="shared" si="1"/>
        <v>45462</v>
      </c>
      <c r="Q6" s="50">
        <f t="shared" si="1"/>
        <v>45469</v>
      </c>
      <c r="R6" s="50">
        <f t="shared" si="1"/>
        <v>45476</v>
      </c>
      <c r="S6" s="50">
        <f t="shared" si="1"/>
        <v>45483</v>
      </c>
      <c r="T6" s="50">
        <f t="shared" si="1"/>
        <v>45490</v>
      </c>
      <c r="U6" s="50">
        <f t="shared" si="1"/>
        <v>45497</v>
      </c>
      <c r="V6" s="50">
        <f t="shared" si="1"/>
        <v>45504</v>
      </c>
      <c r="W6" s="50">
        <f t="shared" si="1"/>
        <v>45511</v>
      </c>
      <c r="X6" s="50">
        <f t="shared" si="1"/>
        <v>45518</v>
      </c>
      <c r="Y6" s="50">
        <f t="shared" si="1"/>
        <v>45525</v>
      </c>
      <c r="Z6" s="50">
        <f t="shared" si="1"/>
        <v>45532</v>
      </c>
      <c r="AA6" s="50">
        <f t="shared" si="1"/>
        <v>45539</v>
      </c>
      <c r="AB6" s="50">
        <f t="shared" si="1"/>
        <v>45546</v>
      </c>
      <c r="AC6" s="50">
        <f t="shared" si="1"/>
        <v>45553</v>
      </c>
      <c r="AD6" s="50">
        <f t="shared" si="1"/>
        <v>45560</v>
      </c>
      <c r="AE6" s="50">
        <f t="shared" si="1"/>
        <v>45567</v>
      </c>
      <c r="AF6" s="50">
        <f t="shared" si="1"/>
        <v>45574</v>
      </c>
      <c r="AG6" s="50">
        <f t="shared" si="1"/>
        <v>45581</v>
      </c>
      <c r="AH6" s="50">
        <f t="shared" si="1"/>
        <v>45588</v>
      </c>
      <c r="AI6" s="50">
        <f t="shared" si="1"/>
        <v>45595</v>
      </c>
      <c r="AJ6" s="50">
        <f t="shared" si="1"/>
        <v>45602</v>
      </c>
      <c r="AK6" s="50">
        <f t="shared" si="1"/>
        <v>45609</v>
      </c>
      <c r="AL6" s="50">
        <f t="shared" si="1"/>
        <v>45616</v>
      </c>
      <c r="AM6" s="50">
        <f t="shared" si="1"/>
        <v>45623</v>
      </c>
      <c r="AN6" s="50">
        <f t="shared" si="1"/>
        <v>45630</v>
      </c>
      <c r="AO6" s="50">
        <f t="shared" si="1"/>
        <v>45637</v>
      </c>
      <c r="AP6" s="50">
        <f t="shared" si="1"/>
        <v>45644</v>
      </c>
      <c r="AQ6" s="50">
        <f t="shared" si="1"/>
        <v>45651</v>
      </c>
      <c r="AR6" s="50">
        <f t="shared" si="1"/>
        <v>45658</v>
      </c>
      <c r="AS6" s="50">
        <f t="shared" si="1"/>
        <v>45665</v>
      </c>
      <c r="AT6" s="50">
        <f t="shared" si="1"/>
        <v>45672</v>
      </c>
      <c r="AU6" s="50">
        <f t="shared" si="1"/>
        <v>45679</v>
      </c>
      <c r="AV6" s="50">
        <f t="shared" si="1"/>
        <v>45686</v>
      </c>
      <c r="AW6" s="50">
        <f t="shared" si="1"/>
        <v>45693</v>
      </c>
      <c r="AX6" s="50">
        <f t="shared" si="1"/>
        <v>45700</v>
      </c>
      <c r="AY6" s="50">
        <f t="shared" si="1"/>
        <v>45707</v>
      </c>
      <c r="AZ6" s="50">
        <f t="shared" si="1"/>
        <v>45714</v>
      </c>
      <c r="BA6" s="50">
        <f t="shared" si="1"/>
        <v>45721</v>
      </c>
      <c r="BB6" s="50">
        <f t="shared" si="1"/>
        <v>45728</v>
      </c>
      <c r="BC6" s="50">
        <f t="shared" si="1"/>
        <v>45735</v>
      </c>
      <c r="BD6" s="50">
        <f t="shared" si="1"/>
        <v>45742</v>
      </c>
      <c r="BE6" s="50">
        <f t="shared" si="1"/>
        <v>45749</v>
      </c>
      <c r="BF6" s="50">
        <f t="shared" si="1"/>
        <v>45756</v>
      </c>
      <c r="BG6" s="50">
        <f t="shared" si="1"/>
        <v>45763</v>
      </c>
      <c r="BH6" s="50">
        <f t="shared" si="1"/>
        <v>45770</v>
      </c>
      <c r="BI6" s="50">
        <f t="shared" si="1"/>
        <v>45777</v>
      </c>
      <c r="BJ6" s="50">
        <f t="shared" si="1"/>
        <v>45784</v>
      </c>
      <c r="BK6" s="50">
        <f t="shared" si="1"/>
        <v>45791</v>
      </c>
      <c r="BL6" s="50">
        <f t="shared" si="1"/>
        <v>45798</v>
      </c>
      <c r="BM6" s="50">
        <f t="shared" si="1"/>
        <v>45805</v>
      </c>
      <c r="BN6" s="50">
        <f t="shared" si="1"/>
        <v>45812</v>
      </c>
      <c r="BO6" s="50">
        <f t="shared" si="1"/>
        <v>45819</v>
      </c>
      <c r="BP6" s="50">
        <f t="shared" si="1"/>
        <v>45826</v>
      </c>
      <c r="BQ6" s="50">
        <f t="shared" si="1"/>
        <v>45833</v>
      </c>
      <c r="BR6" s="50">
        <f t="shared" si="1"/>
        <v>45840</v>
      </c>
      <c r="BS6" s="50">
        <f t="shared" si="1"/>
        <v>45847</v>
      </c>
      <c r="BT6" s="50">
        <f t="shared" si="1"/>
        <v>45854</v>
      </c>
      <c r="BU6" s="50">
        <f t="shared" si="1"/>
        <v>45861</v>
      </c>
      <c r="BV6" s="50">
        <f t="shared" si="1"/>
        <v>45868</v>
      </c>
      <c r="BW6" s="50">
        <f t="shared" si="1"/>
        <v>45875</v>
      </c>
      <c r="BX6" s="50">
        <f t="shared" si="1"/>
        <v>45882</v>
      </c>
      <c r="BY6" s="50">
        <f t="shared" si="1"/>
        <v>45889</v>
      </c>
      <c r="BZ6" s="50">
        <f t="shared" si="1"/>
        <v>45896</v>
      </c>
      <c r="CA6" s="50">
        <f t="shared" si="1"/>
        <v>45903</v>
      </c>
      <c r="CB6" s="50">
        <f t="shared" si="1"/>
        <v>45910</v>
      </c>
      <c r="CC6" s="50">
        <f t="shared" si="1"/>
        <v>45917</v>
      </c>
      <c r="CD6" s="50">
        <f t="shared" si="1"/>
        <v>45924</v>
      </c>
      <c r="CE6" s="50">
        <f t="shared" si="1"/>
        <v>45931</v>
      </c>
      <c r="CF6" s="50">
        <f t="shared" si="1"/>
        <v>45938</v>
      </c>
      <c r="CG6" s="50">
        <f t="shared" si="1"/>
        <v>45945</v>
      </c>
      <c r="CH6" s="50">
        <f t="shared" si="1"/>
        <v>45952</v>
      </c>
      <c r="CI6" s="50">
        <f t="shared" si="1"/>
        <v>45959</v>
      </c>
      <c r="CJ6" s="50">
        <f t="shared" si="1"/>
        <v>45966</v>
      </c>
      <c r="CK6" s="50">
        <f t="shared" si="1"/>
        <v>45973</v>
      </c>
      <c r="CL6" s="50">
        <f t="shared" si="1"/>
        <v>45980</v>
      </c>
      <c r="CM6" s="50">
        <f t="shared" si="1"/>
        <v>45987</v>
      </c>
      <c r="CN6" s="50">
        <f t="shared" si="1"/>
        <v>45994</v>
      </c>
      <c r="CO6" s="50">
        <f t="shared" si="1"/>
        <v>46001</v>
      </c>
      <c r="CP6" s="50">
        <f t="shared" si="1"/>
        <v>46008</v>
      </c>
      <c r="CQ6" s="50">
        <f t="shared" si="1"/>
        <v>46015</v>
      </c>
      <c r="CR6" s="50">
        <f t="shared" si="1"/>
        <v>46022</v>
      </c>
      <c r="CS6" s="50">
        <f t="shared" si="1"/>
        <v>46029</v>
      </c>
      <c r="CT6" s="50">
        <f t="shared" si="1"/>
        <v>46036</v>
      </c>
      <c r="CU6" s="50">
        <f t="shared" si="1"/>
        <v>46043</v>
      </c>
      <c r="CV6" s="50">
        <f t="shared" si="1"/>
        <v>46050</v>
      </c>
      <c r="CW6" s="50">
        <f t="shared" si="1"/>
        <v>46057</v>
      </c>
      <c r="CX6" s="50">
        <f t="shared" si="1"/>
        <v>46064</v>
      </c>
      <c r="CY6" s="50">
        <f t="shared" si="1"/>
        <v>46071</v>
      </c>
      <c r="CZ6" s="50">
        <f t="shared" si="1"/>
        <v>46078</v>
      </c>
      <c r="DA6" s="50">
        <f t="shared" si="1"/>
        <v>46085</v>
      </c>
      <c r="DB6" s="50">
        <f t="shared" si="1"/>
        <v>46092</v>
      </c>
      <c r="DC6" s="50">
        <f t="shared" si="1"/>
        <v>46099</v>
      </c>
      <c r="DD6" s="50">
        <f t="shared" si="1"/>
        <v>46106</v>
      </c>
      <c r="DE6" s="50">
        <f t="shared" si="1"/>
        <v>46113</v>
      </c>
      <c r="DF6" s="50">
        <f t="shared" si="1"/>
        <v>46120</v>
      </c>
      <c r="DG6" s="50">
        <f t="shared" si="1"/>
        <v>46127</v>
      </c>
      <c r="DH6" s="50">
        <f t="shared" si="1"/>
        <v>46134</v>
      </c>
      <c r="DI6" s="50">
        <f t="shared" si="1"/>
        <v>46141</v>
      </c>
      <c r="DJ6" s="50">
        <f t="shared" si="1"/>
        <v>46148</v>
      </c>
      <c r="DK6" s="50">
        <f t="shared" si="1"/>
        <v>46155</v>
      </c>
      <c r="DL6" s="50">
        <f t="shared" si="1"/>
        <v>46162</v>
      </c>
      <c r="DM6" s="50">
        <f t="shared" si="1"/>
        <v>46169</v>
      </c>
      <c r="DN6" s="50">
        <f t="shared" si="1"/>
        <v>46176</v>
      </c>
      <c r="DO6" s="50">
        <f t="shared" si="1"/>
        <v>46183</v>
      </c>
      <c r="DP6" s="50">
        <f t="shared" si="1"/>
        <v>46190</v>
      </c>
      <c r="DQ6" s="50">
        <f t="shared" si="1"/>
        <v>46197</v>
      </c>
      <c r="DR6" s="50">
        <f t="shared" si="1"/>
        <v>46204</v>
      </c>
      <c r="DS6" s="50">
        <f t="shared" si="1"/>
        <v>46211</v>
      </c>
      <c r="DT6" s="50">
        <f t="shared" si="1"/>
        <v>46218</v>
      </c>
      <c r="DU6" s="50">
        <f t="shared" si="1"/>
        <v>46225</v>
      </c>
      <c r="DV6" s="50">
        <f t="shared" si="1"/>
        <v>46232</v>
      </c>
      <c r="DW6" s="50">
        <f t="shared" si="1"/>
        <v>46239</v>
      </c>
      <c r="DX6" s="50">
        <f t="shared" si="1"/>
        <v>46246</v>
      </c>
      <c r="DY6" s="50">
        <f t="shared" si="1"/>
        <v>46253</v>
      </c>
      <c r="DZ6" s="50">
        <f t="shared" si="1"/>
        <v>46260</v>
      </c>
      <c r="EA6" s="50">
        <f t="shared" si="1"/>
        <v>46267</v>
      </c>
      <c r="EB6" s="50">
        <f t="shared" si="1"/>
        <v>46274</v>
      </c>
      <c r="EC6" s="50">
        <f t="shared" si="1"/>
        <v>46281</v>
      </c>
      <c r="ED6" s="50">
        <f t="shared" si="1"/>
        <v>46288</v>
      </c>
      <c r="EE6" s="50">
        <f t="shared" si="1"/>
        <v>46295</v>
      </c>
      <c r="EF6" s="50">
        <f t="shared" si="1"/>
        <v>46302</v>
      </c>
      <c r="EG6" s="50">
        <f t="shared" si="1"/>
        <v>46309</v>
      </c>
      <c r="EH6" s="50">
        <f t="shared" si="1"/>
        <v>46316</v>
      </c>
      <c r="EI6" s="50">
        <f t="shared" si="1"/>
        <v>46323</v>
      </c>
      <c r="EJ6" s="50">
        <f t="shared" si="1"/>
        <v>46330</v>
      </c>
      <c r="EK6" s="50">
        <f t="shared" si="1"/>
        <v>46337</v>
      </c>
      <c r="EL6" s="50">
        <f t="shared" si="1"/>
        <v>46344</v>
      </c>
      <c r="EM6" s="50">
        <f t="shared" si="1"/>
        <v>46351</v>
      </c>
      <c r="EN6" s="50">
        <f t="shared" si="1"/>
        <v>46358</v>
      </c>
      <c r="EO6" s="50">
        <f t="shared" si="1"/>
        <v>46365</v>
      </c>
      <c r="EP6" s="50">
        <f t="shared" si="1"/>
        <v>46372</v>
      </c>
      <c r="EQ6" s="50">
        <f t="shared" si="1"/>
        <v>46379</v>
      </c>
      <c r="ER6" s="50">
        <f t="shared" si="1"/>
        <v>46386</v>
      </c>
      <c r="ES6" s="50">
        <f t="shared" si="1"/>
        <v>46393</v>
      </c>
    </row>
    <row r="7">
      <c r="A7" s="33"/>
      <c r="B7" s="51" t="s">
        <v>126</v>
      </c>
      <c r="C7" s="52" t="s">
        <v>127</v>
      </c>
      <c r="D7" s="52" t="s">
        <v>128</v>
      </c>
      <c r="E7" s="52" t="s">
        <v>129</v>
      </c>
      <c r="F7" s="52" t="s">
        <v>130</v>
      </c>
      <c r="G7" s="52" t="s">
        <v>131</v>
      </c>
      <c r="H7" s="51" t="s">
        <v>132</v>
      </c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3"/>
      <c r="BQ7" s="53"/>
      <c r="BR7" s="53"/>
      <c r="BS7" s="53"/>
      <c r="BT7" s="53"/>
      <c r="BU7" s="53"/>
      <c r="BV7" s="53"/>
      <c r="BW7" s="53"/>
      <c r="BX7" s="53"/>
      <c r="BY7" s="53"/>
      <c r="BZ7" s="53"/>
      <c r="CA7" s="53"/>
      <c r="CB7" s="53"/>
      <c r="CC7" s="53"/>
      <c r="CD7" s="53"/>
      <c r="CE7" s="53"/>
      <c r="CF7" s="53"/>
      <c r="CG7" s="53"/>
      <c r="CH7" s="53"/>
      <c r="CI7" s="53"/>
      <c r="CJ7" s="53"/>
      <c r="CK7" s="53"/>
      <c r="CL7" s="53"/>
      <c r="CM7" s="53"/>
      <c r="CN7" s="53"/>
      <c r="CO7" s="53"/>
      <c r="CP7" s="53"/>
      <c r="CQ7" s="53"/>
      <c r="CR7" s="53"/>
      <c r="CS7" s="53"/>
      <c r="CT7" s="53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  <c r="EA7" s="54"/>
      <c r="EB7" s="54"/>
      <c r="EC7" s="54"/>
      <c r="ED7" s="54"/>
      <c r="EE7" s="54"/>
      <c r="EF7" s="54"/>
      <c r="EG7" s="54"/>
      <c r="EH7" s="54"/>
      <c r="EI7" s="54"/>
      <c r="EJ7" s="54"/>
      <c r="EK7" s="54"/>
      <c r="EL7" s="54"/>
      <c r="EM7" s="54"/>
      <c r="EN7" s="54"/>
      <c r="EO7" s="54"/>
      <c r="EP7" s="54"/>
      <c r="EQ7" s="54"/>
      <c r="ER7" s="54"/>
      <c r="ES7" s="54"/>
    </row>
    <row r="8">
      <c r="A8" s="33"/>
      <c r="B8" s="55"/>
      <c r="C8" s="56"/>
      <c r="D8" s="56"/>
      <c r="E8" s="56"/>
      <c r="F8" s="56"/>
      <c r="G8" s="56"/>
      <c r="H8" s="55"/>
      <c r="I8" s="57">
        <v>1.0</v>
      </c>
      <c r="J8" s="57">
        <f t="shared" ref="J8:ES8" si="2">I8+1</f>
        <v>2</v>
      </c>
      <c r="K8" s="57">
        <f t="shared" si="2"/>
        <v>3</v>
      </c>
      <c r="L8" s="57">
        <f t="shared" si="2"/>
        <v>4</v>
      </c>
      <c r="M8" s="57">
        <f t="shared" si="2"/>
        <v>5</v>
      </c>
      <c r="N8" s="57">
        <f t="shared" si="2"/>
        <v>6</v>
      </c>
      <c r="O8" s="57">
        <f t="shared" si="2"/>
        <v>7</v>
      </c>
      <c r="P8" s="57">
        <f t="shared" si="2"/>
        <v>8</v>
      </c>
      <c r="Q8" s="57">
        <f t="shared" si="2"/>
        <v>9</v>
      </c>
      <c r="R8" s="57">
        <f t="shared" si="2"/>
        <v>10</v>
      </c>
      <c r="S8" s="57">
        <f t="shared" si="2"/>
        <v>11</v>
      </c>
      <c r="T8" s="57">
        <f t="shared" si="2"/>
        <v>12</v>
      </c>
      <c r="U8" s="57">
        <f t="shared" si="2"/>
        <v>13</v>
      </c>
      <c r="V8" s="57">
        <f t="shared" si="2"/>
        <v>14</v>
      </c>
      <c r="W8" s="57">
        <f t="shared" si="2"/>
        <v>15</v>
      </c>
      <c r="X8" s="57">
        <f t="shared" si="2"/>
        <v>16</v>
      </c>
      <c r="Y8" s="57">
        <f t="shared" si="2"/>
        <v>17</v>
      </c>
      <c r="Z8" s="57">
        <f t="shared" si="2"/>
        <v>18</v>
      </c>
      <c r="AA8" s="57">
        <f t="shared" si="2"/>
        <v>19</v>
      </c>
      <c r="AB8" s="57">
        <f t="shared" si="2"/>
        <v>20</v>
      </c>
      <c r="AC8" s="57">
        <f t="shared" si="2"/>
        <v>21</v>
      </c>
      <c r="AD8" s="57">
        <f t="shared" si="2"/>
        <v>22</v>
      </c>
      <c r="AE8" s="57">
        <f t="shared" si="2"/>
        <v>23</v>
      </c>
      <c r="AF8" s="57">
        <f t="shared" si="2"/>
        <v>24</v>
      </c>
      <c r="AG8" s="57">
        <f t="shared" si="2"/>
        <v>25</v>
      </c>
      <c r="AH8" s="57">
        <f t="shared" si="2"/>
        <v>26</v>
      </c>
      <c r="AI8" s="57">
        <f t="shared" si="2"/>
        <v>27</v>
      </c>
      <c r="AJ8" s="57">
        <f t="shared" si="2"/>
        <v>28</v>
      </c>
      <c r="AK8" s="57">
        <f t="shared" si="2"/>
        <v>29</v>
      </c>
      <c r="AL8" s="57">
        <f t="shared" si="2"/>
        <v>30</v>
      </c>
      <c r="AM8" s="57">
        <f t="shared" si="2"/>
        <v>31</v>
      </c>
      <c r="AN8" s="57">
        <f t="shared" si="2"/>
        <v>32</v>
      </c>
      <c r="AO8" s="57">
        <f t="shared" si="2"/>
        <v>33</v>
      </c>
      <c r="AP8" s="57">
        <f t="shared" si="2"/>
        <v>34</v>
      </c>
      <c r="AQ8" s="57">
        <f t="shared" si="2"/>
        <v>35</v>
      </c>
      <c r="AR8" s="57">
        <f t="shared" si="2"/>
        <v>36</v>
      </c>
      <c r="AS8" s="57">
        <f t="shared" si="2"/>
        <v>37</v>
      </c>
      <c r="AT8" s="57">
        <f t="shared" si="2"/>
        <v>38</v>
      </c>
      <c r="AU8" s="57">
        <f t="shared" si="2"/>
        <v>39</v>
      </c>
      <c r="AV8" s="57">
        <f t="shared" si="2"/>
        <v>40</v>
      </c>
      <c r="AW8" s="57">
        <f t="shared" si="2"/>
        <v>41</v>
      </c>
      <c r="AX8" s="57">
        <f t="shared" si="2"/>
        <v>42</v>
      </c>
      <c r="AY8" s="57">
        <f t="shared" si="2"/>
        <v>43</v>
      </c>
      <c r="AZ8" s="57">
        <f t="shared" si="2"/>
        <v>44</v>
      </c>
      <c r="BA8" s="57">
        <f t="shared" si="2"/>
        <v>45</v>
      </c>
      <c r="BB8" s="57">
        <f t="shared" si="2"/>
        <v>46</v>
      </c>
      <c r="BC8" s="57">
        <f t="shared" si="2"/>
        <v>47</v>
      </c>
      <c r="BD8" s="57">
        <f t="shared" si="2"/>
        <v>48</v>
      </c>
      <c r="BE8" s="57">
        <f t="shared" si="2"/>
        <v>49</v>
      </c>
      <c r="BF8" s="57">
        <f t="shared" si="2"/>
        <v>50</v>
      </c>
      <c r="BG8" s="57">
        <f t="shared" si="2"/>
        <v>51</v>
      </c>
      <c r="BH8" s="57">
        <f t="shared" si="2"/>
        <v>52</v>
      </c>
      <c r="BI8" s="57">
        <f t="shared" si="2"/>
        <v>53</v>
      </c>
      <c r="BJ8" s="57">
        <f t="shared" si="2"/>
        <v>54</v>
      </c>
      <c r="BK8" s="57">
        <f t="shared" si="2"/>
        <v>55</v>
      </c>
      <c r="BL8" s="57">
        <f t="shared" si="2"/>
        <v>56</v>
      </c>
      <c r="BM8" s="57">
        <f t="shared" si="2"/>
        <v>57</v>
      </c>
      <c r="BN8" s="57">
        <f t="shared" si="2"/>
        <v>58</v>
      </c>
      <c r="BO8" s="57">
        <f t="shared" si="2"/>
        <v>59</v>
      </c>
      <c r="BP8" s="57">
        <f t="shared" si="2"/>
        <v>60</v>
      </c>
      <c r="BQ8" s="57">
        <f t="shared" si="2"/>
        <v>61</v>
      </c>
      <c r="BR8" s="57">
        <f t="shared" si="2"/>
        <v>62</v>
      </c>
      <c r="BS8" s="57">
        <f t="shared" si="2"/>
        <v>63</v>
      </c>
      <c r="BT8" s="57">
        <f t="shared" si="2"/>
        <v>64</v>
      </c>
      <c r="BU8" s="57">
        <f t="shared" si="2"/>
        <v>65</v>
      </c>
      <c r="BV8" s="57">
        <f t="shared" si="2"/>
        <v>66</v>
      </c>
      <c r="BW8" s="57">
        <f t="shared" si="2"/>
        <v>67</v>
      </c>
      <c r="BX8" s="57">
        <f t="shared" si="2"/>
        <v>68</v>
      </c>
      <c r="BY8" s="57">
        <f t="shared" si="2"/>
        <v>69</v>
      </c>
      <c r="BZ8" s="57">
        <f t="shared" si="2"/>
        <v>70</v>
      </c>
      <c r="CA8" s="57">
        <f t="shared" si="2"/>
        <v>71</v>
      </c>
      <c r="CB8" s="57">
        <f t="shared" si="2"/>
        <v>72</v>
      </c>
      <c r="CC8" s="57">
        <f t="shared" si="2"/>
        <v>73</v>
      </c>
      <c r="CD8" s="57">
        <f t="shared" si="2"/>
        <v>74</v>
      </c>
      <c r="CE8" s="57">
        <f t="shared" si="2"/>
        <v>75</v>
      </c>
      <c r="CF8" s="57">
        <f t="shared" si="2"/>
        <v>76</v>
      </c>
      <c r="CG8" s="57">
        <f t="shared" si="2"/>
        <v>77</v>
      </c>
      <c r="CH8" s="57">
        <f t="shared" si="2"/>
        <v>78</v>
      </c>
      <c r="CI8" s="57">
        <f t="shared" si="2"/>
        <v>79</v>
      </c>
      <c r="CJ8" s="57">
        <f t="shared" si="2"/>
        <v>80</v>
      </c>
      <c r="CK8" s="57">
        <f t="shared" si="2"/>
        <v>81</v>
      </c>
      <c r="CL8" s="57">
        <f t="shared" si="2"/>
        <v>82</v>
      </c>
      <c r="CM8" s="57">
        <f t="shared" si="2"/>
        <v>83</v>
      </c>
      <c r="CN8" s="57">
        <f t="shared" si="2"/>
        <v>84</v>
      </c>
      <c r="CO8" s="57">
        <f t="shared" si="2"/>
        <v>85</v>
      </c>
      <c r="CP8" s="57">
        <f t="shared" si="2"/>
        <v>86</v>
      </c>
      <c r="CQ8" s="57">
        <f t="shared" si="2"/>
        <v>87</v>
      </c>
      <c r="CR8" s="57">
        <f t="shared" si="2"/>
        <v>88</v>
      </c>
      <c r="CS8" s="57">
        <f t="shared" si="2"/>
        <v>89</v>
      </c>
      <c r="CT8" s="57">
        <f t="shared" si="2"/>
        <v>90</v>
      </c>
      <c r="CU8" s="57">
        <f t="shared" si="2"/>
        <v>91</v>
      </c>
      <c r="CV8" s="57">
        <f t="shared" si="2"/>
        <v>92</v>
      </c>
      <c r="CW8" s="57">
        <f t="shared" si="2"/>
        <v>93</v>
      </c>
      <c r="CX8" s="57">
        <f t="shared" si="2"/>
        <v>94</v>
      </c>
      <c r="CY8" s="57">
        <f t="shared" si="2"/>
        <v>95</v>
      </c>
      <c r="CZ8" s="57">
        <f t="shared" si="2"/>
        <v>96</v>
      </c>
      <c r="DA8" s="57">
        <f t="shared" si="2"/>
        <v>97</v>
      </c>
      <c r="DB8" s="57">
        <f t="shared" si="2"/>
        <v>98</v>
      </c>
      <c r="DC8" s="57">
        <f t="shared" si="2"/>
        <v>99</v>
      </c>
      <c r="DD8" s="57">
        <f t="shared" si="2"/>
        <v>100</v>
      </c>
      <c r="DE8" s="57">
        <f t="shared" si="2"/>
        <v>101</v>
      </c>
      <c r="DF8" s="57">
        <f t="shared" si="2"/>
        <v>102</v>
      </c>
      <c r="DG8" s="57">
        <f t="shared" si="2"/>
        <v>103</v>
      </c>
      <c r="DH8" s="57">
        <f t="shared" si="2"/>
        <v>104</v>
      </c>
      <c r="DI8" s="57">
        <f t="shared" si="2"/>
        <v>105</v>
      </c>
      <c r="DJ8" s="57">
        <f t="shared" si="2"/>
        <v>106</v>
      </c>
      <c r="DK8" s="57">
        <f t="shared" si="2"/>
        <v>107</v>
      </c>
      <c r="DL8" s="57">
        <f t="shared" si="2"/>
        <v>108</v>
      </c>
      <c r="DM8" s="57">
        <f t="shared" si="2"/>
        <v>109</v>
      </c>
      <c r="DN8" s="57">
        <f t="shared" si="2"/>
        <v>110</v>
      </c>
      <c r="DO8" s="57">
        <f t="shared" si="2"/>
        <v>111</v>
      </c>
      <c r="DP8" s="57">
        <f t="shared" si="2"/>
        <v>112</v>
      </c>
      <c r="DQ8" s="57">
        <f t="shared" si="2"/>
        <v>113</v>
      </c>
      <c r="DR8" s="57">
        <f t="shared" si="2"/>
        <v>114</v>
      </c>
      <c r="DS8" s="57">
        <f t="shared" si="2"/>
        <v>115</v>
      </c>
      <c r="DT8" s="57">
        <f t="shared" si="2"/>
        <v>116</v>
      </c>
      <c r="DU8" s="57">
        <f t="shared" si="2"/>
        <v>117</v>
      </c>
      <c r="DV8" s="57">
        <f t="shared" si="2"/>
        <v>118</v>
      </c>
      <c r="DW8" s="57">
        <f t="shared" si="2"/>
        <v>119</v>
      </c>
      <c r="DX8" s="57">
        <f t="shared" si="2"/>
        <v>120</v>
      </c>
      <c r="DY8" s="57">
        <f t="shared" si="2"/>
        <v>121</v>
      </c>
      <c r="DZ8" s="57">
        <f t="shared" si="2"/>
        <v>122</v>
      </c>
      <c r="EA8" s="57">
        <f t="shared" si="2"/>
        <v>123</v>
      </c>
      <c r="EB8" s="57">
        <f t="shared" si="2"/>
        <v>124</v>
      </c>
      <c r="EC8" s="57">
        <f t="shared" si="2"/>
        <v>125</v>
      </c>
      <c r="ED8" s="57">
        <f t="shared" si="2"/>
        <v>126</v>
      </c>
      <c r="EE8" s="57">
        <f t="shared" si="2"/>
        <v>127</v>
      </c>
      <c r="EF8" s="57">
        <f t="shared" si="2"/>
        <v>128</v>
      </c>
      <c r="EG8" s="57">
        <f t="shared" si="2"/>
        <v>129</v>
      </c>
      <c r="EH8" s="57">
        <f t="shared" si="2"/>
        <v>130</v>
      </c>
      <c r="EI8" s="57">
        <f t="shared" si="2"/>
        <v>131</v>
      </c>
      <c r="EJ8" s="57">
        <f t="shared" si="2"/>
        <v>132</v>
      </c>
      <c r="EK8" s="57">
        <f t="shared" si="2"/>
        <v>133</v>
      </c>
      <c r="EL8" s="57">
        <f t="shared" si="2"/>
        <v>134</v>
      </c>
      <c r="EM8" s="57">
        <f t="shared" si="2"/>
        <v>135</v>
      </c>
      <c r="EN8" s="57">
        <f t="shared" si="2"/>
        <v>136</v>
      </c>
      <c r="EO8" s="57">
        <f t="shared" si="2"/>
        <v>137</v>
      </c>
      <c r="EP8" s="57">
        <f t="shared" si="2"/>
        <v>138</v>
      </c>
      <c r="EQ8" s="57">
        <f t="shared" si="2"/>
        <v>139</v>
      </c>
      <c r="ER8" s="57">
        <f t="shared" si="2"/>
        <v>140</v>
      </c>
      <c r="ES8" s="57">
        <f t="shared" si="2"/>
        <v>141</v>
      </c>
    </row>
    <row r="9">
      <c r="A9" s="33"/>
      <c r="B9" s="58">
        <v>1.0</v>
      </c>
      <c r="C9" s="59" t="s">
        <v>133</v>
      </c>
      <c r="D9" s="60"/>
      <c r="E9" s="61">
        <f>D5</f>
        <v>45413</v>
      </c>
      <c r="F9" s="62">
        <f>max(F10:F24)</f>
        <v>45688</v>
      </c>
      <c r="G9" s="63"/>
      <c r="H9" s="63"/>
      <c r="I9" s="64"/>
      <c r="J9" s="65"/>
      <c r="K9" s="66"/>
      <c r="L9" s="66"/>
      <c r="M9" s="67"/>
      <c r="N9" s="64"/>
      <c r="O9" s="67"/>
      <c r="P9" s="64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  <c r="AQ9" s="67"/>
      <c r="AR9" s="67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  <c r="CB9" s="67"/>
      <c r="CC9" s="67"/>
      <c r="CD9" s="67"/>
      <c r="CE9" s="67"/>
      <c r="CF9" s="67"/>
      <c r="CG9" s="67"/>
      <c r="CH9" s="67"/>
      <c r="CI9" s="67"/>
      <c r="CJ9" s="67"/>
      <c r="CK9" s="67"/>
      <c r="CL9" s="67"/>
      <c r="CM9" s="67"/>
      <c r="CN9" s="67"/>
      <c r="CO9" s="67"/>
      <c r="CP9" s="67"/>
      <c r="CQ9" s="67"/>
      <c r="CR9" s="67"/>
      <c r="CS9" s="67"/>
      <c r="CT9" s="67"/>
      <c r="CU9" s="67"/>
      <c r="CV9" s="67"/>
      <c r="CW9" s="67"/>
      <c r="CX9" s="67"/>
      <c r="CY9" s="67"/>
      <c r="CZ9" s="67"/>
      <c r="DA9" s="67"/>
      <c r="DB9" s="67"/>
      <c r="DC9" s="67"/>
      <c r="DD9" s="67"/>
      <c r="DE9" s="67"/>
      <c r="DF9" s="67"/>
      <c r="DG9" s="67"/>
      <c r="DH9" s="67"/>
      <c r="DI9" s="67"/>
      <c r="DJ9" s="67"/>
      <c r="DK9" s="67"/>
      <c r="DL9" s="67"/>
      <c r="DM9" s="67"/>
      <c r="DN9" s="67"/>
      <c r="DO9" s="67"/>
      <c r="DP9" s="67"/>
      <c r="DQ9" s="67"/>
      <c r="DR9" s="67"/>
      <c r="DS9" s="67"/>
      <c r="DT9" s="67"/>
      <c r="DU9" s="67"/>
      <c r="DV9" s="67"/>
      <c r="DW9" s="67"/>
      <c r="DX9" s="67"/>
      <c r="DY9" s="67"/>
      <c r="DZ9" s="67"/>
      <c r="EA9" s="67"/>
      <c r="EB9" s="67"/>
      <c r="EC9" s="67"/>
      <c r="ED9" s="67"/>
      <c r="EE9" s="67"/>
      <c r="EF9" s="67"/>
      <c r="EG9" s="67"/>
      <c r="EH9" s="67"/>
      <c r="EI9" s="67"/>
      <c r="EJ9" s="67"/>
      <c r="EK9" s="67"/>
      <c r="EL9" s="67"/>
      <c r="EM9" s="67"/>
      <c r="EN9" s="67"/>
      <c r="EO9" s="67"/>
      <c r="EP9" s="67"/>
      <c r="EQ9" s="67"/>
      <c r="ER9" s="67"/>
      <c r="ES9" s="67"/>
    </row>
    <row r="10" outlineLevel="1">
      <c r="A10" s="33"/>
      <c r="B10" s="58">
        <v>2.0</v>
      </c>
      <c r="C10" s="68" t="s">
        <v>134</v>
      </c>
      <c r="D10" s="68"/>
      <c r="E10" s="69">
        <f>D5</f>
        <v>45413</v>
      </c>
      <c r="F10" s="70">
        <f t="shared" ref="F10:F25" si="4">E10+G10</f>
        <v>45414</v>
      </c>
      <c r="G10" s="71">
        <v>1.0</v>
      </c>
      <c r="H10" s="72">
        <v>1.0</v>
      </c>
      <c r="I10" s="73" t="str">
        <f t="shared" ref="I10:ES10" si="3">IF(AND($E10&lt;=I$6,$F10&gt;=I$6),"X","")</f>
        <v>X</v>
      </c>
      <c r="J10" s="73" t="str">
        <f t="shared" si="3"/>
        <v/>
      </c>
      <c r="K10" s="73" t="str">
        <f t="shared" si="3"/>
        <v/>
      </c>
      <c r="L10" s="73" t="str">
        <f t="shared" si="3"/>
        <v/>
      </c>
      <c r="M10" s="73" t="str">
        <f t="shared" si="3"/>
        <v/>
      </c>
      <c r="N10" s="73" t="str">
        <f t="shared" si="3"/>
        <v/>
      </c>
      <c r="O10" s="73" t="str">
        <f t="shared" si="3"/>
        <v/>
      </c>
      <c r="P10" s="73" t="str">
        <f t="shared" si="3"/>
        <v/>
      </c>
      <c r="Q10" s="73" t="str">
        <f t="shared" si="3"/>
        <v/>
      </c>
      <c r="R10" s="73" t="str">
        <f t="shared" si="3"/>
        <v/>
      </c>
      <c r="S10" s="73" t="str">
        <f t="shared" si="3"/>
        <v/>
      </c>
      <c r="T10" s="73" t="str">
        <f t="shared" si="3"/>
        <v/>
      </c>
      <c r="U10" s="73" t="str">
        <f t="shared" si="3"/>
        <v/>
      </c>
      <c r="V10" s="73" t="str">
        <f t="shared" si="3"/>
        <v/>
      </c>
      <c r="W10" s="73" t="str">
        <f t="shared" si="3"/>
        <v/>
      </c>
      <c r="X10" s="73" t="str">
        <f t="shared" si="3"/>
        <v/>
      </c>
      <c r="Y10" s="73" t="str">
        <f t="shared" si="3"/>
        <v/>
      </c>
      <c r="Z10" s="73" t="str">
        <f t="shared" si="3"/>
        <v/>
      </c>
      <c r="AA10" s="73" t="str">
        <f t="shared" si="3"/>
        <v/>
      </c>
      <c r="AB10" s="73" t="str">
        <f t="shared" si="3"/>
        <v/>
      </c>
      <c r="AC10" s="73" t="str">
        <f t="shared" si="3"/>
        <v/>
      </c>
      <c r="AD10" s="73" t="str">
        <f t="shared" si="3"/>
        <v/>
      </c>
      <c r="AE10" s="73" t="str">
        <f t="shared" si="3"/>
        <v/>
      </c>
      <c r="AF10" s="73" t="str">
        <f t="shared" si="3"/>
        <v/>
      </c>
      <c r="AG10" s="73" t="str">
        <f t="shared" si="3"/>
        <v/>
      </c>
      <c r="AH10" s="73" t="str">
        <f t="shared" si="3"/>
        <v/>
      </c>
      <c r="AI10" s="73" t="str">
        <f t="shared" si="3"/>
        <v/>
      </c>
      <c r="AJ10" s="73" t="str">
        <f t="shared" si="3"/>
        <v/>
      </c>
      <c r="AK10" s="73" t="str">
        <f t="shared" si="3"/>
        <v/>
      </c>
      <c r="AL10" s="73" t="str">
        <f t="shared" si="3"/>
        <v/>
      </c>
      <c r="AM10" s="73" t="str">
        <f t="shared" si="3"/>
        <v/>
      </c>
      <c r="AN10" s="73" t="str">
        <f t="shared" si="3"/>
        <v/>
      </c>
      <c r="AO10" s="73" t="str">
        <f t="shared" si="3"/>
        <v/>
      </c>
      <c r="AP10" s="73" t="str">
        <f t="shared" si="3"/>
        <v/>
      </c>
      <c r="AQ10" s="73" t="str">
        <f t="shared" si="3"/>
        <v/>
      </c>
      <c r="AR10" s="73" t="str">
        <f t="shared" si="3"/>
        <v/>
      </c>
      <c r="AS10" s="73" t="str">
        <f t="shared" si="3"/>
        <v/>
      </c>
      <c r="AT10" s="73" t="str">
        <f t="shared" si="3"/>
        <v/>
      </c>
      <c r="AU10" s="73" t="str">
        <f t="shared" si="3"/>
        <v/>
      </c>
      <c r="AV10" s="73" t="str">
        <f t="shared" si="3"/>
        <v/>
      </c>
      <c r="AW10" s="73" t="str">
        <f t="shared" si="3"/>
        <v/>
      </c>
      <c r="AX10" s="73" t="str">
        <f t="shared" si="3"/>
        <v/>
      </c>
      <c r="AY10" s="73" t="str">
        <f t="shared" si="3"/>
        <v/>
      </c>
      <c r="AZ10" s="73" t="str">
        <f t="shared" si="3"/>
        <v/>
      </c>
      <c r="BA10" s="73" t="str">
        <f t="shared" si="3"/>
        <v/>
      </c>
      <c r="BB10" s="73" t="str">
        <f t="shared" si="3"/>
        <v/>
      </c>
      <c r="BC10" s="73" t="str">
        <f t="shared" si="3"/>
        <v/>
      </c>
      <c r="BD10" s="73" t="str">
        <f t="shared" si="3"/>
        <v/>
      </c>
      <c r="BE10" s="73" t="str">
        <f t="shared" si="3"/>
        <v/>
      </c>
      <c r="BF10" s="73" t="str">
        <f t="shared" si="3"/>
        <v/>
      </c>
      <c r="BG10" s="73" t="str">
        <f t="shared" si="3"/>
        <v/>
      </c>
      <c r="BH10" s="73" t="str">
        <f t="shared" si="3"/>
        <v/>
      </c>
      <c r="BI10" s="73" t="str">
        <f t="shared" si="3"/>
        <v/>
      </c>
      <c r="BJ10" s="73" t="str">
        <f t="shared" si="3"/>
        <v/>
      </c>
      <c r="BK10" s="73" t="str">
        <f t="shared" si="3"/>
        <v/>
      </c>
      <c r="BL10" s="73" t="str">
        <f t="shared" si="3"/>
        <v/>
      </c>
      <c r="BM10" s="73" t="str">
        <f t="shared" si="3"/>
        <v/>
      </c>
      <c r="BN10" s="73" t="str">
        <f t="shared" si="3"/>
        <v/>
      </c>
      <c r="BO10" s="73" t="str">
        <f t="shared" si="3"/>
        <v/>
      </c>
      <c r="BP10" s="73" t="str">
        <f t="shared" si="3"/>
        <v/>
      </c>
      <c r="BQ10" s="73" t="str">
        <f t="shared" si="3"/>
        <v/>
      </c>
      <c r="BR10" s="73" t="str">
        <f t="shared" si="3"/>
        <v/>
      </c>
      <c r="BS10" s="73" t="str">
        <f t="shared" si="3"/>
        <v/>
      </c>
      <c r="BT10" s="73" t="str">
        <f t="shared" si="3"/>
        <v/>
      </c>
      <c r="BU10" s="73" t="str">
        <f t="shared" si="3"/>
        <v/>
      </c>
      <c r="BV10" s="73" t="str">
        <f t="shared" si="3"/>
        <v/>
      </c>
      <c r="BW10" s="73" t="str">
        <f t="shared" si="3"/>
        <v/>
      </c>
      <c r="BX10" s="73" t="str">
        <f t="shared" si="3"/>
        <v/>
      </c>
      <c r="BY10" s="73" t="str">
        <f t="shared" si="3"/>
        <v/>
      </c>
      <c r="BZ10" s="73" t="str">
        <f t="shared" si="3"/>
        <v/>
      </c>
      <c r="CA10" s="73" t="str">
        <f t="shared" si="3"/>
        <v/>
      </c>
      <c r="CB10" s="73" t="str">
        <f t="shared" si="3"/>
        <v/>
      </c>
      <c r="CC10" s="73" t="str">
        <f t="shared" si="3"/>
        <v/>
      </c>
      <c r="CD10" s="73" t="str">
        <f t="shared" si="3"/>
        <v/>
      </c>
      <c r="CE10" s="73" t="str">
        <f t="shared" si="3"/>
        <v/>
      </c>
      <c r="CF10" s="73" t="str">
        <f t="shared" si="3"/>
        <v/>
      </c>
      <c r="CG10" s="73" t="str">
        <f t="shared" si="3"/>
        <v/>
      </c>
      <c r="CH10" s="73" t="str">
        <f t="shared" si="3"/>
        <v/>
      </c>
      <c r="CI10" s="73" t="str">
        <f t="shared" si="3"/>
        <v/>
      </c>
      <c r="CJ10" s="73" t="str">
        <f t="shared" si="3"/>
        <v/>
      </c>
      <c r="CK10" s="73" t="str">
        <f t="shared" si="3"/>
        <v/>
      </c>
      <c r="CL10" s="73" t="str">
        <f t="shared" si="3"/>
        <v/>
      </c>
      <c r="CM10" s="73" t="str">
        <f t="shared" si="3"/>
        <v/>
      </c>
      <c r="CN10" s="73" t="str">
        <f t="shared" si="3"/>
        <v/>
      </c>
      <c r="CO10" s="73" t="str">
        <f t="shared" si="3"/>
        <v/>
      </c>
      <c r="CP10" s="73" t="str">
        <f t="shared" si="3"/>
        <v/>
      </c>
      <c r="CQ10" s="73" t="str">
        <f t="shared" si="3"/>
        <v/>
      </c>
      <c r="CR10" s="73" t="str">
        <f t="shared" si="3"/>
        <v/>
      </c>
      <c r="CS10" s="73" t="str">
        <f t="shared" si="3"/>
        <v/>
      </c>
      <c r="CT10" s="73" t="str">
        <f t="shared" si="3"/>
        <v/>
      </c>
      <c r="CU10" s="73" t="str">
        <f t="shared" si="3"/>
        <v/>
      </c>
      <c r="CV10" s="73" t="str">
        <f t="shared" si="3"/>
        <v/>
      </c>
      <c r="CW10" s="73" t="str">
        <f t="shared" si="3"/>
        <v/>
      </c>
      <c r="CX10" s="73" t="str">
        <f t="shared" si="3"/>
        <v/>
      </c>
      <c r="CY10" s="73" t="str">
        <f t="shared" si="3"/>
        <v/>
      </c>
      <c r="CZ10" s="73" t="str">
        <f t="shared" si="3"/>
        <v/>
      </c>
      <c r="DA10" s="73" t="str">
        <f t="shared" si="3"/>
        <v/>
      </c>
      <c r="DB10" s="73" t="str">
        <f t="shared" si="3"/>
        <v/>
      </c>
      <c r="DC10" s="73" t="str">
        <f t="shared" si="3"/>
        <v/>
      </c>
      <c r="DD10" s="73" t="str">
        <f t="shared" si="3"/>
        <v/>
      </c>
      <c r="DE10" s="73" t="str">
        <f t="shared" si="3"/>
        <v/>
      </c>
      <c r="DF10" s="73" t="str">
        <f t="shared" si="3"/>
        <v/>
      </c>
      <c r="DG10" s="73" t="str">
        <f t="shared" si="3"/>
        <v/>
      </c>
      <c r="DH10" s="73" t="str">
        <f t="shared" si="3"/>
        <v/>
      </c>
      <c r="DI10" s="73" t="str">
        <f t="shared" si="3"/>
        <v/>
      </c>
      <c r="DJ10" s="73" t="str">
        <f t="shared" si="3"/>
        <v/>
      </c>
      <c r="DK10" s="73" t="str">
        <f t="shared" si="3"/>
        <v/>
      </c>
      <c r="DL10" s="73" t="str">
        <f t="shared" si="3"/>
        <v/>
      </c>
      <c r="DM10" s="73" t="str">
        <f t="shared" si="3"/>
        <v/>
      </c>
      <c r="DN10" s="73" t="str">
        <f t="shared" si="3"/>
        <v/>
      </c>
      <c r="DO10" s="73" t="str">
        <f t="shared" si="3"/>
        <v/>
      </c>
      <c r="DP10" s="73" t="str">
        <f t="shared" si="3"/>
        <v/>
      </c>
      <c r="DQ10" s="73" t="str">
        <f t="shared" si="3"/>
        <v/>
      </c>
      <c r="DR10" s="73" t="str">
        <f t="shared" si="3"/>
        <v/>
      </c>
      <c r="DS10" s="73" t="str">
        <f t="shared" si="3"/>
        <v/>
      </c>
      <c r="DT10" s="73" t="str">
        <f t="shared" si="3"/>
        <v/>
      </c>
      <c r="DU10" s="73" t="str">
        <f t="shared" si="3"/>
        <v/>
      </c>
      <c r="DV10" s="73" t="str">
        <f t="shared" si="3"/>
        <v/>
      </c>
      <c r="DW10" s="73" t="str">
        <f t="shared" si="3"/>
        <v/>
      </c>
      <c r="DX10" s="73" t="str">
        <f t="shared" si="3"/>
        <v/>
      </c>
      <c r="DY10" s="73" t="str">
        <f t="shared" si="3"/>
        <v/>
      </c>
      <c r="DZ10" s="73" t="str">
        <f t="shared" si="3"/>
        <v/>
      </c>
      <c r="EA10" s="73" t="str">
        <f t="shared" si="3"/>
        <v/>
      </c>
      <c r="EB10" s="73" t="str">
        <f t="shared" si="3"/>
        <v/>
      </c>
      <c r="EC10" s="73" t="str">
        <f t="shared" si="3"/>
        <v/>
      </c>
      <c r="ED10" s="73" t="str">
        <f t="shared" si="3"/>
        <v/>
      </c>
      <c r="EE10" s="73" t="str">
        <f t="shared" si="3"/>
        <v/>
      </c>
      <c r="EF10" s="73" t="str">
        <f t="shared" si="3"/>
        <v/>
      </c>
      <c r="EG10" s="73" t="str">
        <f t="shared" si="3"/>
        <v/>
      </c>
      <c r="EH10" s="73" t="str">
        <f t="shared" si="3"/>
        <v/>
      </c>
      <c r="EI10" s="73" t="str">
        <f t="shared" si="3"/>
        <v/>
      </c>
      <c r="EJ10" s="73" t="str">
        <f t="shared" si="3"/>
        <v/>
      </c>
      <c r="EK10" s="73" t="str">
        <f t="shared" si="3"/>
        <v/>
      </c>
      <c r="EL10" s="73" t="str">
        <f t="shared" si="3"/>
        <v/>
      </c>
      <c r="EM10" s="73" t="str">
        <f t="shared" si="3"/>
        <v/>
      </c>
      <c r="EN10" s="73" t="str">
        <f t="shared" si="3"/>
        <v/>
      </c>
      <c r="EO10" s="73" t="str">
        <f t="shared" si="3"/>
        <v/>
      </c>
      <c r="EP10" s="73" t="str">
        <f t="shared" si="3"/>
        <v/>
      </c>
      <c r="EQ10" s="73" t="str">
        <f t="shared" si="3"/>
        <v/>
      </c>
      <c r="ER10" s="73" t="str">
        <f t="shared" si="3"/>
        <v/>
      </c>
      <c r="ES10" s="73" t="str">
        <f t="shared" si="3"/>
        <v/>
      </c>
    </row>
    <row r="11" outlineLevel="1">
      <c r="A11" s="33"/>
      <c r="B11" s="58">
        <v>3.0</v>
      </c>
      <c r="C11" s="68" t="s">
        <v>135</v>
      </c>
      <c r="D11" s="68"/>
      <c r="E11" s="70">
        <f>E9</f>
        <v>45413</v>
      </c>
      <c r="F11" s="70">
        <f t="shared" si="4"/>
        <v>45434</v>
      </c>
      <c r="G11" s="71">
        <v>21.0</v>
      </c>
      <c r="H11" s="72">
        <v>1.0</v>
      </c>
      <c r="I11" s="73" t="str">
        <f t="shared" ref="I11:ES11" si="5">IF(AND($E11&lt;=I$6,$F11&gt;=I$6),"X","")</f>
        <v>X</v>
      </c>
      <c r="J11" s="73" t="str">
        <f t="shared" si="5"/>
        <v>X</v>
      </c>
      <c r="K11" s="73" t="str">
        <f t="shared" si="5"/>
        <v>X</v>
      </c>
      <c r="L11" s="73" t="str">
        <f t="shared" si="5"/>
        <v>X</v>
      </c>
      <c r="M11" s="73" t="str">
        <f t="shared" si="5"/>
        <v/>
      </c>
      <c r="N11" s="73" t="str">
        <f t="shared" si="5"/>
        <v/>
      </c>
      <c r="O11" s="73" t="str">
        <f t="shared" si="5"/>
        <v/>
      </c>
      <c r="P11" s="73" t="str">
        <f t="shared" si="5"/>
        <v/>
      </c>
      <c r="Q11" s="73" t="str">
        <f t="shared" si="5"/>
        <v/>
      </c>
      <c r="R11" s="73" t="str">
        <f t="shared" si="5"/>
        <v/>
      </c>
      <c r="S11" s="73" t="str">
        <f t="shared" si="5"/>
        <v/>
      </c>
      <c r="T11" s="73" t="str">
        <f t="shared" si="5"/>
        <v/>
      </c>
      <c r="U11" s="73" t="str">
        <f t="shared" si="5"/>
        <v/>
      </c>
      <c r="V11" s="73" t="str">
        <f t="shared" si="5"/>
        <v/>
      </c>
      <c r="W11" s="73" t="str">
        <f t="shared" si="5"/>
        <v/>
      </c>
      <c r="X11" s="73" t="str">
        <f t="shared" si="5"/>
        <v/>
      </c>
      <c r="Y11" s="73" t="str">
        <f t="shared" si="5"/>
        <v/>
      </c>
      <c r="Z11" s="73" t="str">
        <f t="shared" si="5"/>
        <v/>
      </c>
      <c r="AA11" s="73" t="str">
        <f t="shared" si="5"/>
        <v/>
      </c>
      <c r="AB11" s="73" t="str">
        <f t="shared" si="5"/>
        <v/>
      </c>
      <c r="AC11" s="73" t="str">
        <f t="shared" si="5"/>
        <v/>
      </c>
      <c r="AD11" s="73" t="str">
        <f t="shared" si="5"/>
        <v/>
      </c>
      <c r="AE11" s="73" t="str">
        <f t="shared" si="5"/>
        <v/>
      </c>
      <c r="AF11" s="73" t="str">
        <f t="shared" si="5"/>
        <v/>
      </c>
      <c r="AG11" s="73" t="str">
        <f t="shared" si="5"/>
        <v/>
      </c>
      <c r="AH11" s="73" t="str">
        <f t="shared" si="5"/>
        <v/>
      </c>
      <c r="AI11" s="73" t="str">
        <f t="shared" si="5"/>
        <v/>
      </c>
      <c r="AJ11" s="73" t="str">
        <f t="shared" si="5"/>
        <v/>
      </c>
      <c r="AK11" s="73" t="str">
        <f t="shared" si="5"/>
        <v/>
      </c>
      <c r="AL11" s="73" t="str">
        <f t="shared" si="5"/>
        <v/>
      </c>
      <c r="AM11" s="73" t="str">
        <f t="shared" si="5"/>
        <v/>
      </c>
      <c r="AN11" s="73" t="str">
        <f t="shared" si="5"/>
        <v/>
      </c>
      <c r="AO11" s="73" t="str">
        <f t="shared" si="5"/>
        <v/>
      </c>
      <c r="AP11" s="73" t="str">
        <f t="shared" si="5"/>
        <v/>
      </c>
      <c r="AQ11" s="73" t="str">
        <f t="shared" si="5"/>
        <v/>
      </c>
      <c r="AR11" s="73" t="str">
        <f t="shared" si="5"/>
        <v/>
      </c>
      <c r="AS11" s="73" t="str">
        <f t="shared" si="5"/>
        <v/>
      </c>
      <c r="AT11" s="73" t="str">
        <f t="shared" si="5"/>
        <v/>
      </c>
      <c r="AU11" s="73" t="str">
        <f t="shared" si="5"/>
        <v/>
      </c>
      <c r="AV11" s="73" t="str">
        <f t="shared" si="5"/>
        <v/>
      </c>
      <c r="AW11" s="73" t="str">
        <f t="shared" si="5"/>
        <v/>
      </c>
      <c r="AX11" s="73" t="str">
        <f t="shared" si="5"/>
        <v/>
      </c>
      <c r="AY11" s="73" t="str">
        <f t="shared" si="5"/>
        <v/>
      </c>
      <c r="AZ11" s="73" t="str">
        <f t="shared" si="5"/>
        <v/>
      </c>
      <c r="BA11" s="73" t="str">
        <f t="shared" si="5"/>
        <v/>
      </c>
      <c r="BB11" s="73" t="str">
        <f t="shared" si="5"/>
        <v/>
      </c>
      <c r="BC11" s="73" t="str">
        <f t="shared" si="5"/>
        <v/>
      </c>
      <c r="BD11" s="73" t="str">
        <f t="shared" si="5"/>
        <v/>
      </c>
      <c r="BE11" s="73" t="str">
        <f t="shared" si="5"/>
        <v/>
      </c>
      <c r="BF11" s="73" t="str">
        <f t="shared" si="5"/>
        <v/>
      </c>
      <c r="BG11" s="73" t="str">
        <f t="shared" si="5"/>
        <v/>
      </c>
      <c r="BH11" s="73" t="str">
        <f t="shared" si="5"/>
        <v/>
      </c>
      <c r="BI11" s="73" t="str">
        <f t="shared" si="5"/>
        <v/>
      </c>
      <c r="BJ11" s="73" t="str">
        <f t="shared" si="5"/>
        <v/>
      </c>
      <c r="BK11" s="73" t="str">
        <f t="shared" si="5"/>
        <v/>
      </c>
      <c r="BL11" s="73" t="str">
        <f t="shared" si="5"/>
        <v/>
      </c>
      <c r="BM11" s="73" t="str">
        <f t="shared" si="5"/>
        <v/>
      </c>
      <c r="BN11" s="73" t="str">
        <f t="shared" si="5"/>
        <v/>
      </c>
      <c r="BO11" s="73" t="str">
        <f t="shared" si="5"/>
        <v/>
      </c>
      <c r="BP11" s="73" t="str">
        <f t="shared" si="5"/>
        <v/>
      </c>
      <c r="BQ11" s="73" t="str">
        <f t="shared" si="5"/>
        <v/>
      </c>
      <c r="BR11" s="73" t="str">
        <f t="shared" si="5"/>
        <v/>
      </c>
      <c r="BS11" s="73" t="str">
        <f t="shared" si="5"/>
        <v/>
      </c>
      <c r="BT11" s="73" t="str">
        <f t="shared" si="5"/>
        <v/>
      </c>
      <c r="BU11" s="73" t="str">
        <f t="shared" si="5"/>
        <v/>
      </c>
      <c r="BV11" s="73" t="str">
        <f t="shared" si="5"/>
        <v/>
      </c>
      <c r="BW11" s="73" t="str">
        <f t="shared" si="5"/>
        <v/>
      </c>
      <c r="BX11" s="73" t="str">
        <f t="shared" si="5"/>
        <v/>
      </c>
      <c r="BY11" s="73" t="str">
        <f t="shared" si="5"/>
        <v/>
      </c>
      <c r="BZ11" s="73" t="str">
        <f t="shared" si="5"/>
        <v/>
      </c>
      <c r="CA11" s="73" t="str">
        <f t="shared" si="5"/>
        <v/>
      </c>
      <c r="CB11" s="73" t="str">
        <f t="shared" si="5"/>
        <v/>
      </c>
      <c r="CC11" s="73" t="str">
        <f t="shared" si="5"/>
        <v/>
      </c>
      <c r="CD11" s="73" t="str">
        <f t="shared" si="5"/>
        <v/>
      </c>
      <c r="CE11" s="73" t="str">
        <f t="shared" si="5"/>
        <v/>
      </c>
      <c r="CF11" s="73" t="str">
        <f t="shared" si="5"/>
        <v/>
      </c>
      <c r="CG11" s="73" t="str">
        <f t="shared" si="5"/>
        <v/>
      </c>
      <c r="CH11" s="73" t="str">
        <f t="shared" si="5"/>
        <v/>
      </c>
      <c r="CI11" s="73" t="str">
        <f t="shared" si="5"/>
        <v/>
      </c>
      <c r="CJ11" s="73" t="str">
        <f t="shared" si="5"/>
        <v/>
      </c>
      <c r="CK11" s="73" t="str">
        <f t="shared" si="5"/>
        <v/>
      </c>
      <c r="CL11" s="73" t="str">
        <f t="shared" si="5"/>
        <v/>
      </c>
      <c r="CM11" s="73" t="str">
        <f t="shared" si="5"/>
        <v/>
      </c>
      <c r="CN11" s="73" t="str">
        <f t="shared" si="5"/>
        <v/>
      </c>
      <c r="CO11" s="73" t="str">
        <f t="shared" si="5"/>
        <v/>
      </c>
      <c r="CP11" s="73" t="str">
        <f t="shared" si="5"/>
        <v/>
      </c>
      <c r="CQ11" s="73" t="str">
        <f t="shared" si="5"/>
        <v/>
      </c>
      <c r="CR11" s="73" t="str">
        <f t="shared" si="5"/>
        <v/>
      </c>
      <c r="CS11" s="73" t="str">
        <f t="shared" si="5"/>
        <v/>
      </c>
      <c r="CT11" s="73" t="str">
        <f t="shared" si="5"/>
        <v/>
      </c>
      <c r="CU11" s="73" t="str">
        <f t="shared" si="5"/>
        <v/>
      </c>
      <c r="CV11" s="73" t="str">
        <f t="shared" si="5"/>
        <v/>
      </c>
      <c r="CW11" s="73" t="str">
        <f t="shared" si="5"/>
        <v/>
      </c>
      <c r="CX11" s="73" t="str">
        <f t="shared" si="5"/>
        <v/>
      </c>
      <c r="CY11" s="73" t="str">
        <f t="shared" si="5"/>
        <v/>
      </c>
      <c r="CZ11" s="73" t="str">
        <f t="shared" si="5"/>
        <v/>
      </c>
      <c r="DA11" s="73" t="str">
        <f t="shared" si="5"/>
        <v/>
      </c>
      <c r="DB11" s="73" t="str">
        <f t="shared" si="5"/>
        <v/>
      </c>
      <c r="DC11" s="73" t="str">
        <f t="shared" si="5"/>
        <v/>
      </c>
      <c r="DD11" s="73" t="str">
        <f t="shared" si="5"/>
        <v/>
      </c>
      <c r="DE11" s="73" t="str">
        <f t="shared" si="5"/>
        <v/>
      </c>
      <c r="DF11" s="73" t="str">
        <f t="shared" si="5"/>
        <v/>
      </c>
      <c r="DG11" s="73" t="str">
        <f t="shared" si="5"/>
        <v/>
      </c>
      <c r="DH11" s="73" t="str">
        <f t="shared" si="5"/>
        <v/>
      </c>
      <c r="DI11" s="73" t="str">
        <f t="shared" si="5"/>
        <v/>
      </c>
      <c r="DJ11" s="73" t="str">
        <f t="shared" si="5"/>
        <v/>
      </c>
      <c r="DK11" s="73" t="str">
        <f t="shared" si="5"/>
        <v/>
      </c>
      <c r="DL11" s="73" t="str">
        <f t="shared" si="5"/>
        <v/>
      </c>
      <c r="DM11" s="73" t="str">
        <f t="shared" si="5"/>
        <v/>
      </c>
      <c r="DN11" s="73" t="str">
        <f t="shared" si="5"/>
        <v/>
      </c>
      <c r="DO11" s="73" t="str">
        <f t="shared" si="5"/>
        <v/>
      </c>
      <c r="DP11" s="73" t="str">
        <f t="shared" si="5"/>
        <v/>
      </c>
      <c r="DQ11" s="73" t="str">
        <f t="shared" si="5"/>
        <v/>
      </c>
      <c r="DR11" s="73" t="str">
        <f t="shared" si="5"/>
        <v/>
      </c>
      <c r="DS11" s="73" t="str">
        <f t="shared" si="5"/>
        <v/>
      </c>
      <c r="DT11" s="73" t="str">
        <f t="shared" si="5"/>
        <v/>
      </c>
      <c r="DU11" s="73" t="str">
        <f t="shared" si="5"/>
        <v/>
      </c>
      <c r="DV11" s="73" t="str">
        <f t="shared" si="5"/>
        <v/>
      </c>
      <c r="DW11" s="73" t="str">
        <f t="shared" si="5"/>
        <v/>
      </c>
      <c r="DX11" s="73" t="str">
        <f t="shared" si="5"/>
        <v/>
      </c>
      <c r="DY11" s="73" t="str">
        <f t="shared" si="5"/>
        <v/>
      </c>
      <c r="DZ11" s="73" t="str">
        <f t="shared" si="5"/>
        <v/>
      </c>
      <c r="EA11" s="73" t="str">
        <f t="shared" si="5"/>
        <v/>
      </c>
      <c r="EB11" s="73" t="str">
        <f t="shared" si="5"/>
        <v/>
      </c>
      <c r="EC11" s="73" t="str">
        <f t="shared" si="5"/>
        <v/>
      </c>
      <c r="ED11" s="73" t="str">
        <f t="shared" si="5"/>
        <v/>
      </c>
      <c r="EE11" s="73" t="str">
        <f t="shared" si="5"/>
        <v/>
      </c>
      <c r="EF11" s="73" t="str">
        <f t="shared" si="5"/>
        <v/>
      </c>
      <c r="EG11" s="73" t="str">
        <f t="shared" si="5"/>
        <v/>
      </c>
      <c r="EH11" s="73" t="str">
        <f t="shared" si="5"/>
        <v/>
      </c>
      <c r="EI11" s="73" t="str">
        <f t="shared" si="5"/>
        <v/>
      </c>
      <c r="EJ11" s="73" t="str">
        <f t="shared" si="5"/>
        <v/>
      </c>
      <c r="EK11" s="73" t="str">
        <f t="shared" si="5"/>
        <v/>
      </c>
      <c r="EL11" s="73" t="str">
        <f t="shared" si="5"/>
        <v/>
      </c>
      <c r="EM11" s="73" t="str">
        <f t="shared" si="5"/>
        <v/>
      </c>
      <c r="EN11" s="73" t="str">
        <f t="shared" si="5"/>
        <v/>
      </c>
      <c r="EO11" s="73" t="str">
        <f t="shared" si="5"/>
        <v/>
      </c>
      <c r="EP11" s="73" t="str">
        <f t="shared" si="5"/>
        <v/>
      </c>
      <c r="EQ11" s="73" t="str">
        <f t="shared" si="5"/>
        <v/>
      </c>
      <c r="ER11" s="73" t="str">
        <f t="shared" si="5"/>
        <v/>
      </c>
      <c r="ES11" s="73" t="str">
        <f t="shared" si="5"/>
        <v/>
      </c>
    </row>
    <row r="12" outlineLevel="1">
      <c r="A12" s="33"/>
      <c r="B12" s="58">
        <v>4.0</v>
      </c>
      <c r="C12" s="68" t="s">
        <v>136</v>
      </c>
      <c r="D12" s="68"/>
      <c r="E12" s="70">
        <f>E9</f>
        <v>45413</v>
      </c>
      <c r="F12" s="70">
        <f t="shared" si="4"/>
        <v>45441</v>
      </c>
      <c r="G12" s="71">
        <v>28.0</v>
      </c>
      <c r="H12" s="72">
        <v>0.0</v>
      </c>
      <c r="I12" s="73" t="str">
        <f t="shared" ref="I12:ES12" si="6">IF(AND($E12&lt;=I$6,$F12&gt;=I$6),"X","")</f>
        <v>X</v>
      </c>
      <c r="J12" s="73" t="str">
        <f t="shared" si="6"/>
        <v>X</v>
      </c>
      <c r="K12" s="73" t="str">
        <f t="shared" si="6"/>
        <v>X</v>
      </c>
      <c r="L12" s="73" t="str">
        <f t="shared" si="6"/>
        <v>X</v>
      </c>
      <c r="M12" s="73" t="str">
        <f t="shared" si="6"/>
        <v>X</v>
      </c>
      <c r="N12" s="73" t="str">
        <f t="shared" si="6"/>
        <v/>
      </c>
      <c r="O12" s="73" t="str">
        <f t="shared" si="6"/>
        <v/>
      </c>
      <c r="P12" s="73" t="str">
        <f t="shared" si="6"/>
        <v/>
      </c>
      <c r="Q12" s="73" t="str">
        <f t="shared" si="6"/>
        <v/>
      </c>
      <c r="R12" s="73" t="str">
        <f t="shared" si="6"/>
        <v/>
      </c>
      <c r="S12" s="73" t="str">
        <f t="shared" si="6"/>
        <v/>
      </c>
      <c r="T12" s="73" t="str">
        <f t="shared" si="6"/>
        <v/>
      </c>
      <c r="U12" s="73" t="str">
        <f t="shared" si="6"/>
        <v/>
      </c>
      <c r="V12" s="73" t="str">
        <f t="shared" si="6"/>
        <v/>
      </c>
      <c r="W12" s="73" t="str">
        <f t="shared" si="6"/>
        <v/>
      </c>
      <c r="X12" s="73" t="str">
        <f t="shared" si="6"/>
        <v/>
      </c>
      <c r="Y12" s="73" t="str">
        <f t="shared" si="6"/>
        <v/>
      </c>
      <c r="Z12" s="73" t="str">
        <f t="shared" si="6"/>
        <v/>
      </c>
      <c r="AA12" s="73" t="str">
        <f t="shared" si="6"/>
        <v/>
      </c>
      <c r="AB12" s="73" t="str">
        <f t="shared" si="6"/>
        <v/>
      </c>
      <c r="AC12" s="73" t="str">
        <f t="shared" si="6"/>
        <v/>
      </c>
      <c r="AD12" s="73" t="str">
        <f t="shared" si="6"/>
        <v/>
      </c>
      <c r="AE12" s="73" t="str">
        <f t="shared" si="6"/>
        <v/>
      </c>
      <c r="AF12" s="73" t="str">
        <f t="shared" si="6"/>
        <v/>
      </c>
      <c r="AG12" s="73" t="str">
        <f t="shared" si="6"/>
        <v/>
      </c>
      <c r="AH12" s="73" t="str">
        <f t="shared" si="6"/>
        <v/>
      </c>
      <c r="AI12" s="73" t="str">
        <f t="shared" si="6"/>
        <v/>
      </c>
      <c r="AJ12" s="73" t="str">
        <f t="shared" si="6"/>
        <v/>
      </c>
      <c r="AK12" s="73" t="str">
        <f t="shared" si="6"/>
        <v/>
      </c>
      <c r="AL12" s="73" t="str">
        <f t="shared" si="6"/>
        <v/>
      </c>
      <c r="AM12" s="73" t="str">
        <f t="shared" si="6"/>
        <v/>
      </c>
      <c r="AN12" s="73" t="str">
        <f t="shared" si="6"/>
        <v/>
      </c>
      <c r="AO12" s="73" t="str">
        <f t="shared" si="6"/>
        <v/>
      </c>
      <c r="AP12" s="73" t="str">
        <f t="shared" si="6"/>
        <v/>
      </c>
      <c r="AQ12" s="73" t="str">
        <f t="shared" si="6"/>
        <v/>
      </c>
      <c r="AR12" s="73" t="str">
        <f t="shared" si="6"/>
        <v/>
      </c>
      <c r="AS12" s="73" t="str">
        <f t="shared" si="6"/>
        <v/>
      </c>
      <c r="AT12" s="73" t="str">
        <f t="shared" si="6"/>
        <v/>
      </c>
      <c r="AU12" s="73" t="str">
        <f t="shared" si="6"/>
        <v/>
      </c>
      <c r="AV12" s="73" t="str">
        <f t="shared" si="6"/>
        <v/>
      </c>
      <c r="AW12" s="73" t="str">
        <f t="shared" si="6"/>
        <v/>
      </c>
      <c r="AX12" s="73" t="str">
        <f t="shared" si="6"/>
        <v/>
      </c>
      <c r="AY12" s="73" t="str">
        <f t="shared" si="6"/>
        <v/>
      </c>
      <c r="AZ12" s="73" t="str">
        <f t="shared" si="6"/>
        <v/>
      </c>
      <c r="BA12" s="73" t="str">
        <f t="shared" si="6"/>
        <v/>
      </c>
      <c r="BB12" s="73" t="str">
        <f t="shared" si="6"/>
        <v/>
      </c>
      <c r="BC12" s="73" t="str">
        <f t="shared" si="6"/>
        <v/>
      </c>
      <c r="BD12" s="73" t="str">
        <f t="shared" si="6"/>
        <v/>
      </c>
      <c r="BE12" s="73" t="str">
        <f t="shared" si="6"/>
        <v/>
      </c>
      <c r="BF12" s="73" t="str">
        <f t="shared" si="6"/>
        <v/>
      </c>
      <c r="BG12" s="73" t="str">
        <f t="shared" si="6"/>
        <v/>
      </c>
      <c r="BH12" s="73" t="str">
        <f t="shared" si="6"/>
        <v/>
      </c>
      <c r="BI12" s="73" t="str">
        <f t="shared" si="6"/>
        <v/>
      </c>
      <c r="BJ12" s="73" t="str">
        <f t="shared" si="6"/>
        <v/>
      </c>
      <c r="BK12" s="73" t="str">
        <f t="shared" si="6"/>
        <v/>
      </c>
      <c r="BL12" s="73" t="str">
        <f t="shared" si="6"/>
        <v/>
      </c>
      <c r="BM12" s="73" t="str">
        <f t="shared" si="6"/>
        <v/>
      </c>
      <c r="BN12" s="73" t="str">
        <f t="shared" si="6"/>
        <v/>
      </c>
      <c r="BO12" s="73" t="str">
        <f t="shared" si="6"/>
        <v/>
      </c>
      <c r="BP12" s="73" t="str">
        <f t="shared" si="6"/>
        <v/>
      </c>
      <c r="BQ12" s="73" t="str">
        <f t="shared" si="6"/>
        <v/>
      </c>
      <c r="BR12" s="73" t="str">
        <f t="shared" si="6"/>
        <v/>
      </c>
      <c r="BS12" s="73" t="str">
        <f t="shared" si="6"/>
        <v/>
      </c>
      <c r="BT12" s="73" t="str">
        <f t="shared" si="6"/>
        <v/>
      </c>
      <c r="BU12" s="73" t="str">
        <f t="shared" si="6"/>
        <v/>
      </c>
      <c r="BV12" s="73" t="str">
        <f t="shared" si="6"/>
        <v/>
      </c>
      <c r="BW12" s="73" t="str">
        <f t="shared" si="6"/>
        <v/>
      </c>
      <c r="BX12" s="73" t="str">
        <f t="shared" si="6"/>
        <v/>
      </c>
      <c r="BY12" s="73" t="str">
        <f t="shared" si="6"/>
        <v/>
      </c>
      <c r="BZ12" s="73" t="str">
        <f t="shared" si="6"/>
        <v/>
      </c>
      <c r="CA12" s="73" t="str">
        <f t="shared" si="6"/>
        <v/>
      </c>
      <c r="CB12" s="73" t="str">
        <f t="shared" si="6"/>
        <v/>
      </c>
      <c r="CC12" s="73" t="str">
        <f t="shared" si="6"/>
        <v/>
      </c>
      <c r="CD12" s="73" t="str">
        <f t="shared" si="6"/>
        <v/>
      </c>
      <c r="CE12" s="73" t="str">
        <f t="shared" si="6"/>
        <v/>
      </c>
      <c r="CF12" s="73" t="str">
        <f t="shared" si="6"/>
        <v/>
      </c>
      <c r="CG12" s="73" t="str">
        <f t="shared" si="6"/>
        <v/>
      </c>
      <c r="CH12" s="73" t="str">
        <f t="shared" si="6"/>
        <v/>
      </c>
      <c r="CI12" s="73" t="str">
        <f t="shared" si="6"/>
        <v/>
      </c>
      <c r="CJ12" s="73" t="str">
        <f t="shared" si="6"/>
        <v/>
      </c>
      <c r="CK12" s="73" t="str">
        <f t="shared" si="6"/>
        <v/>
      </c>
      <c r="CL12" s="73" t="str">
        <f t="shared" si="6"/>
        <v/>
      </c>
      <c r="CM12" s="73" t="str">
        <f t="shared" si="6"/>
        <v/>
      </c>
      <c r="CN12" s="73" t="str">
        <f t="shared" si="6"/>
        <v/>
      </c>
      <c r="CO12" s="73" t="str">
        <f t="shared" si="6"/>
        <v/>
      </c>
      <c r="CP12" s="73" t="str">
        <f t="shared" si="6"/>
        <v/>
      </c>
      <c r="CQ12" s="73" t="str">
        <f t="shared" si="6"/>
        <v/>
      </c>
      <c r="CR12" s="73" t="str">
        <f t="shared" si="6"/>
        <v/>
      </c>
      <c r="CS12" s="73" t="str">
        <f t="shared" si="6"/>
        <v/>
      </c>
      <c r="CT12" s="73" t="str">
        <f t="shared" si="6"/>
        <v/>
      </c>
      <c r="CU12" s="73" t="str">
        <f t="shared" si="6"/>
        <v/>
      </c>
      <c r="CV12" s="73" t="str">
        <f t="shared" si="6"/>
        <v/>
      </c>
      <c r="CW12" s="73" t="str">
        <f t="shared" si="6"/>
        <v/>
      </c>
      <c r="CX12" s="73" t="str">
        <f t="shared" si="6"/>
        <v/>
      </c>
      <c r="CY12" s="73" t="str">
        <f t="shared" si="6"/>
        <v/>
      </c>
      <c r="CZ12" s="73" t="str">
        <f t="shared" si="6"/>
        <v/>
      </c>
      <c r="DA12" s="73" t="str">
        <f t="shared" si="6"/>
        <v/>
      </c>
      <c r="DB12" s="73" t="str">
        <f t="shared" si="6"/>
        <v/>
      </c>
      <c r="DC12" s="73" t="str">
        <f t="shared" si="6"/>
        <v/>
      </c>
      <c r="DD12" s="73" t="str">
        <f t="shared" si="6"/>
        <v/>
      </c>
      <c r="DE12" s="73" t="str">
        <f t="shared" si="6"/>
        <v/>
      </c>
      <c r="DF12" s="73" t="str">
        <f t="shared" si="6"/>
        <v/>
      </c>
      <c r="DG12" s="73" t="str">
        <f t="shared" si="6"/>
        <v/>
      </c>
      <c r="DH12" s="73" t="str">
        <f t="shared" si="6"/>
        <v/>
      </c>
      <c r="DI12" s="73" t="str">
        <f t="shared" si="6"/>
        <v/>
      </c>
      <c r="DJ12" s="73" t="str">
        <f t="shared" si="6"/>
        <v/>
      </c>
      <c r="DK12" s="73" t="str">
        <f t="shared" si="6"/>
        <v/>
      </c>
      <c r="DL12" s="73" t="str">
        <f t="shared" si="6"/>
        <v/>
      </c>
      <c r="DM12" s="73" t="str">
        <f t="shared" si="6"/>
        <v/>
      </c>
      <c r="DN12" s="73" t="str">
        <f t="shared" si="6"/>
        <v/>
      </c>
      <c r="DO12" s="73" t="str">
        <f t="shared" si="6"/>
        <v/>
      </c>
      <c r="DP12" s="73" t="str">
        <f t="shared" si="6"/>
        <v/>
      </c>
      <c r="DQ12" s="73" t="str">
        <f t="shared" si="6"/>
        <v/>
      </c>
      <c r="DR12" s="73" t="str">
        <f t="shared" si="6"/>
        <v/>
      </c>
      <c r="DS12" s="73" t="str">
        <f t="shared" si="6"/>
        <v/>
      </c>
      <c r="DT12" s="73" t="str">
        <f t="shared" si="6"/>
        <v/>
      </c>
      <c r="DU12" s="73" t="str">
        <f t="shared" si="6"/>
        <v/>
      </c>
      <c r="DV12" s="73" t="str">
        <f t="shared" si="6"/>
        <v/>
      </c>
      <c r="DW12" s="73" t="str">
        <f t="shared" si="6"/>
        <v/>
      </c>
      <c r="DX12" s="73" t="str">
        <f t="shared" si="6"/>
        <v/>
      </c>
      <c r="DY12" s="73" t="str">
        <f t="shared" si="6"/>
        <v/>
      </c>
      <c r="DZ12" s="73" t="str">
        <f t="shared" si="6"/>
        <v/>
      </c>
      <c r="EA12" s="73" t="str">
        <f t="shared" si="6"/>
        <v/>
      </c>
      <c r="EB12" s="73" t="str">
        <f t="shared" si="6"/>
        <v/>
      </c>
      <c r="EC12" s="73" t="str">
        <f t="shared" si="6"/>
        <v/>
      </c>
      <c r="ED12" s="73" t="str">
        <f t="shared" si="6"/>
        <v/>
      </c>
      <c r="EE12" s="73" t="str">
        <f t="shared" si="6"/>
        <v/>
      </c>
      <c r="EF12" s="73" t="str">
        <f t="shared" si="6"/>
        <v/>
      </c>
      <c r="EG12" s="73" t="str">
        <f t="shared" si="6"/>
        <v/>
      </c>
      <c r="EH12" s="73" t="str">
        <f t="shared" si="6"/>
        <v/>
      </c>
      <c r="EI12" s="73" t="str">
        <f t="shared" si="6"/>
        <v/>
      </c>
      <c r="EJ12" s="73" t="str">
        <f t="shared" si="6"/>
        <v/>
      </c>
      <c r="EK12" s="73" t="str">
        <f t="shared" si="6"/>
        <v/>
      </c>
      <c r="EL12" s="73" t="str">
        <f t="shared" si="6"/>
        <v/>
      </c>
      <c r="EM12" s="73" t="str">
        <f t="shared" si="6"/>
        <v/>
      </c>
      <c r="EN12" s="73" t="str">
        <f t="shared" si="6"/>
        <v/>
      </c>
      <c r="EO12" s="73" t="str">
        <f t="shared" si="6"/>
        <v/>
      </c>
      <c r="EP12" s="73" t="str">
        <f t="shared" si="6"/>
        <v/>
      </c>
      <c r="EQ12" s="73" t="str">
        <f t="shared" si="6"/>
        <v/>
      </c>
      <c r="ER12" s="73" t="str">
        <f t="shared" si="6"/>
        <v/>
      </c>
      <c r="ES12" s="73" t="str">
        <f t="shared" si="6"/>
        <v/>
      </c>
    </row>
    <row r="13" outlineLevel="1">
      <c r="A13" s="33"/>
      <c r="B13" s="58">
        <v>5.0</v>
      </c>
      <c r="C13" s="74" t="s">
        <v>137</v>
      </c>
      <c r="D13" s="68"/>
      <c r="E13" s="70">
        <f>E12-200</f>
        <v>45213</v>
      </c>
      <c r="F13" s="70">
        <f t="shared" si="4"/>
        <v>45563</v>
      </c>
      <c r="G13" s="71">
        <v>350.0</v>
      </c>
      <c r="H13" s="72">
        <v>0.75</v>
      </c>
      <c r="I13" s="73" t="str">
        <f t="shared" ref="I13:ES13" si="7">IF(AND($E13&lt;=I$6,$F13&gt;=I$6),"X","")</f>
        <v>X</v>
      </c>
      <c r="J13" s="73" t="str">
        <f t="shared" si="7"/>
        <v>X</v>
      </c>
      <c r="K13" s="73" t="str">
        <f t="shared" si="7"/>
        <v>X</v>
      </c>
      <c r="L13" s="73" t="str">
        <f t="shared" si="7"/>
        <v>X</v>
      </c>
      <c r="M13" s="73" t="str">
        <f t="shared" si="7"/>
        <v>X</v>
      </c>
      <c r="N13" s="73" t="str">
        <f t="shared" si="7"/>
        <v>X</v>
      </c>
      <c r="O13" s="73" t="str">
        <f t="shared" si="7"/>
        <v>X</v>
      </c>
      <c r="P13" s="73" t="str">
        <f t="shared" si="7"/>
        <v>X</v>
      </c>
      <c r="Q13" s="73" t="str">
        <f t="shared" si="7"/>
        <v>X</v>
      </c>
      <c r="R13" s="73" t="str">
        <f t="shared" si="7"/>
        <v>X</v>
      </c>
      <c r="S13" s="73" t="str">
        <f t="shared" si="7"/>
        <v>X</v>
      </c>
      <c r="T13" s="73" t="str">
        <f t="shared" si="7"/>
        <v>X</v>
      </c>
      <c r="U13" s="73" t="str">
        <f t="shared" si="7"/>
        <v>X</v>
      </c>
      <c r="V13" s="73" t="str">
        <f t="shared" si="7"/>
        <v>X</v>
      </c>
      <c r="W13" s="73" t="str">
        <f t="shared" si="7"/>
        <v>X</v>
      </c>
      <c r="X13" s="73" t="str">
        <f t="shared" si="7"/>
        <v>X</v>
      </c>
      <c r="Y13" s="73" t="str">
        <f t="shared" si="7"/>
        <v>X</v>
      </c>
      <c r="Z13" s="73" t="str">
        <f t="shared" si="7"/>
        <v>X</v>
      </c>
      <c r="AA13" s="73" t="str">
        <f t="shared" si="7"/>
        <v>X</v>
      </c>
      <c r="AB13" s="73" t="str">
        <f t="shared" si="7"/>
        <v>X</v>
      </c>
      <c r="AC13" s="73" t="str">
        <f t="shared" si="7"/>
        <v>X</v>
      </c>
      <c r="AD13" s="73" t="str">
        <f t="shared" si="7"/>
        <v>X</v>
      </c>
      <c r="AE13" s="73" t="str">
        <f t="shared" si="7"/>
        <v/>
      </c>
      <c r="AF13" s="73" t="str">
        <f t="shared" si="7"/>
        <v/>
      </c>
      <c r="AG13" s="73" t="str">
        <f t="shared" si="7"/>
        <v/>
      </c>
      <c r="AH13" s="73" t="str">
        <f t="shared" si="7"/>
        <v/>
      </c>
      <c r="AI13" s="73" t="str">
        <f t="shared" si="7"/>
        <v/>
      </c>
      <c r="AJ13" s="73" t="str">
        <f t="shared" si="7"/>
        <v/>
      </c>
      <c r="AK13" s="73" t="str">
        <f t="shared" si="7"/>
        <v/>
      </c>
      <c r="AL13" s="73" t="str">
        <f t="shared" si="7"/>
        <v/>
      </c>
      <c r="AM13" s="73" t="str">
        <f t="shared" si="7"/>
        <v/>
      </c>
      <c r="AN13" s="73" t="str">
        <f t="shared" si="7"/>
        <v/>
      </c>
      <c r="AO13" s="73" t="str">
        <f t="shared" si="7"/>
        <v/>
      </c>
      <c r="AP13" s="73" t="str">
        <f t="shared" si="7"/>
        <v/>
      </c>
      <c r="AQ13" s="73" t="str">
        <f t="shared" si="7"/>
        <v/>
      </c>
      <c r="AR13" s="73" t="str">
        <f t="shared" si="7"/>
        <v/>
      </c>
      <c r="AS13" s="73" t="str">
        <f t="shared" si="7"/>
        <v/>
      </c>
      <c r="AT13" s="73" t="str">
        <f t="shared" si="7"/>
        <v/>
      </c>
      <c r="AU13" s="73" t="str">
        <f t="shared" si="7"/>
        <v/>
      </c>
      <c r="AV13" s="73" t="str">
        <f t="shared" si="7"/>
        <v/>
      </c>
      <c r="AW13" s="73" t="str">
        <f t="shared" si="7"/>
        <v/>
      </c>
      <c r="AX13" s="73" t="str">
        <f t="shared" si="7"/>
        <v/>
      </c>
      <c r="AY13" s="73" t="str">
        <f t="shared" si="7"/>
        <v/>
      </c>
      <c r="AZ13" s="73" t="str">
        <f t="shared" si="7"/>
        <v/>
      </c>
      <c r="BA13" s="73" t="str">
        <f t="shared" si="7"/>
        <v/>
      </c>
      <c r="BB13" s="73" t="str">
        <f t="shared" si="7"/>
        <v/>
      </c>
      <c r="BC13" s="73" t="str">
        <f t="shared" si="7"/>
        <v/>
      </c>
      <c r="BD13" s="73" t="str">
        <f t="shared" si="7"/>
        <v/>
      </c>
      <c r="BE13" s="73" t="str">
        <f t="shared" si="7"/>
        <v/>
      </c>
      <c r="BF13" s="73" t="str">
        <f t="shared" si="7"/>
        <v/>
      </c>
      <c r="BG13" s="73" t="str">
        <f t="shared" si="7"/>
        <v/>
      </c>
      <c r="BH13" s="73" t="str">
        <f t="shared" si="7"/>
        <v/>
      </c>
      <c r="BI13" s="73" t="str">
        <f t="shared" si="7"/>
        <v/>
      </c>
      <c r="BJ13" s="73" t="str">
        <f t="shared" si="7"/>
        <v/>
      </c>
      <c r="BK13" s="73" t="str">
        <f t="shared" si="7"/>
        <v/>
      </c>
      <c r="BL13" s="73" t="str">
        <f t="shared" si="7"/>
        <v/>
      </c>
      <c r="BM13" s="73" t="str">
        <f t="shared" si="7"/>
        <v/>
      </c>
      <c r="BN13" s="73" t="str">
        <f t="shared" si="7"/>
        <v/>
      </c>
      <c r="BO13" s="73" t="str">
        <f t="shared" si="7"/>
        <v/>
      </c>
      <c r="BP13" s="73" t="str">
        <f t="shared" si="7"/>
        <v/>
      </c>
      <c r="BQ13" s="73" t="str">
        <f t="shared" si="7"/>
        <v/>
      </c>
      <c r="BR13" s="73" t="str">
        <f t="shared" si="7"/>
        <v/>
      </c>
      <c r="BS13" s="73" t="str">
        <f t="shared" si="7"/>
        <v/>
      </c>
      <c r="BT13" s="73" t="str">
        <f t="shared" si="7"/>
        <v/>
      </c>
      <c r="BU13" s="73" t="str">
        <f t="shared" si="7"/>
        <v/>
      </c>
      <c r="BV13" s="73" t="str">
        <f t="shared" si="7"/>
        <v/>
      </c>
      <c r="BW13" s="73" t="str">
        <f t="shared" si="7"/>
        <v/>
      </c>
      <c r="BX13" s="73" t="str">
        <f t="shared" si="7"/>
        <v/>
      </c>
      <c r="BY13" s="73" t="str">
        <f t="shared" si="7"/>
        <v/>
      </c>
      <c r="BZ13" s="73" t="str">
        <f t="shared" si="7"/>
        <v/>
      </c>
      <c r="CA13" s="73" t="str">
        <f t="shared" si="7"/>
        <v/>
      </c>
      <c r="CB13" s="73" t="str">
        <f t="shared" si="7"/>
        <v/>
      </c>
      <c r="CC13" s="73" t="str">
        <f t="shared" si="7"/>
        <v/>
      </c>
      <c r="CD13" s="73" t="str">
        <f t="shared" si="7"/>
        <v/>
      </c>
      <c r="CE13" s="73" t="str">
        <f t="shared" si="7"/>
        <v/>
      </c>
      <c r="CF13" s="73" t="str">
        <f t="shared" si="7"/>
        <v/>
      </c>
      <c r="CG13" s="73" t="str">
        <f t="shared" si="7"/>
        <v/>
      </c>
      <c r="CH13" s="73" t="str">
        <f t="shared" si="7"/>
        <v/>
      </c>
      <c r="CI13" s="73" t="str">
        <f t="shared" si="7"/>
        <v/>
      </c>
      <c r="CJ13" s="73" t="str">
        <f t="shared" si="7"/>
        <v/>
      </c>
      <c r="CK13" s="73" t="str">
        <f t="shared" si="7"/>
        <v/>
      </c>
      <c r="CL13" s="73" t="str">
        <f t="shared" si="7"/>
        <v/>
      </c>
      <c r="CM13" s="73" t="str">
        <f t="shared" si="7"/>
        <v/>
      </c>
      <c r="CN13" s="73" t="str">
        <f t="shared" si="7"/>
        <v/>
      </c>
      <c r="CO13" s="73" t="str">
        <f t="shared" si="7"/>
        <v/>
      </c>
      <c r="CP13" s="73" t="str">
        <f t="shared" si="7"/>
        <v/>
      </c>
      <c r="CQ13" s="73" t="str">
        <f t="shared" si="7"/>
        <v/>
      </c>
      <c r="CR13" s="73" t="str">
        <f t="shared" si="7"/>
        <v/>
      </c>
      <c r="CS13" s="73" t="str">
        <f t="shared" si="7"/>
        <v/>
      </c>
      <c r="CT13" s="73" t="str">
        <f t="shared" si="7"/>
        <v/>
      </c>
      <c r="CU13" s="73" t="str">
        <f t="shared" si="7"/>
        <v/>
      </c>
      <c r="CV13" s="73" t="str">
        <f t="shared" si="7"/>
        <v/>
      </c>
      <c r="CW13" s="73" t="str">
        <f t="shared" si="7"/>
        <v/>
      </c>
      <c r="CX13" s="73" t="str">
        <f t="shared" si="7"/>
        <v/>
      </c>
      <c r="CY13" s="73" t="str">
        <f t="shared" si="7"/>
        <v/>
      </c>
      <c r="CZ13" s="73" t="str">
        <f t="shared" si="7"/>
        <v/>
      </c>
      <c r="DA13" s="73" t="str">
        <f t="shared" si="7"/>
        <v/>
      </c>
      <c r="DB13" s="73" t="str">
        <f t="shared" si="7"/>
        <v/>
      </c>
      <c r="DC13" s="73" t="str">
        <f t="shared" si="7"/>
        <v/>
      </c>
      <c r="DD13" s="73" t="str">
        <f t="shared" si="7"/>
        <v/>
      </c>
      <c r="DE13" s="73" t="str">
        <f t="shared" si="7"/>
        <v/>
      </c>
      <c r="DF13" s="73" t="str">
        <f t="shared" si="7"/>
        <v/>
      </c>
      <c r="DG13" s="73" t="str">
        <f t="shared" si="7"/>
        <v/>
      </c>
      <c r="DH13" s="73" t="str">
        <f t="shared" si="7"/>
        <v/>
      </c>
      <c r="DI13" s="73" t="str">
        <f t="shared" si="7"/>
        <v/>
      </c>
      <c r="DJ13" s="73" t="str">
        <f t="shared" si="7"/>
        <v/>
      </c>
      <c r="DK13" s="73" t="str">
        <f t="shared" si="7"/>
        <v/>
      </c>
      <c r="DL13" s="73" t="str">
        <f t="shared" si="7"/>
        <v/>
      </c>
      <c r="DM13" s="73" t="str">
        <f t="shared" si="7"/>
        <v/>
      </c>
      <c r="DN13" s="73" t="str">
        <f t="shared" si="7"/>
        <v/>
      </c>
      <c r="DO13" s="73" t="str">
        <f t="shared" si="7"/>
        <v/>
      </c>
      <c r="DP13" s="73" t="str">
        <f t="shared" si="7"/>
        <v/>
      </c>
      <c r="DQ13" s="73" t="str">
        <f t="shared" si="7"/>
        <v/>
      </c>
      <c r="DR13" s="73" t="str">
        <f t="shared" si="7"/>
        <v/>
      </c>
      <c r="DS13" s="73" t="str">
        <f t="shared" si="7"/>
        <v/>
      </c>
      <c r="DT13" s="73" t="str">
        <f t="shared" si="7"/>
        <v/>
      </c>
      <c r="DU13" s="73" t="str">
        <f t="shared" si="7"/>
        <v/>
      </c>
      <c r="DV13" s="73" t="str">
        <f t="shared" si="7"/>
        <v/>
      </c>
      <c r="DW13" s="73" t="str">
        <f t="shared" si="7"/>
        <v/>
      </c>
      <c r="DX13" s="73" t="str">
        <f t="shared" si="7"/>
        <v/>
      </c>
      <c r="DY13" s="73" t="str">
        <f t="shared" si="7"/>
        <v/>
      </c>
      <c r="DZ13" s="73" t="str">
        <f t="shared" si="7"/>
        <v/>
      </c>
      <c r="EA13" s="73" t="str">
        <f t="shared" si="7"/>
        <v/>
      </c>
      <c r="EB13" s="73" t="str">
        <f t="shared" si="7"/>
        <v/>
      </c>
      <c r="EC13" s="73" t="str">
        <f t="shared" si="7"/>
        <v/>
      </c>
      <c r="ED13" s="73" t="str">
        <f t="shared" si="7"/>
        <v/>
      </c>
      <c r="EE13" s="73" t="str">
        <f t="shared" si="7"/>
        <v/>
      </c>
      <c r="EF13" s="73" t="str">
        <f t="shared" si="7"/>
        <v/>
      </c>
      <c r="EG13" s="73" t="str">
        <f t="shared" si="7"/>
        <v/>
      </c>
      <c r="EH13" s="73" t="str">
        <f t="shared" si="7"/>
        <v/>
      </c>
      <c r="EI13" s="73" t="str">
        <f t="shared" si="7"/>
        <v/>
      </c>
      <c r="EJ13" s="73" t="str">
        <f t="shared" si="7"/>
        <v/>
      </c>
      <c r="EK13" s="73" t="str">
        <f t="shared" si="7"/>
        <v/>
      </c>
      <c r="EL13" s="73" t="str">
        <f t="shared" si="7"/>
        <v/>
      </c>
      <c r="EM13" s="73" t="str">
        <f t="shared" si="7"/>
        <v/>
      </c>
      <c r="EN13" s="73" t="str">
        <f t="shared" si="7"/>
        <v/>
      </c>
      <c r="EO13" s="73" t="str">
        <f t="shared" si="7"/>
        <v/>
      </c>
      <c r="EP13" s="73" t="str">
        <f t="shared" si="7"/>
        <v/>
      </c>
      <c r="EQ13" s="73" t="str">
        <f t="shared" si="7"/>
        <v/>
      </c>
      <c r="ER13" s="73" t="str">
        <f t="shared" si="7"/>
        <v/>
      </c>
      <c r="ES13" s="73" t="str">
        <f t="shared" si="7"/>
        <v/>
      </c>
    </row>
    <row r="14" outlineLevel="1">
      <c r="A14" s="33"/>
      <c r="B14" s="58"/>
      <c r="C14" s="75" t="s">
        <v>138</v>
      </c>
      <c r="D14" s="68"/>
      <c r="E14" s="70">
        <v>45413.0</v>
      </c>
      <c r="F14" s="70">
        <f t="shared" si="4"/>
        <v>45688</v>
      </c>
      <c r="G14" s="71">
        <v>275.0</v>
      </c>
      <c r="H14" s="72">
        <v>0.9</v>
      </c>
      <c r="I14" s="73" t="str">
        <f t="shared" ref="I14:ES14" si="8">IF(AND($E14&lt;=I$6,$F14&gt;=I$6),"X","")</f>
        <v>X</v>
      </c>
      <c r="J14" s="73" t="str">
        <f t="shared" si="8"/>
        <v>X</v>
      </c>
      <c r="K14" s="73" t="str">
        <f t="shared" si="8"/>
        <v>X</v>
      </c>
      <c r="L14" s="73" t="str">
        <f t="shared" si="8"/>
        <v>X</v>
      </c>
      <c r="M14" s="73" t="str">
        <f t="shared" si="8"/>
        <v>X</v>
      </c>
      <c r="N14" s="73" t="str">
        <f t="shared" si="8"/>
        <v>X</v>
      </c>
      <c r="O14" s="73" t="str">
        <f t="shared" si="8"/>
        <v>X</v>
      </c>
      <c r="P14" s="73" t="str">
        <f t="shared" si="8"/>
        <v>X</v>
      </c>
      <c r="Q14" s="73" t="str">
        <f t="shared" si="8"/>
        <v>X</v>
      </c>
      <c r="R14" s="73" t="str">
        <f t="shared" si="8"/>
        <v>X</v>
      </c>
      <c r="S14" s="73" t="str">
        <f t="shared" si="8"/>
        <v>X</v>
      </c>
      <c r="T14" s="73" t="str">
        <f t="shared" si="8"/>
        <v>X</v>
      </c>
      <c r="U14" s="73" t="str">
        <f t="shared" si="8"/>
        <v>X</v>
      </c>
      <c r="V14" s="73" t="str">
        <f t="shared" si="8"/>
        <v>X</v>
      </c>
      <c r="W14" s="73" t="str">
        <f t="shared" si="8"/>
        <v>X</v>
      </c>
      <c r="X14" s="73" t="str">
        <f t="shared" si="8"/>
        <v>X</v>
      </c>
      <c r="Y14" s="73" t="str">
        <f t="shared" si="8"/>
        <v>X</v>
      </c>
      <c r="Z14" s="73" t="str">
        <f t="shared" si="8"/>
        <v>X</v>
      </c>
      <c r="AA14" s="73" t="str">
        <f t="shared" si="8"/>
        <v>X</v>
      </c>
      <c r="AB14" s="73" t="str">
        <f t="shared" si="8"/>
        <v>X</v>
      </c>
      <c r="AC14" s="73" t="str">
        <f t="shared" si="8"/>
        <v>X</v>
      </c>
      <c r="AD14" s="73" t="str">
        <f t="shared" si="8"/>
        <v>X</v>
      </c>
      <c r="AE14" s="73" t="str">
        <f t="shared" si="8"/>
        <v>X</v>
      </c>
      <c r="AF14" s="73" t="str">
        <f t="shared" si="8"/>
        <v>X</v>
      </c>
      <c r="AG14" s="73" t="str">
        <f t="shared" si="8"/>
        <v>X</v>
      </c>
      <c r="AH14" s="73" t="str">
        <f t="shared" si="8"/>
        <v>X</v>
      </c>
      <c r="AI14" s="73" t="str">
        <f t="shared" si="8"/>
        <v>X</v>
      </c>
      <c r="AJ14" s="73" t="str">
        <f t="shared" si="8"/>
        <v>X</v>
      </c>
      <c r="AK14" s="73" t="str">
        <f t="shared" si="8"/>
        <v>X</v>
      </c>
      <c r="AL14" s="73" t="str">
        <f t="shared" si="8"/>
        <v>X</v>
      </c>
      <c r="AM14" s="73" t="str">
        <f t="shared" si="8"/>
        <v>X</v>
      </c>
      <c r="AN14" s="73" t="str">
        <f t="shared" si="8"/>
        <v>X</v>
      </c>
      <c r="AO14" s="73" t="str">
        <f t="shared" si="8"/>
        <v>X</v>
      </c>
      <c r="AP14" s="73" t="str">
        <f t="shared" si="8"/>
        <v>X</v>
      </c>
      <c r="AQ14" s="73" t="str">
        <f t="shared" si="8"/>
        <v>X</v>
      </c>
      <c r="AR14" s="73" t="str">
        <f t="shared" si="8"/>
        <v>X</v>
      </c>
      <c r="AS14" s="73" t="str">
        <f t="shared" si="8"/>
        <v>X</v>
      </c>
      <c r="AT14" s="73" t="str">
        <f t="shared" si="8"/>
        <v>X</v>
      </c>
      <c r="AU14" s="73" t="str">
        <f t="shared" si="8"/>
        <v>X</v>
      </c>
      <c r="AV14" s="73" t="str">
        <f t="shared" si="8"/>
        <v>X</v>
      </c>
      <c r="AW14" s="73" t="str">
        <f t="shared" si="8"/>
        <v/>
      </c>
      <c r="AX14" s="73" t="str">
        <f t="shared" si="8"/>
        <v/>
      </c>
      <c r="AY14" s="73" t="str">
        <f t="shared" si="8"/>
        <v/>
      </c>
      <c r="AZ14" s="73" t="str">
        <f t="shared" si="8"/>
        <v/>
      </c>
      <c r="BA14" s="73" t="str">
        <f t="shared" si="8"/>
        <v/>
      </c>
      <c r="BB14" s="73" t="str">
        <f t="shared" si="8"/>
        <v/>
      </c>
      <c r="BC14" s="73" t="str">
        <f t="shared" si="8"/>
        <v/>
      </c>
      <c r="BD14" s="73" t="str">
        <f t="shared" si="8"/>
        <v/>
      </c>
      <c r="BE14" s="73" t="str">
        <f t="shared" si="8"/>
        <v/>
      </c>
      <c r="BF14" s="73" t="str">
        <f t="shared" si="8"/>
        <v/>
      </c>
      <c r="BG14" s="73" t="str">
        <f t="shared" si="8"/>
        <v/>
      </c>
      <c r="BH14" s="73" t="str">
        <f t="shared" si="8"/>
        <v/>
      </c>
      <c r="BI14" s="73" t="str">
        <f t="shared" si="8"/>
        <v/>
      </c>
      <c r="BJ14" s="73" t="str">
        <f t="shared" si="8"/>
        <v/>
      </c>
      <c r="BK14" s="73" t="str">
        <f t="shared" si="8"/>
        <v/>
      </c>
      <c r="BL14" s="73" t="str">
        <f t="shared" si="8"/>
        <v/>
      </c>
      <c r="BM14" s="73" t="str">
        <f t="shared" si="8"/>
        <v/>
      </c>
      <c r="BN14" s="73" t="str">
        <f t="shared" si="8"/>
        <v/>
      </c>
      <c r="BO14" s="73" t="str">
        <f t="shared" si="8"/>
        <v/>
      </c>
      <c r="BP14" s="73" t="str">
        <f t="shared" si="8"/>
        <v/>
      </c>
      <c r="BQ14" s="73" t="str">
        <f t="shared" si="8"/>
        <v/>
      </c>
      <c r="BR14" s="73" t="str">
        <f t="shared" si="8"/>
        <v/>
      </c>
      <c r="BS14" s="73" t="str">
        <f t="shared" si="8"/>
        <v/>
      </c>
      <c r="BT14" s="73" t="str">
        <f t="shared" si="8"/>
        <v/>
      </c>
      <c r="BU14" s="73" t="str">
        <f t="shared" si="8"/>
        <v/>
      </c>
      <c r="BV14" s="73" t="str">
        <f t="shared" si="8"/>
        <v/>
      </c>
      <c r="BW14" s="73" t="str">
        <f t="shared" si="8"/>
        <v/>
      </c>
      <c r="BX14" s="73" t="str">
        <f t="shared" si="8"/>
        <v/>
      </c>
      <c r="BY14" s="73" t="str">
        <f t="shared" si="8"/>
        <v/>
      </c>
      <c r="BZ14" s="73" t="str">
        <f t="shared" si="8"/>
        <v/>
      </c>
      <c r="CA14" s="73" t="str">
        <f t="shared" si="8"/>
        <v/>
      </c>
      <c r="CB14" s="73" t="str">
        <f t="shared" si="8"/>
        <v/>
      </c>
      <c r="CC14" s="73" t="str">
        <f t="shared" si="8"/>
        <v/>
      </c>
      <c r="CD14" s="73" t="str">
        <f t="shared" si="8"/>
        <v/>
      </c>
      <c r="CE14" s="73" t="str">
        <f t="shared" si="8"/>
        <v/>
      </c>
      <c r="CF14" s="73" t="str">
        <f t="shared" si="8"/>
        <v/>
      </c>
      <c r="CG14" s="73" t="str">
        <f t="shared" si="8"/>
        <v/>
      </c>
      <c r="CH14" s="73" t="str">
        <f t="shared" si="8"/>
        <v/>
      </c>
      <c r="CI14" s="73" t="str">
        <f t="shared" si="8"/>
        <v/>
      </c>
      <c r="CJ14" s="73" t="str">
        <f t="shared" si="8"/>
        <v/>
      </c>
      <c r="CK14" s="73" t="str">
        <f t="shared" si="8"/>
        <v/>
      </c>
      <c r="CL14" s="73" t="str">
        <f t="shared" si="8"/>
        <v/>
      </c>
      <c r="CM14" s="73" t="str">
        <f t="shared" si="8"/>
        <v/>
      </c>
      <c r="CN14" s="73" t="str">
        <f t="shared" si="8"/>
        <v/>
      </c>
      <c r="CO14" s="73" t="str">
        <f t="shared" si="8"/>
        <v/>
      </c>
      <c r="CP14" s="73" t="str">
        <f t="shared" si="8"/>
        <v/>
      </c>
      <c r="CQ14" s="73" t="str">
        <f t="shared" si="8"/>
        <v/>
      </c>
      <c r="CR14" s="73" t="str">
        <f t="shared" si="8"/>
        <v/>
      </c>
      <c r="CS14" s="73" t="str">
        <f t="shared" si="8"/>
        <v/>
      </c>
      <c r="CT14" s="73" t="str">
        <f t="shared" si="8"/>
        <v/>
      </c>
      <c r="CU14" s="73" t="str">
        <f t="shared" si="8"/>
        <v/>
      </c>
      <c r="CV14" s="73" t="str">
        <f t="shared" si="8"/>
        <v/>
      </c>
      <c r="CW14" s="73" t="str">
        <f t="shared" si="8"/>
        <v/>
      </c>
      <c r="CX14" s="73" t="str">
        <f t="shared" si="8"/>
        <v/>
      </c>
      <c r="CY14" s="73" t="str">
        <f t="shared" si="8"/>
        <v/>
      </c>
      <c r="CZ14" s="73" t="str">
        <f t="shared" si="8"/>
        <v/>
      </c>
      <c r="DA14" s="73" t="str">
        <f t="shared" si="8"/>
        <v/>
      </c>
      <c r="DB14" s="73" t="str">
        <f t="shared" si="8"/>
        <v/>
      </c>
      <c r="DC14" s="73" t="str">
        <f t="shared" si="8"/>
        <v/>
      </c>
      <c r="DD14" s="73" t="str">
        <f t="shared" si="8"/>
        <v/>
      </c>
      <c r="DE14" s="73" t="str">
        <f t="shared" si="8"/>
        <v/>
      </c>
      <c r="DF14" s="73" t="str">
        <f t="shared" si="8"/>
        <v/>
      </c>
      <c r="DG14" s="73" t="str">
        <f t="shared" si="8"/>
        <v/>
      </c>
      <c r="DH14" s="73" t="str">
        <f t="shared" si="8"/>
        <v/>
      </c>
      <c r="DI14" s="73" t="str">
        <f t="shared" si="8"/>
        <v/>
      </c>
      <c r="DJ14" s="73" t="str">
        <f t="shared" si="8"/>
        <v/>
      </c>
      <c r="DK14" s="73" t="str">
        <f t="shared" si="8"/>
        <v/>
      </c>
      <c r="DL14" s="73" t="str">
        <f t="shared" si="8"/>
        <v/>
      </c>
      <c r="DM14" s="73" t="str">
        <f t="shared" si="8"/>
        <v/>
      </c>
      <c r="DN14" s="73" t="str">
        <f t="shared" si="8"/>
        <v/>
      </c>
      <c r="DO14" s="73" t="str">
        <f t="shared" si="8"/>
        <v/>
      </c>
      <c r="DP14" s="73" t="str">
        <f t="shared" si="8"/>
        <v/>
      </c>
      <c r="DQ14" s="73" t="str">
        <f t="shared" si="8"/>
        <v/>
      </c>
      <c r="DR14" s="73" t="str">
        <f t="shared" si="8"/>
        <v/>
      </c>
      <c r="DS14" s="73" t="str">
        <f t="shared" si="8"/>
        <v/>
      </c>
      <c r="DT14" s="73" t="str">
        <f t="shared" si="8"/>
        <v/>
      </c>
      <c r="DU14" s="73" t="str">
        <f t="shared" si="8"/>
        <v/>
      </c>
      <c r="DV14" s="73" t="str">
        <f t="shared" si="8"/>
        <v/>
      </c>
      <c r="DW14" s="73" t="str">
        <f t="shared" si="8"/>
        <v/>
      </c>
      <c r="DX14" s="73" t="str">
        <f t="shared" si="8"/>
        <v/>
      </c>
      <c r="DY14" s="73" t="str">
        <f t="shared" si="8"/>
        <v/>
      </c>
      <c r="DZ14" s="73" t="str">
        <f t="shared" si="8"/>
        <v/>
      </c>
      <c r="EA14" s="73" t="str">
        <f t="shared" si="8"/>
        <v/>
      </c>
      <c r="EB14" s="73" t="str">
        <f t="shared" si="8"/>
        <v/>
      </c>
      <c r="EC14" s="73" t="str">
        <f t="shared" si="8"/>
        <v/>
      </c>
      <c r="ED14" s="73" t="str">
        <f t="shared" si="8"/>
        <v/>
      </c>
      <c r="EE14" s="73" t="str">
        <f t="shared" si="8"/>
        <v/>
      </c>
      <c r="EF14" s="73" t="str">
        <f t="shared" si="8"/>
        <v/>
      </c>
      <c r="EG14" s="73" t="str">
        <f t="shared" si="8"/>
        <v/>
      </c>
      <c r="EH14" s="73" t="str">
        <f t="shared" si="8"/>
        <v/>
      </c>
      <c r="EI14" s="73" t="str">
        <f t="shared" si="8"/>
        <v/>
      </c>
      <c r="EJ14" s="73" t="str">
        <f t="shared" si="8"/>
        <v/>
      </c>
      <c r="EK14" s="73" t="str">
        <f t="shared" si="8"/>
        <v/>
      </c>
      <c r="EL14" s="73" t="str">
        <f t="shared" si="8"/>
        <v/>
      </c>
      <c r="EM14" s="73" t="str">
        <f t="shared" si="8"/>
        <v/>
      </c>
      <c r="EN14" s="73" t="str">
        <f t="shared" si="8"/>
        <v/>
      </c>
      <c r="EO14" s="73" t="str">
        <f t="shared" si="8"/>
        <v/>
      </c>
      <c r="EP14" s="73" t="str">
        <f t="shared" si="8"/>
        <v/>
      </c>
      <c r="EQ14" s="73" t="str">
        <f t="shared" si="8"/>
        <v/>
      </c>
      <c r="ER14" s="73" t="str">
        <f t="shared" si="8"/>
        <v/>
      </c>
      <c r="ES14" s="73" t="str">
        <f t="shared" si="8"/>
        <v/>
      </c>
    </row>
    <row r="15" outlineLevel="1">
      <c r="A15" s="33"/>
      <c r="B15" s="58"/>
      <c r="C15" s="75" t="s">
        <v>139</v>
      </c>
      <c r="D15" s="68"/>
      <c r="E15" s="70">
        <v>45413.0</v>
      </c>
      <c r="F15" s="70">
        <f t="shared" si="4"/>
        <v>45688</v>
      </c>
      <c r="G15" s="71">
        <v>275.0</v>
      </c>
      <c r="H15" s="72">
        <v>0.9</v>
      </c>
      <c r="I15" s="73" t="str">
        <f t="shared" ref="I15:ES15" si="9">IF(AND($E15&lt;=I$6,$F15&gt;=I$6),"X","")</f>
        <v>X</v>
      </c>
      <c r="J15" s="73" t="str">
        <f t="shared" si="9"/>
        <v>X</v>
      </c>
      <c r="K15" s="73" t="str">
        <f t="shared" si="9"/>
        <v>X</v>
      </c>
      <c r="L15" s="73" t="str">
        <f t="shared" si="9"/>
        <v>X</v>
      </c>
      <c r="M15" s="73" t="str">
        <f t="shared" si="9"/>
        <v>X</v>
      </c>
      <c r="N15" s="73" t="str">
        <f t="shared" si="9"/>
        <v>X</v>
      </c>
      <c r="O15" s="73" t="str">
        <f t="shared" si="9"/>
        <v>X</v>
      </c>
      <c r="P15" s="73" t="str">
        <f t="shared" si="9"/>
        <v>X</v>
      </c>
      <c r="Q15" s="73" t="str">
        <f t="shared" si="9"/>
        <v>X</v>
      </c>
      <c r="R15" s="73" t="str">
        <f t="shared" si="9"/>
        <v>X</v>
      </c>
      <c r="S15" s="73" t="str">
        <f t="shared" si="9"/>
        <v>X</v>
      </c>
      <c r="T15" s="73" t="str">
        <f t="shared" si="9"/>
        <v>X</v>
      </c>
      <c r="U15" s="73" t="str">
        <f t="shared" si="9"/>
        <v>X</v>
      </c>
      <c r="V15" s="73" t="str">
        <f t="shared" si="9"/>
        <v>X</v>
      </c>
      <c r="W15" s="73" t="str">
        <f t="shared" si="9"/>
        <v>X</v>
      </c>
      <c r="X15" s="73" t="str">
        <f t="shared" si="9"/>
        <v>X</v>
      </c>
      <c r="Y15" s="73" t="str">
        <f t="shared" si="9"/>
        <v>X</v>
      </c>
      <c r="Z15" s="73" t="str">
        <f t="shared" si="9"/>
        <v>X</v>
      </c>
      <c r="AA15" s="73" t="str">
        <f t="shared" si="9"/>
        <v>X</v>
      </c>
      <c r="AB15" s="73" t="str">
        <f t="shared" si="9"/>
        <v>X</v>
      </c>
      <c r="AC15" s="73" t="str">
        <f t="shared" si="9"/>
        <v>X</v>
      </c>
      <c r="AD15" s="73" t="str">
        <f t="shared" si="9"/>
        <v>X</v>
      </c>
      <c r="AE15" s="73" t="str">
        <f t="shared" si="9"/>
        <v>X</v>
      </c>
      <c r="AF15" s="73" t="str">
        <f t="shared" si="9"/>
        <v>X</v>
      </c>
      <c r="AG15" s="73" t="str">
        <f t="shared" si="9"/>
        <v>X</v>
      </c>
      <c r="AH15" s="73" t="str">
        <f t="shared" si="9"/>
        <v>X</v>
      </c>
      <c r="AI15" s="73" t="str">
        <f t="shared" si="9"/>
        <v>X</v>
      </c>
      <c r="AJ15" s="73" t="str">
        <f t="shared" si="9"/>
        <v>X</v>
      </c>
      <c r="AK15" s="73" t="str">
        <f t="shared" si="9"/>
        <v>X</v>
      </c>
      <c r="AL15" s="73" t="str">
        <f t="shared" si="9"/>
        <v>X</v>
      </c>
      <c r="AM15" s="73" t="str">
        <f t="shared" si="9"/>
        <v>X</v>
      </c>
      <c r="AN15" s="73" t="str">
        <f t="shared" si="9"/>
        <v>X</v>
      </c>
      <c r="AO15" s="73" t="str">
        <f t="shared" si="9"/>
        <v>X</v>
      </c>
      <c r="AP15" s="73" t="str">
        <f t="shared" si="9"/>
        <v>X</v>
      </c>
      <c r="AQ15" s="73" t="str">
        <f t="shared" si="9"/>
        <v>X</v>
      </c>
      <c r="AR15" s="73" t="str">
        <f t="shared" si="9"/>
        <v>X</v>
      </c>
      <c r="AS15" s="73" t="str">
        <f t="shared" si="9"/>
        <v>X</v>
      </c>
      <c r="AT15" s="73" t="str">
        <f t="shared" si="9"/>
        <v>X</v>
      </c>
      <c r="AU15" s="73" t="str">
        <f t="shared" si="9"/>
        <v>X</v>
      </c>
      <c r="AV15" s="73" t="str">
        <f t="shared" si="9"/>
        <v>X</v>
      </c>
      <c r="AW15" s="73" t="str">
        <f t="shared" si="9"/>
        <v/>
      </c>
      <c r="AX15" s="73" t="str">
        <f t="shared" si="9"/>
        <v/>
      </c>
      <c r="AY15" s="73" t="str">
        <f t="shared" si="9"/>
        <v/>
      </c>
      <c r="AZ15" s="73" t="str">
        <f t="shared" si="9"/>
        <v/>
      </c>
      <c r="BA15" s="73" t="str">
        <f t="shared" si="9"/>
        <v/>
      </c>
      <c r="BB15" s="73" t="str">
        <f t="shared" si="9"/>
        <v/>
      </c>
      <c r="BC15" s="73" t="str">
        <f t="shared" si="9"/>
        <v/>
      </c>
      <c r="BD15" s="73" t="str">
        <f t="shared" si="9"/>
        <v/>
      </c>
      <c r="BE15" s="73" t="str">
        <f t="shared" si="9"/>
        <v/>
      </c>
      <c r="BF15" s="73" t="str">
        <f t="shared" si="9"/>
        <v/>
      </c>
      <c r="BG15" s="73" t="str">
        <f t="shared" si="9"/>
        <v/>
      </c>
      <c r="BH15" s="73" t="str">
        <f t="shared" si="9"/>
        <v/>
      </c>
      <c r="BI15" s="73" t="str">
        <f t="shared" si="9"/>
        <v/>
      </c>
      <c r="BJ15" s="73" t="str">
        <f t="shared" si="9"/>
        <v/>
      </c>
      <c r="BK15" s="73" t="str">
        <f t="shared" si="9"/>
        <v/>
      </c>
      <c r="BL15" s="73" t="str">
        <f t="shared" si="9"/>
        <v/>
      </c>
      <c r="BM15" s="73" t="str">
        <f t="shared" si="9"/>
        <v/>
      </c>
      <c r="BN15" s="73" t="str">
        <f t="shared" si="9"/>
        <v/>
      </c>
      <c r="BO15" s="73" t="str">
        <f t="shared" si="9"/>
        <v/>
      </c>
      <c r="BP15" s="73" t="str">
        <f t="shared" si="9"/>
        <v/>
      </c>
      <c r="BQ15" s="73" t="str">
        <f t="shared" si="9"/>
        <v/>
      </c>
      <c r="BR15" s="73" t="str">
        <f t="shared" si="9"/>
        <v/>
      </c>
      <c r="BS15" s="73" t="str">
        <f t="shared" si="9"/>
        <v/>
      </c>
      <c r="BT15" s="73" t="str">
        <f t="shared" si="9"/>
        <v/>
      </c>
      <c r="BU15" s="73" t="str">
        <f t="shared" si="9"/>
        <v/>
      </c>
      <c r="BV15" s="73" t="str">
        <f t="shared" si="9"/>
        <v/>
      </c>
      <c r="BW15" s="73" t="str">
        <f t="shared" si="9"/>
        <v/>
      </c>
      <c r="BX15" s="73" t="str">
        <f t="shared" si="9"/>
        <v/>
      </c>
      <c r="BY15" s="73" t="str">
        <f t="shared" si="9"/>
        <v/>
      </c>
      <c r="BZ15" s="73" t="str">
        <f t="shared" si="9"/>
        <v/>
      </c>
      <c r="CA15" s="73" t="str">
        <f t="shared" si="9"/>
        <v/>
      </c>
      <c r="CB15" s="73" t="str">
        <f t="shared" si="9"/>
        <v/>
      </c>
      <c r="CC15" s="73" t="str">
        <f t="shared" si="9"/>
        <v/>
      </c>
      <c r="CD15" s="73" t="str">
        <f t="shared" si="9"/>
        <v/>
      </c>
      <c r="CE15" s="73" t="str">
        <f t="shared" si="9"/>
        <v/>
      </c>
      <c r="CF15" s="73" t="str">
        <f t="shared" si="9"/>
        <v/>
      </c>
      <c r="CG15" s="73" t="str">
        <f t="shared" si="9"/>
        <v/>
      </c>
      <c r="CH15" s="73" t="str">
        <f t="shared" si="9"/>
        <v/>
      </c>
      <c r="CI15" s="73" t="str">
        <f t="shared" si="9"/>
        <v/>
      </c>
      <c r="CJ15" s="73" t="str">
        <f t="shared" si="9"/>
        <v/>
      </c>
      <c r="CK15" s="73" t="str">
        <f t="shared" si="9"/>
        <v/>
      </c>
      <c r="CL15" s="73" t="str">
        <f t="shared" si="9"/>
        <v/>
      </c>
      <c r="CM15" s="73" t="str">
        <f t="shared" si="9"/>
        <v/>
      </c>
      <c r="CN15" s="73" t="str">
        <f t="shared" si="9"/>
        <v/>
      </c>
      <c r="CO15" s="73" t="str">
        <f t="shared" si="9"/>
        <v/>
      </c>
      <c r="CP15" s="73" t="str">
        <f t="shared" si="9"/>
        <v/>
      </c>
      <c r="CQ15" s="73" t="str">
        <f t="shared" si="9"/>
        <v/>
      </c>
      <c r="CR15" s="73" t="str">
        <f t="shared" si="9"/>
        <v/>
      </c>
      <c r="CS15" s="73" t="str">
        <f t="shared" si="9"/>
        <v/>
      </c>
      <c r="CT15" s="73" t="str">
        <f t="shared" si="9"/>
        <v/>
      </c>
      <c r="CU15" s="73" t="str">
        <f t="shared" si="9"/>
        <v/>
      </c>
      <c r="CV15" s="73" t="str">
        <f t="shared" si="9"/>
        <v/>
      </c>
      <c r="CW15" s="73" t="str">
        <f t="shared" si="9"/>
        <v/>
      </c>
      <c r="CX15" s="73" t="str">
        <f t="shared" si="9"/>
        <v/>
      </c>
      <c r="CY15" s="73" t="str">
        <f t="shared" si="9"/>
        <v/>
      </c>
      <c r="CZ15" s="73" t="str">
        <f t="shared" si="9"/>
        <v/>
      </c>
      <c r="DA15" s="73" t="str">
        <f t="shared" si="9"/>
        <v/>
      </c>
      <c r="DB15" s="73" t="str">
        <f t="shared" si="9"/>
        <v/>
      </c>
      <c r="DC15" s="73" t="str">
        <f t="shared" si="9"/>
        <v/>
      </c>
      <c r="DD15" s="73" t="str">
        <f t="shared" si="9"/>
        <v/>
      </c>
      <c r="DE15" s="73" t="str">
        <f t="shared" si="9"/>
        <v/>
      </c>
      <c r="DF15" s="73" t="str">
        <f t="shared" si="9"/>
        <v/>
      </c>
      <c r="DG15" s="73" t="str">
        <f t="shared" si="9"/>
        <v/>
      </c>
      <c r="DH15" s="73" t="str">
        <f t="shared" si="9"/>
        <v/>
      </c>
      <c r="DI15" s="73" t="str">
        <f t="shared" si="9"/>
        <v/>
      </c>
      <c r="DJ15" s="73" t="str">
        <f t="shared" si="9"/>
        <v/>
      </c>
      <c r="DK15" s="73" t="str">
        <f t="shared" si="9"/>
        <v/>
      </c>
      <c r="DL15" s="73" t="str">
        <f t="shared" si="9"/>
        <v/>
      </c>
      <c r="DM15" s="73" t="str">
        <f t="shared" si="9"/>
        <v/>
      </c>
      <c r="DN15" s="73" t="str">
        <f t="shared" si="9"/>
        <v/>
      </c>
      <c r="DO15" s="73" t="str">
        <f t="shared" si="9"/>
        <v/>
      </c>
      <c r="DP15" s="73" t="str">
        <f t="shared" si="9"/>
        <v/>
      </c>
      <c r="DQ15" s="73" t="str">
        <f t="shared" si="9"/>
        <v/>
      </c>
      <c r="DR15" s="73" t="str">
        <f t="shared" si="9"/>
        <v/>
      </c>
      <c r="DS15" s="73" t="str">
        <f t="shared" si="9"/>
        <v/>
      </c>
      <c r="DT15" s="73" t="str">
        <f t="shared" si="9"/>
        <v/>
      </c>
      <c r="DU15" s="73" t="str">
        <f t="shared" si="9"/>
        <v/>
      </c>
      <c r="DV15" s="73" t="str">
        <f t="shared" si="9"/>
        <v/>
      </c>
      <c r="DW15" s="73" t="str">
        <f t="shared" si="9"/>
        <v/>
      </c>
      <c r="DX15" s="73" t="str">
        <f t="shared" si="9"/>
        <v/>
      </c>
      <c r="DY15" s="73" t="str">
        <f t="shared" si="9"/>
        <v/>
      </c>
      <c r="DZ15" s="73" t="str">
        <f t="shared" si="9"/>
        <v/>
      </c>
      <c r="EA15" s="73" t="str">
        <f t="shared" si="9"/>
        <v/>
      </c>
      <c r="EB15" s="73" t="str">
        <f t="shared" si="9"/>
        <v/>
      </c>
      <c r="EC15" s="73" t="str">
        <f t="shared" si="9"/>
        <v/>
      </c>
      <c r="ED15" s="73" t="str">
        <f t="shared" si="9"/>
        <v/>
      </c>
      <c r="EE15" s="73" t="str">
        <f t="shared" si="9"/>
        <v/>
      </c>
      <c r="EF15" s="73" t="str">
        <f t="shared" si="9"/>
        <v/>
      </c>
      <c r="EG15" s="73" t="str">
        <f t="shared" si="9"/>
        <v/>
      </c>
      <c r="EH15" s="73" t="str">
        <f t="shared" si="9"/>
        <v/>
      </c>
      <c r="EI15" s="73" t="str">
        <f t="shared" si="9"/>
        <v/>
      </c>
      <c r="EJ15" s="73" t="str">
        <f t="shared" si="9"/>
        <v/>
      </c>
      <c r="EK15" s="73" t="str">
        <f t="shared" si="9"/>
        <v/>
      </c>
      <c r="EL15" s="73" t="str">
        <f t="shared" si="9"/>
        <v/>
      </c>
      <c r="EM15" s="73" t="str">
        <f t="shared" si="9"/>
        <v/>
      </c>
      <c r="EN15" s="73" t="str">
        <f t="shared" si="9"/>
        <v/>
      </c>
      <c r="EO15" s="73" t="str">
        <f t="shared" si="9"/>
        <v/>
      </c>
      <c r="EP15" s="73" t="str">
        <f t="shared" si="9"/>
        <v/>
      </c>
      <c r="EQ15" s="73" t="str">
        <f t="shared" si="9"/>
        <v/>
      </c>
      <c r="ER15" s="73" t="str">
        <f t="shared" si="9"/>
        <v/>
      </c>
      <c r="ES15" s="73" t="str">
        <f t="shared" si="9"/>
        <v/>
      </c>
    </row>
    <row r="16" outlineLevel="1">
      <c r="A16" s="33"/>
      <c r="B16" s="58"/>
      <c r="C16" s="75" t="s">
        <v>140</v>
      </c>
      <c r="D16" s="68"/>
      <c r="E16" s="70">
        <v>45413.0</v>
      </c>
      <c r="F16" s="70">
        <f t="shared" si="4"/>
        <v>45688</v>
      </c>
      <c r="G16" s="71">
        <v>275.0</v>
      </c>
      <c r="H16" s="72">
        <v>0.9</v>
      </c>
      <c r="I16" s="73" t="str">
        <f t="shared" ref="I16:ES16" si="10">IF(AND($E16&lt;=I$6,$F16&gt;=I$6),"X","")</f>
        <v>X</v>
      </c>
      <c r="J16" s="73" t="str">
        <f t="shared" si="10"/>
        <v>X</v>
      </c>
      <c r="K16" s="73" t="str">
        <f t="shared" si="10"/>
        <v>X</v>
      </c>
      <c r="L16" s="73" t="str">
        <f t="shared" si="10"/>
        <v>X</v>
      </c>
      <c r="M16" s="73" t="str">
        <f t="shared" si="10"/>
        <v>X</v>
      </c>
      <c r="N16" s="73" t="str">
        <f t="shared" si="10"/>
        <v>X</v>
      </c>
      <c r="O16" s="73" t="str">
        <f t="shared" si="10"/>
        <v>X</v>
      </c>
      <c r="P16" s="73" t="str">
        <f t="shared" si="10"/>
        <v>X</v>
      </c>
      <c r="Q16" s="73" t="str">
        <f t="shared" si="10"/>
        <v>X</v>
      </c>
      <c r="R16" s="73" t="str">
        <f t="shared" si="10"/>
        <v>X</v>
      </c>
      <c r="S16" s="73" t="str">
        <f t="shared" si="10"/>
        <v>X</v>
      </c>
      <c r="T16" s="73" t="str">
        <f t="shared" si="10"/>
        <v>X</v>
      </c>
      <c r="U16" s="73" t="str">
        <f t="shared" si="10"/>
        <v>X</v>
      </c>
      <c r="V16" s="73" t="str">
        <f t="shared" si="10"/>
        <v>X</v>
      </c>
      <c r="W16" s="73" t="str">
        <f t="shared" si="10"/>
        <v>X</v>
      </c>
      <c r="X16" s="73" t="str">
        <f t="shared" si="10"/>
        <v>X</v>
      </c>
      <c r="Y16" s="73" t="str">
        <f t="shared" si="10"/>
        <v>X</v>
      </c>
      <c r="Z16" s="73" t="str">
        <f t="shared" si="10"/>
        <v>X</v>
      </c>
      <c r="AA16" s="73" t="str">
        <f t="shared" si="10"/>
        <v>X</v>
      </c>
      <c r="AB16" s="73" t="str">
        <f t="shared" si="10"/>
        <v>X</v>
      </c>
      <c r="AC16" s="73" t="str">
        <f t="shared" si="10"/>
        <v>X</v>
      </c>
      <c r="AD16" s="73" t="str">
        <f t="shared" si="10"/>
        <v>X</v>
      </c>
      <c r="AE16" s="73" t="str">
        <f t="shared" si="10"/>
        <v>X</v>
      </c>
      <c r="AF16" s="73" t="str">
        <f t="shared" si="10"/>
        <v>X</v>
      </c>
      <c r="AG16" s="73" t="str">
        <f t="shared" si="10"/>
        <v>X</v>
      </c>
      <c r="AH16" s="73" t="str">
        <f t="shared" si="10"/>
        <v>X</v>
      </c>
      <c r="AI16" s="73" t="str">
        <f t="shared" si="10"/>
        <v>X</v>
      </c>
      <c r="AJ16" s="73" t="str">
        <f t="shared" si="10"/>
        <v>X</v>
      </c>
      <c r="AK16" s="73" t="str">
        <f t="shared" si="10"/>
        <v>X</v>
      </c>
      <c r="AL16" s="73" t="str">
        <f t="shared" si="10"/>
        <v>X</v>
      </c>
      <c r="AM16" s="73" t="str">
        <f t="shared" si="10"/>
        <v>X</v>
      </c>
      <c r="AN16" s="73" t="str">
        <f t="shared" si="10"/>
        <v>X</v>
      </c>
      <c r="AO16" s="73" t="str">
        <f t="shared" si="10"/>
        <v>X</v>
      </c>
      <c r="AP16" s="73" t="str">
        <f t="shared" si="10"/>
        <v>X</v>
      </c>
      <c r="AQ16" s="73" t="str">
        <f t="shared" si="10"/>
        <v>X</v>
      </c>
      <c r="AR16" s="73" t="str">
        <f t="shared" si="10"/>
        <v>X</v>
      </c>
      <c r="AS16" s="73" t="str">
        <f t="shared" si="10"/>
        <v>X</v>
      </c>
      <c r="AT16" s="73" t="str">
        <f t="shared" si="10"/>
        <v>X</v>
      </c>
      <c r="AU16" s="73" t="str">
        <f t="shared" si="10"/>
        <v>X</v>
      </c>
      <c r="AV16" s="73" t="str">
        <f t="shared" si="10"/>
        <v>X</v>
      </c>
      <c r="AW16" s="73" t="str">
        <f t="shared" si="10"/>
        <v/>
      </c>
      <c r="AX16" s="73" t="str">
        <f t="shared" si="10"/>
        <v/>
      </c>
      <c r="AY16" s="73" t="str">
        <f t="shared" si="10"/>
        <v/>
      </c>
      <c r="AZ16" s="73" t="str">
        <f t="shared" si="10"/>
        <v/>
      </c>
      <c r="BA16" s="73" t="str">
        <f t="shared" si="10"/>
        <v/>
      </c>
      <c r="BB16" s="73" t="str">
        <f t="shared" si="10"/>
        <v/>
      </c>
      <c r="BC16" s="73" t="str">
        <f t="shared" si="10"/>
        <v/>
      </c>
      <c r="BD16" s="73" t="str">
        <f t="shared" si="10"/>
        <v/>
      </c>
      <c r="BE16" s="73" t="str">
        <f t="shared" si="10"/>
        <v/>
      </c>
      <c r="BF16" s="73" t="str">
        <f t="shared" si="10"/>
        <v/>
      </c>
      <c r="BG16" s="73" t="str">
        <f t="shared" si="10"/>
        <v/>
      </c>
      <c r="BH16" s="73" t="str">
        <f t="shared" si="10"/>
        <v/>
      </c>
      <c r="BI16" s="73" t="str">
        <f t="shared" si="10"/>
        <v/>
      </c>
      <c r="BJ16" s="73" t="str">
        <f t="shared" si="10"/>
        <v/>
      </c>
      <c r="BK16" s="73" t="str">
        <f t="shared" si="10"/>
        <v/>
      </c>
      <c r="BL16" s="73" t="str">
        <f t="shared" si="10"/>
        <v/>
      </c>
      <c r="BM16" s="73" t="str">
        <f t="shared" si="10"/>
        <v/>
      </c>
      <c r="BN16" s="73" t="str">
        <f t="shared" si="10"/>
        <v/>
      </c>
      <c r="BO16" s="73" t="str">
        <f t="shared" si="10"/>
        <v/>
      </c>
      <c r="BP16" s="73" t="str">
        <f t="shared" si="10"/>
        <v/>
      </c>
      <c r="BQ16" s="73" t="str">
        <f t="shared" si="10"/>
        <v/>
      </c>
      <c r="BR16" s="73" t="str">
        <f t="shared" si="10"/>
        <v/>
      </c>
      <c r="BS16" s="73" t="str">
        <f t="shared" si="10"/>
        <v/>
      </c>
      <c r="BT16" s="73" t="str">
        <f t="shared" si="10"/>
        <v/>
      </c>
      <c r="BU16" s="73" t="str">
        <f t="shared" si="10"/>
        <v/>
      </c>
      <c r="BV16" s="73" t="str">
        <f t="shared" si="10"/>
        <v/>
      </c>
      <c r="BW16" s="73" t="str">
        <f t="shared" si="10"/>
        <v/>
      </c>
      <c r="BX16" s="73" t="str">
        <f t="shared" si="10"/>
        <v/>
      </c>
      <c r="BY16" s="73" t="str">
        <f t="shared" si="10"/>
        <v/>
      </c>
      <c r="BZ16" s="73" t="str">
        <f t="shared" si="10"/>
        <v/>
      </c>
      <c r="CA16" s="73" t="str">
        <f t="shared" si="10"/>
        <v/>
      </c>
      <c r="CB16" s="73" t="str">
        <f t="shared" si="10"/>
        <v/>
      </c>
      <c r="CC16" s="73" t="str">
        <f t="shared" si="10"/>
        <v/>
      </c>
      <c r="CD16" s="73" t="str">
        <f t="shared" si="10"/>
        <v/>
      </c>
      <c r="CE16" s="73" t="str">
        <f t="shared" si="10"/>
        <v/>
      </c>
      <c r="CF16" s="73" t="str">
        <f t="shared" si="10"/>
        <v/>
      </c>
      <c r="CG16" s="73" t="str">
        <f t="shared" si="10"/>
        <v/>
      </c>
      <c r="CH16" s="73" t="str">
        <f t="shared" si="10"/>
        <v/>
      </c>
      <c r="CI16" s="73" t="str">
        <f t="shared" si="10"/>
        <v/>
      </c>
      <c r="CJ16" s="73" t="str">
        <f t="shared" si="10"/>
        <v/>
      </c>
      <c r="CK16" s="73" t="str">
        <f t="shared" si="10"/>
        <v/>
      </c>
      <c r="CL16" s="73" t="str">
        <f t="shared" si="10"/>
        <v/>
      </c>
      <c r="CM16" s="73" t="str">
        <f t="shared" si="10"/>
        <v/>
      </c>
      <c r="CN16" s="73" t="str">
        <f t="shared" si="10"/>
        <v/>
      </c>
      <c r="CO16" s="73" t="str">
        <f t="shared" si="10"/>
        <v/>
      </c>
      <c r="CP16" s="73" t="str">
        <f t="shared" si="10"/>
        <v/>
      </c>
      <c r="CQ16" s="73" t="str">
        <f t="shared" si="10"/>
        <v/>
      </c>
      <c r="CR16" s="73" t="str">
        <f t="shared" si="10"/>
        <v/>
      </c>
      <c r="CS16" s="73" t="str">
        <f t="shared" si="10"/>
        <v/>
      </c>
      <c r="CT16" s="73" t="str">
        <f t="shared" si="10"/>
        <v/>
      </c>
      <c r="CU16" s="73" t="str">
        <f t="shared" si="10"/>
        <v/>
      </c>
      <c r="CV16" s="73" t="str">
        <f t="shared" si="10"/>
        <v/>
      </c>
      <c r="CW16" s="73" t="str">
        <f t="shared" si="10"/>
        <v/>
      </c>
      <c r="CX16" s="73" t="str">
        <f t="shared" si="10"/>
        <v/>
      </c>
      <c r="CY16" s="73" t="str">
        <f t="shared" si="10"/>
        <v/>
      </c>
      <c r="CZ16" s="73" t="str">
        <f t="shared" si="10"/>
        <v/>
      </c>
      <c r="DA16" s="73" t="str">
        <f t="shared" si="10"/>
        <v/>
      </c>
      <c r="DB16" s="73" t="str">
        <f t="shared" si="10"/>
        <v/>
      </c>
      <c r="DC16" s="73" t="str">
        <f t="shared" si="10"/>
        <v/>
      </c>
      <c r="DD16" s="73" t="str">
        <f t="shared" si="10"/>
        <v/>
      </c>
      <c r="DE16" s="73" t="str">
        <f t="shared" si="10"/>
        <v/>
      </c>
      <c r="DF16" s="73" t="str">
        <f t="shared" si="10"/>
        <v/>
      </c>
      <c r="DG16" s="73" t="str">
        <f t="shared" si="10"/>
        <v/>
      </c>
      <c r="DH16" s="73" t="str">
        <f t="shared" si="10"/>
        <v/>
      </c>
      <c r="DI16" s="73" t="str">
        <f t="shared" si="10"/>
        <v/>
      </c>
      <c r="DJ16" s="73" t="str">
        <f t="shared" si="10"/>
        <v/>
      </c>
      <c r="DK16" s="73" t="str">
        <f t="shared" si="10"/>
        <v/>
      </c>
      <c r="DL16" s="73" t="str">
        <f t="shared" si="10"/>
        <v/>
      </c>
      <c r="DM16" s="73" t="str">
        <f t="shared" si="10"/>
        <v/>
      </c>
      <c r="DN16" s="73" t="str">
        <f t="shared" si="10"/>
        <v/>
      </c>
      <c r="DO16" s="73" t="str">
        <f t="shared" si="10"/>
        <v/>
      </c>
      <c r="DP16" s="73" t="str">
        <f t="shared" si="10"/>
        <v/>
      </c>
      <c r="DQ16" s="73" t="str">
        <f t="shared" si="10"/>
        <v/>
      </c>
      <c r="DR16" s="73" t="str">
        <f t="shared" si="10"/>
        <v/>
      </c>
      <c r="DS16" s="73" t="str">
        <f t="shared" si="10"/>
        <v/>
      </c>
      <c r="DT16" s="73" t="str">
        <f t="shared" si="10"/>
        <v/>
      </c>
      <c r="DU16" s="73" t="str">
        <f t="shared" si="10"/>
        <v/>
      </c>
      <c r="DV16" s="73" t="str">
        <f t="shared" si="10"/>
        <v/>
      </c>
      <c r="DW16" s="73" t="str">
        <f t="shared" si="10"/>
        <v/>
      </c>
      <c r="DX16" s="73" t="str">
        <f t="shared" si="10"/>
        <v/>
      </c>
      <c r="DY16" s="73" t="str">
        <f t="shared" si="10"/>
        <v/>
      </c>
      <c r="DZ16" s="73" t="str">
        <f t="shared" si="10"/>
        <v/>
      </c>
      <c r="EA16" s="73" t="str">
        <f t="shared" si="10"/>
        <v/>
      </c>
      <c r="EB16" s="73" t="str">
        <f t="shared" si="10"/>
        <v/>
      </c>
      <c r="EC16" s="73" t="str">
        <f t="shared" si="10"/>
        <v/>
      </c>
      <c r="ED16" s="73" t="str">
        <f t="shared" si="10"/>
        <v/>
      </c>
      <c r="EE16" s="73" t="str">
        <f t="shared" si="10"/>
        <v/>
      </c>
      <c r="EF16" s="73" t="str">
        <f t="shared" si="10"/>
        <v/>
      </c>
      <c r="EG16" s="73" t="str">
        <f t="shared" si="10"/>
        <v/>
      </c>
      <c r="EH16" s="73" t="str">
        <f t="shared" si="10"/>
        <v/>
      </c>
      <c r="EI16" s="73" t="str">
        <f t="shared" si="10"/>
        <v/>
      </c>
      <c r="EJ16" s="73" t="str">
        <f t="shared" si="10"/>
        <v/>
      </c>
      <c r="EK16" s="73" t="str">
        <f t="shared" si="10"/>
        <v/>
      </c>
      <c r="EL16" s="73" t="str">
        <f t="shared" si="10"/>
        <v/>
      </c>
      <c r="EM16" s="73" t="str">
        <f t="shared" si="10"/>
        <v/>
      </c>
      <c r="EN16" s="73" t="str">
        <f t="shared" si="10"/>
        <v/>
      </c>
      <c r="EO16" s="73" t="str">
        <f t="shared" si="10"/>
        <v/>
      </c>
      <c r="EP16" s="73" t="str">
        <f t="shared" si="10"/>
        <v/>
      </c>
      <c r="EQ16" s="73" t="str">
        <f t="shared" si="10"/>
        <v/>
      </c>
      <c r="ER16" s="73" t="str">
        <f t="shared" si="10"/>
        <v/>
      </c>
      <c r="ES16" s="73" t="str">
        <f t="shared" si="10"/>
        <v/>
      </c>
    </row>
    <row r="17" outlineLevel="1">
      <c r="A17" s="33"/>
      <c r="B17" s="58"/>
      <c r="C17" s="75" t="s">
        <v>141</v>
      </c>
      <c r="D17" s="68"/>
      <c r="E17" s="70">
        <v>45413.0</v>
      </c>
      <c r="F17" s="70">
        <f t="shared" si="4"/>
        <v>45688</v>
      </c>
      <c r="G17" s="71">
        <v>275.0</v>
      </c>
      <c r="H17" s="72">
        <v>0.9</v>
      </c>
      <c r="I17" s="73" t="str">
        <f t="shared" ref="I17:ES17" si="11">IF(AND($E17&lt;=I$6,$F17&gt;=I$6),"X","")</f>
        <v>X</v>
      </c>
      <c r="J17" s="73" t="str">
        <f t="shared" si="11"/>
        <v>X</v>
      </c>
      <c r="K17" s="73" t="str">
        <f t="shared" si="11"/>
        <v>X</v>
      </c>
      <c r="L17" s="73" t="str">
        <f t="shared" si="11"/>
        <v>X</v>
      </c>
      <c r="M17" s="73" t="str">
        <f t="shared" si="11"/>
        <v>X</v>
      </c>
      <c r="N17" s="73" t="str">
        <f t="shared" si="11"/>
        <v>X</v>
      </c>
      <c r="O17" s="73" t="str">
        <f t="shared" si="11"/>
        <v>X</v>
      </c>
      <c r="P17" s="73" t="str">
        <f t="shared" si="11"/>
        <v>X</v>
      </c>
      <c r="Q17" s="73" t="str">
        <f t="shared" si="11"/>
        <v>X</v>
      </c>
      <c r="R17" s="73" t="str">
        <f t="shared" si="11"/>
        <v>X</v>
      </c>
      <c r="S17" s="73" t="str">
        <f t="shared" si="11"/>
        <v>X</v>
      </c>
      <c r="T17" s="73" t="str">
        <f t="shared" si="11"/>
        <v>X</v>
      </c>
      <c r="U17" s="73" t="str">
        <f t="shared" si="11"/>
        <v>X</v>
      </c>
      <c r="V17" s="73" t="str">
        <f t="shared" si="11"/>
        <v>X</v>
      </c>
      <c r="W17" s="73" t="str">
        <f t="shared" si="11"/>
        <v>X</v>
      </c>
      <c r="X17" s="73" t="str">
        <f t="shared" si="11"/>
        <v>X</v>
      </c>
      <c r="Y17" s="73" t="str">
        <f t="shared" si="11"/>
        <v>X</v>
      </c>
      <c r="Z17" s="73" t="str">
        <f t="shared" si="11"/>
        <v>X</v>
      </c>
      <c r="AA17" s="73" t="str">
        <f t="shared" si="11"/>
        <v>X</v>
      </c>
      <c r="AB17" s="73" t="str">
        <f t="shared" si="11"/>
        <v>X</v>
      </c>
      <c r="AC17" s="73" t="str">
        <f t="shared" si="11"/>
        <v>X</v>
      </c>
      <c r="AD17" s="73" t="str">
        <f t="shared" si="11"/>
        <v>X</v>
      </c>
      <c r="AE17" s="73" t="str">
        <f t="shared" si="11"/>
        <v>X</v>
      </c>
      <c r="AF17" s="73" t="str">
        <f t="shared" si="11"/>
        <v>X</v>
      </c>
      <c r="AG17" s="73" t="str">
        <f t="shared" si="11"/>
        <v>X</v>
      </c>
      <c r="AH17" s="73" t="str">
        <f t="shared" si="11"/>
        <v>X</v>
      </c>
      <c r="AI17" s="73" t="str">
        <f t="shared" si="11"/>
        <v>X</v>
      </c>
      <c r="AJ17" s="73" t="str">
        <f t="shared" si="11"/>
        <v>X</v>
      </c>
      <c r="AK17" s="73" t="str">
        <f t="shared" si="11"/>
        <v>X</v>
      </c>
      <c r="AL17" s="73" t="str">
        <f t="shared" si="11"/>
        <v>X</v>
      </c>
      <c r="AM17" s="73" t="str">
        <f t="shared" si="11"/>
        <v>X</v>
      </c>
      <c r="AN17" s="73" t="str">
        <f t="shared" si="11"/>
        <v>X</v>
      </c>
      <c r="AO17" s="73" t="str">
        <f t="shared" si="11"/>
        <v>X</v>
      </c>
      <c r="AP17" s="73" t="str">
        <f t="shared" si="11"/>
        <v>X</v>
      </c>
      <c r="AQ17" s="73" t="str">
        <f t="shared" si="11"/>
        <v>X</v>
      </c>
      <c r="AR17" s="73" t="str">
        <f t="shared" si="11"/>
        <v>X</v>
      </c>
      <c r="AS17" s="73" t="str">
        <f t="shared" si="11"/>
        <v>X</v>
      </c>
      <c r="AT17" s="73" t="str">
        <f t="shared" si="11"/>
        <v>X</v>
      </c>
      <c r="AU17" s="73" t="str">
        <f t="shared" si="11"/>
        <v>X</v>
      </c>
      <c r="AV17" s="73" t="str">
        <f t="shared" si="11"/>
        <v>X</v>
      </c>
      <c r="AW17" s="73" t="str">
        <f t="shared" si="11"/>
        <v/>
      </c>
      <c r="AX17" s="73" t="str">
        <f t="shared" si="11"/>
        <v/>
      </c>
      <c r="AY17" s="73" t="str">
        <f t="shared" si="11"/>
        <v/>
      </c>
      <c r="AZ17" s="73" t="str">
        <f t="shared" si="11"/>
        <v/>
      </c>
      <c r="BA17" s="73" t="str">
        <f t="shared" si="11"/>
        <v/>
      </c>
      <c r="BB17" s="73" t="str">
        <f t="shared" si="11"/>
        <v/>
      </c>
      <c r="BC17" s="73" t="str">
        <f t="shared" si="11"/>
        <v/>
      </c>
      <c r="BD17" s="73" t="str">
        <f t="shared" si="11"/>
        <v/>
      </c>
      <c r="BE17" s="73" t="str">
        <f t="shared" si="11"/>
        <v/>
      </c>
      <c r="BF17" s="73" t="str">
        <f t="shared" si="11"/>
        <v/>
      </c>
      <c r="BG17" s="73" t="str">
        <f t="shared" si="11"/>
        <v/>
      </c>
      <c r="BH17" s="73" t="str">
        <f t="shared" si="11"/>
        <v/>
      </c>
      <c r="BI17" s="73" t="str">
        <f t="shared" si="11"/>
        <v/>
      </c>
      <c r="BJ17" s="73" t="str">
        <f t="shared" si="11"/>
        <v/>
      </c>
      <c r="BK17" s="73" t="str">
        <f t="shared" si="11"/>
        <v/>
      </c>
      <c r="BL17" s="73" t="str">
        <f t="shared" si="11"/>
        <v/>
      </c>
      <c r="BM17" s="73" t="str">
        <f t="shared" si="11"/>
        <v/>
      </c>
      <c r="BN17" s="73" t="str">
        <f t="shared" si="11"/>
        <v/>
      </c>
      <c r="BO17" s="73" t="str">
        <f t="shared" si="11"/>
        <v/>
      </c>
      <c r="BP17" s="73" t="str">
        <f t="shared" si="11"/>
        <v/>
      </c>
      <c r="BQ17" s="73" t="str">
        <f t="shared" si="11"/>
        <v/>
      </c>
      <c r="BR17" s="73" t="str">
        <f t="shared" si="11"/>
        <v/>
      </c>
      <c r="BS17" s="73" t="str">
        <f t="shared" si="11"/>
        <v/>
      </c>
      <c r="BT17" s="73" t="str">
        <f t="shared" si="11"/>
        <v/>
      </c>
      <c r="BU17" s="73" t="str">
        <f t="shared" si="11"/>
        <v/>
      </c>
      <c r="BV17" s="73" t="str">
        <f t="shared" si="11"/>
        <v/>
      </c>
      <c r="BW17" s="73" t="str">
        <f t="shared" si="11"/>
        <v/>
      </c>
      <c r="BX17" s="73" t="str">
        <f t="shared" si="11"/>
        <v/>
      </c>
      <c r="BY17" s="73" t="str">
        <f t="shared" si="11"/>
        <v/>
      </c>
      <c r="BZ17" s="73" t="str">
        <f t="shared" si="11"/>
        <v/>
      </c>
      <c r="CA17" s="73" t="str">
        <f t="shared" si="11"/>
        <v/>
      </c>
      <c r="CB17" s="73" t="str">
        <f t="shared" si="11"/>
        <v/>
      </c>
      <c r="CC17" s="73" t="str">
        <f t="shared" si="11"/>
        <v/>
      </c>
      <c r="CD17" s="73" t="str">
        <f t="shared" si="11"/>
        <v/>
      </c>
      <c r="CE17" s="73" t="str">
        <f t="shared" si="11"/>
        <v/>
      </c>
      <c r="CF17" s="73" t="str">
        <f t="shared" si="11"/>
        <v/>
      </c>
      <c r="CG17" s="73" t="str">
        <f t="shared" si="11"/>
        <v/>
      </c>
      <c r="CH17" s="73" t="str">
        <f t="shared" si="11"/>
        <v/>
      </c>
      <c r="CI17" s="73" t="str">
        <f t="shared" si="11"/>
        <v/>
      </c>
      <c r="CJ17" s="73" t="str">
        <f t="shared" si="11"/>
        <v/>
      </c>
      <c r="CK17" s="73" t="str">
        <f t="shared" si="11"/>
        <v/>
      </c>
      <c r="CL17" s="73" t="str">
        <f t="shared" si="11"/>
        <v/>
      </c>
      <c r="CM17" s="73" t="str">
        <f t="shared" si="11"/>
        <v/>
      </c>
      <c r="CN17" s="73" t="str">
        <f t="shared" si="11"/>
        <v/>
      </c>
      <c r="CO17" s="73" t="str">
        <f t="shared" si="11"/>
        <v/>
      </c>
      <c r="CP17" s="73" t="str">
        <f t="shared" si="11"/>
        <v/>
      </c>
      <c r="CQ17" s="73" t="str">
        <f t="shared" si="11"/>
        <v/>
      </c>
      <c r="CR17" s="73" t="str">
        <f t="shared" si="11"/>
        <v/>
      </c>
      <c r="CS17" s="73" t="str">
        <f t="shared" si="11"/>
        <v/>
      </c>
      <c r="CT17" s="73" t="str">
        <f t="shared" si="11"/>
        <v/>
      </c>
      <c r="CU17" s="73" t="str">
        <f t="shared" si="11"/>
        <v/>
      </c>
      <c r="CV17" s="73" t="str">
        <f t="shared" si="11"/>
        <v/>
      </c>
      <c r="CW17" s="73" t="str">
        <f t="shared" si="11"/>
        <v/>
      </c>
      <c r="CX17" s="73" t="str">
        <f t="shared" si="11"/>
        <v/>
      </c>
      <c r="CY17" s="73" t="str">
        <f t="shared" si="11"/>
        <v/>
      </c>
      <c r="CZ17" s="73" t="str">
        <f t="shared" si="11"/>
        <v/>
      </c>
      <c r="DA17" s="73" t="str">
        <f t="shared" si="11"/>
        <v/>
      </c>
      <c r="DB17" s="73" t="str">
        <f t="shared" si="11"/>
        <v/>
      </c>
      <c r="DC17" s="73" t="str">
        <f t="shared" si="11"/>
        <v/>
      </c>
      <c r="DD17" s="73" t="str">
        <f t="shared" si="11"/>
        <v/>
      </c>
      <c r="DE17" s="73" t="str">
        <f t="shared" si="11"/>
        <v/>
      </c>
      <c r="DF17" s="73" t="str">
        <f t="shared" si="11"/>
        <v/>
      </c>
      <c r="DG17" s="73" t="str">
        <f t="shared" si="11"/>
        <v/>
      </c>
      <c r="DH17" s="73" t="str">
        <f t="shared" si="11"/>
        <v/>
      </c>
      <c r="DI17" s="73" t="str">
        <f t="shared" si="11"/>
        <v/>
      </c>
      <c r="DJ17" s="73" t="str">
        <f t="shared" si="11"/>
        <v/>
      </c>
      <c r="DK17" s="73" t="str">
        <f t="shared" si="11"/>
        <v/>
      </c>
      <c r="DL17" s="73" t="str">
        <f t="shared" si="11"/>
        <v/>
      </c>
      <c r="DM17" s="73" t="str">
        <f t="shared" si="11"/>
        <v/>
      </c>
      <c r="DN17" s="73" t="str">
        <f t="shared" si="11"/>
        <v/>
      </c>
      <c r="DO17" s="73" t="str">
        <f t="shared" si="11"/>
        <v/>
      </c>
      <c r="DP17" s="73" t="str">
        <f t="shared" si="11"/>
        <v/>
      </c>
      <c r="DQ17" s="73" t="str">
        <f t="shared" si="11"/>
        <v/>
      </c>
      <c r="DR17" s="73" t="str">
        <f t="shared" si="11"/>
        <v/>
      </c>
      <c r="DS17" s="73" t="str">
        <f t="shared" si="11"/>
        <v/>
      </c>
      <c r="DT17" s="73" t="str">
        <f t="shared" si="11"/>
        <v/>
      </c>
      <c r="DU17" s="73" t="str">
        <f t="shared" si="11"/>
        <v/>
      </c>
      <c r="DV17" s="73" t="str">
        <f t="shared" si="11"/>
        <v/>
      </c>
      <c r="DW17" s="73" t="str">
        <f t="shared" si="11"/>
        <v/>
      </c>
      <c r="DX17" s="73" t="str">
        <f t="shared" si="11"/>
        <v/>
      </c>
      <c r="DY17" s="73" t="str">
        <f t="shared" si="11"/>
        <v/>
      </c>
      <c r="DZ17" s="73" t="str">
        <f t="shared" si="11"/>
        <v/>
      </c>
      <c r="EA17" s="73" t="str">
        <f t="shared" si="11"/>
        <v/>
      </c>
      <c r="EB17" s="73" t="str">
        <f t="shared" si="11"/>
        <v/>
      </c>
      <c r="EC17" s="73" t="str">
        <f t="shared" si="11"/>
        <v/>
      </c>
      <c r="ED17" s="73" t="str">
        <f t="shared" si="11"/>
        <v/>
      </c>
      <c r="EE17" s="73" t="str">
        <f t="shared" si="11"/>
        <v/>
      </c>
      <c r="EF17" s="73" t="str">
        <f t="shared" si="11"/>
        <v/>
      </c>
      <c r="EG17" s="73" t="str">
        <f t="shared" si="11"/>
        <v/>
      </c>
      <c r="EH17" s="73" t="str">
        <f t="shared" si="11"/>
        <v/>
      </c>
      <c r="EI17" s="73" t="str">
        <f t="shared" si="11"/>
        <v/>
      </c>
      <c r="EJ17" s="73" t="str">
        <f t="shared" si="11"/>
        <v/>
      </c>
      <c r="EK17" s="73" t="str">
        <f t="shared" si="11"/>
        <v/>
      </c>
      <c r="EL17" s="73" t="str">
        <f t="shared" si="11"/>
        <v/>
      </c>
      <c r="EM17" s="73" t="str">
        <f t="shared" si="11"/>
        <v/>
      </c>
      <c r="EN17" s="73" t="str">
        <f t="shared" si="11"/>
        <v/>
      </c>
      <c r="EO17" s="73" t="str">
        <f t="shared" si="11"/>
        <v/>
      </c>
      <c r="EP17" s="73" t="str">
        <f t="shared" si="11"/>
        <v/>
      </c>
      <c r="EQ17" s="73" t="str">
        <f t="shared" si="11"/>
        <v/>
      </c>
      <c r="ER17" s="73" t="str">
        <f t="shared" si="11"/>
        <v/>
      </c>
      <c r="ES17" s="73" t="str">
        <f t="shared" si="11"/>
        <v/>
      </c>
    </row>
    <row r="18" outlineLevel="1">
      <c r="A18" s="33"/>
      <c r="B18" s="58"/>
      <c r="C18" s="75" t="s">
        <v>142</v>
      </c>
      <c r="D18" s="68"/>
      <c r="E18" s="70">
        <v>45413.0</v>
      </c>
      <c r="F18" s="70">
        <f t="shared" si="4"/>
        <v>45688</v>
      </c>
      <c r="G18" s="71">
        <v>275.0</v>
      </c>
      <c r="H18" s="72">
        <v>0.9</v>
      </c>
      <c r="I18" s="73" t="str">
        <f t="shared" ref="I18:ES18" si="12">IF(AND($E18&lt;=I$6,$F18&gt;=I$6),"X","")</f>
        <v>X</v>
      </c>
      <c r="J18" s="73" t="str">
        <f t="shared" si="12"/>
        <v>X</v>
      </c>
      <c r="K18" s="73" t="str">
        <f t="shared" si="12"/>
        <v>X</v>
      </c>
      <c r="L18" s="73" t="str">
        <f t="shared" si="12"/>
        <v>X</v>
      </c>
      <c r="M18" s="73" t="str">
        <f t="shared" si="12"/>
        <v>X</v>
      </c>
      <c r="N18" s="73" t="str">
        <f t="shared" si="12"/>
        <v>X</v>
      </c>
      <c r="O18" s="73" t="str">
        <f t="shared" si="12"/>
        <v>X</v>
      </c>
      <c r="P18" s="73" t="str">
        <f t="shared" si="12"/>
        <v>X</v>
      </c>
      <c r="Q18" s="73" t="str">
        <f t="shared" si="12"/>
        <v>X</v>
      </c>
      <c r="R18" s="73" t="str">
        <f t="shared" si="12"/>
        <v>X</v>
      </c>
      <c r="S18" s="73" t="str">
        <f t="shared" si="12"/>
        <v>X</v>
      </c>
      <c r="T18" s="73" t="str">
        <f t="shared" si="12"/>
        <v>X</v>
      </c>
      <c r="U18" s="73" t="str">
        <f t="shared" si="12"/>
        <v>X</v>
      </c>
      <c r="V18" s="73" t="str">
        <f t="shared" si="12"/>
        <v>X</v>
      </c>
      <c r="W18" s="73" t="str">
        <f t="shared" si="12"/>
        <v>X</v>
      </c>
      <c r="X18" s="73" t="str">
        <f t="shared" si="12"/>
        <v>X</v>
      </c>
      <c r="Y18" s="73" t="str">
        <f t="shared" si="12"/>
        <v>X</v>
      </c>
      <c r="Z18" s="73" t="str">
        <f t="shared" si="12"/>
        <v>X</v>
      </c>
      <c r="AA18" s="73" t="str">
        <f t="shared" si="12"/>
        <v>X</v>
      </c>
      <c r="AB18" s="73" t="str">
        <f t="shared" si="12"/>
        <v>X</v>
      </c>
      <c r="AC18" s="73" t="str">
        <f t="shared" si="12"/>
        <v>X</v>
      </c>
      <c r="AD18" s="73" t="str">
        <f t="shared" si="12"/>
        <v>X</v>
      </c>
      <c r="AE18" s="73" t="str">
        <f t="shared" si="12"/>
        <v>X</v>
      </c>
      <c r="AF18" s="73" t="str">
        <f t="shared" si="12"/>
        <v>X</v>
      </c>
      <c r="AG18" s="73" t="str">
        <f t="shared" si="12"/>
        <v>X</v>
      </c>
      <c r="AH18" s="73" t="str">
        <f t="shared" si="12"/>
        <v>X</v>
      </c>
      <c r="AI18" s="73" t="str">
        <f t="shared" si="12"/>
        <v>X</v>
      </c>
      <c r="AJ18" s="73" t="str">
        <f t="shared" si="12"/>
        <v>X</v>
      </c>
      <c r="AK18" s="73" t="str">
        <f t="shared" si="12"/>
        <v>X</v>
      </c>
      <c r="AL18" s="73" t="str">
        <f t="shared" si="12"/>
        <v>X</v>
      </c>
      <c r="AM18" s="73" t="str">
        <f t="shared" si="12"/>
        <v>X</v>
      </c>
      <c r="AN18" s="73" t="str">
        <f t="shared" si="12"/>
        <v>X</v>
      </c>
      <c r="AO18" s="73" t="str">
        <f t="shared" si="12"/>
        <v>X</v>
      </c>
      <c r="AP18" s="73" t="str">
        <f t="shared" si="12"/>
        <v>X</v>
      </c>
      <c r="AQ18" s="73" t="str">
        <f t="shared" si="12"/>
        <v>X</v>
      </c>
      <c r="AR18" s="73" t="str">
        <f t="shared" si="12"/>
        <v>X</v>
      </c>
      <c r="AS18" s="73" t="str">
        <f t="shared" si="12"/>
        <v>X</v>
      </c>
      <c r="AT18" s="73" t="str">
        <f t="shared" si="12"/>
        <v>X</v>
      </c>
      <c r="AU18" s="73" t="str">
        <f t="shared" si="12"/>
        <v>X</v>
      </c>
      <c r="AV18" s="73" t="str">
        <f t="shared" si="12"/>
        <v>X</v>
      </c>
      <c r="AW18" s="73" t="str">
        <f t="shared" si="12"/>
        <v/>
      </c>
      <c r="AX18" s="73" t="str">
        <f t="shared" si="12"/>
        <v/>
      </c>
      <c r="AY18" s="73" t="str">
        <f t="shared" si="12"/>
        <v/>
      </c>
      <c r="AZ18" s="73" t="str">
        <f t="shared" si="12"/>
        <v/>
      </c>
      <c r="BA18" s="73" t="str">
        <f t="shared" si="12"/>
        <v/>
      </c>
      <c r="BB18" s="73" t="str">
        <f t="shared" si="12"/>
        <v/>
      </c>
      <c r="BC18" s="73" t="str">
        <f t="shared" si="12"/>
        <v/>
      </c>
      <c r="BD18" s="73" t="str">
        <f t="shared" si="12"/>
        <v/>
      </c>
      <c r="BE18" s="73" t="str">
        <f t="shared" si="12"/>
        <v/>
      </c>
      <c r="BF18" s="73" t="str">
        <f t="shared" si="12"/>
        <v/>
      </c>
      <c r="BG18" s="73" t="str">
        <f t="shared" si="12"/>
        <v/>
      </c>
      <c r="BH18" s="73" t="str">
        <f t="shared" si="12"/>
        <v/>
      </c>
      <c r="BI18" s="73" t="str">
        <f t="shared" si="12"/>
        <v/>
      </c>
      <c r="BJ18" s="73" t="str">
        <f t="shared" si="12"/>
        <v/>
      </c>
      <c r="BK18" s="73" t="str">
        <f t="shared" si="12"/>
        <v/>
      </c>
      <c r="BL18" s="73" t="str">
        <f t="shared" si="12"/>
        <v/>
      </c>
      <c r="BM18" s="73" t="str">
        <f t="shared" si="12"/>
        <v/>
      </c>
      <c r="BN18" s="73" t="str">
        <f t="shared" si="12"/>
        <v/>
      </c>
      <c r="BO18" s="73" t="str">
        <f t="shared" si="12"/>
        <v/>
      </c>
      <c r="BP18" s="73" t="str">
        <f t="shared" si="12"/>
        <v/>
      </c>
      <c r="BQ18" s="73" t="str">
        <f t="shared" si="12"/>
        <v/>
      </c>
      <c r="BR18" s="73" t="str">
        <f t="shared" si="12"/>
        <v/>
      </c>
      <c r="BS18" s="73" t="str">
        <f t="shared" si="12"/>
        <v/>
      </c>
      <c r="BT18" s="73" t="str">
        <f t="shared" si="12"/>
        <v/>
      </c>
      <c r="BU18" s="73" t="str">
        <f t="shared" si="12"/>
        <v/>
      </c>
      <c r="BV18" s="73" t="str">
        <f t="shared" si="12"/>
        <v/>
      </c>
      <c r="BW18" s="73" t="str">
        <f t="shared" si="12"/>
        <v/>
      </c>
      <c r="BX18" s="73" t="str">
        <f t="shared" si="12"/>
        <v/>
      </c>
      <c r="BY18" s="73" t="str">
        <f t="shared" si="12"/>
        <v/>
      </c>
      <c r="BZ18" s="73" t="str">
        <f t="shared" si="12"/>
        <v/>
      </c>
      <c r="CA18" s="73" t="str">
        <f t="shared" si="12"/>
        <v/>
      </c>
      <c r="CB18" s="73" t="str">
        <f t="shared" si="12"/>
        <v/>
      </c>
      <c r="CC18" s="73" t="str">
        <f t="shared" si="12"/>
        <v/>
      </c>
      <c r="CD18" s="73" t="str">
        <f t="shared" si="12"/>
        <v/>
      </c>
      <c r="CE18" s="73" t="str">
        <f t="shared" si="12"/>
        <v/>
      </c>
      <c r="CF18" s="73" t="str">
        <f t="shared" si="12"/>
        <v/>
      </c>
      <c r="CG18" s="73" t="str">
        <f t="shared" si="12"/>
        <v/>
      </c>
      <c r="CH18" s="73" t="str">
        <f t="shared" si="12"/>
        <v/>
      </c>
      <c r="CI18" s="73" t="str">
        <f t="shared" si="12"/>
        <v/>
      </c>
      <c r="CJ18" s="73" t="str">
        <f t="shared" si="12"/>
        <v/>
      </c>
      <c r="CK18" s="73" t="str">
        <f t="shared" si="12"/>
        <v/>
      </c>
      <c r="CL18" s="73" t="str">
        <f t="shared" si="12"/>
        <v/>
      </c>
      <c r="CM18" s="73" t="str">
        <f t="shared" si="12"/>
        <v/>
      </c>
      <c r="CN18" s="73" t="str">
        <f t="shared" si="12"/>
        <v/>
      </c>
      <c r="CO18" s="73" t="str">
        <f t="shared" si="12"/>
        <v/>
      </c>
      <c r="CP18" s="73" t="str">
        <f t="shared" si="12"/>
        <v/>
      </c>
      <c r="CQ18" s="73" t="str">
        <f t="shared" si="12"/>
        <v/>
      </c>
      <c r="CR18" s="73" t="str">
        <f t="shared" si="12"/>
        <v/>
      </c>
      <c r="CS18" s="73" t="str">
        <f t="shared" si="12"/>
        <v/>
      </c>
      <c r="CT18" s="73" t="str">
        <f t="shared" si="12"/>
        <v/>
      </c>
      <c r="CU18" s="73" t="str">
        <f t="shared" si="12"/>
        <v/>
      </c>
      <c r="CV18" s="73" t="str">
        <f t="shared" si="12"/>
        <v/>
      </c>
      <c r="CW18" s="73" t="str">
        <f t="shared" si="12"/>
        <v/>
      </c>
      <c r="CX18" s="73" t="str">
        <f t="shared" si="12"/>
        <v/>
      </c>
      <c r="CY18" s="73" t="str">
        <f t="shared" si="12"/>
        <v/>
      </c>
      <c r="CZ18" s="73" t="str">
        <f t="shared" si="12"/>
        <v/>
      </c>
      <c r="DA18" s="73" t="str">
        <f t="shared" si="12"/>
        <v/>
      </c>
      <c r="DB18" s="73" t="str">
        <f t="shared" si="12"/>
        <v/>
      </c>
      <c r="DC18" s="73" t="str">
        <f t="shared" si="12"/>
        <v/>
      </c>
      <c r="DD18" s="73" t="str">
        <f t="shared" si="12"/>
        <v/>
      </c>
      <c r="DE18" s="73" t="str">
        <f t="shared" si="12"/>
        <v/>
      </c>
      <c r="DF18" s="73" t="str">
        <f t="shared" si="12"/>
        <v/>
      </c>
      <c r="DG18" s="73" t="str">
        <f t="shared" si="12"/>
        <v/>
      </c>
      <c r="DH18" s="73" t="str">
        <f t="shared" si="12"/>
        <v/>
      </c>
      <c r="DI18" s="73" t="str">
        <f t="shared" si="12"/>
        <v/>
      </c>
      <c r="DJ18" s="73" t="str">
        <f t="shared" si="12"/>
        <v/>
      </c>
      <c r="DK18" s="73" t="str">
        <f t="shared" si="12"/>
        <v/>
      </c>
      <c r="DL18" s="73" t="str">
        <f t="shared" si="12"/>
        <v/>
      </c>
      <c r="DM18" s="73" t="str">
        <f t="shared" si="12"/>
        <v/>
      </c>
      <c r="DN18" s="73" t="str">
        <f t="shared" si="12"/>
        <v/>
      </c>
      <c r="DO18" s="73" t="str">
        <f t="shared" si="12"/>
        <v/>
      </c>
      <c r="DP18" s="73" t="str">
        <f t="shared" si="12"/>
        <v/>
      </c>
      <c r="DQ18" s="73" t="str">
        <f t="shared" si="12"/>
        <v/>
      </c>
      <c r="DR18" s="73" t="str">
        <f t="shared" si="12"/>
        <v/>
      </c>
      <c r="DS18" s="73" t="str">
        <f t="shared" si="12"/>
        <v/>
      </c>
      <c r="DT18" s="73" t="str">
        <f t="shared" si="12"/>
        <v/>
      </c>
      <c r="DU18" s="73" t="str">
        <f t="shared" si="12"/>
        <v/>
      </c>
      <c r="DV18" s="73" t="str">
        <f t="shared" si="12"/>
        <v/>
      </c>
      <c r="DW18" s="73" t="str">
        <f t="shared" si="12"/>
        <v/>
      </c>
      <c r="DX18" s="73" t="str">
        <f t="shared" si="12"/>
        <v/>
      </c>
      <c r="DY18" s="73" t="str">
        <f t="shared" si="12"/>
        <v/>
      </c>
      <c r="DZ18" s="73" t="str">
        <f t="shared" si="12"/>
        <v/>
      </c>
      <c r="EA18" s="73" t="str">
        <f t="shared" si="12"/>
        <v/>
      </c>
      <c r="EB18" s="73" t="str">
        <f t="shared" si="12"/>
        <v/>
      </c>
      <c r="EC18" s="73" t="str">
        <f t="shared" si="12"/>
        <v/>
      </c>
      <c r="ED18" s="73" t="str">
        <f t="shared" si="12"/>
        <v/>
      </c>
      <c r="EE18" s="73" t="str">
        <f t="shared" si="12"/>
        <v/>
      </c>
      <c r="EF18" s="73" t="str">
        <f t="shared" si="12"/>
        <v/>
      </c>
      <c r="EG18" s="73" t="str">
        <f t="shared" si="12"/>
        <v/>
      </c>
      <c r="EH18" s="73" t="str">
        <f t="shared" si="12"/>
        <v/>
      </c>
      <c r="EI18" s="73" t="str">
        <f t="shared" si="12"/>
        <v/>
      </c>
      <c r="EJ18" s="73" t="str">
        <f t="shared" si="12"/>
        <v/>
      </c>
      <c r="EK18" s="73" t="str">
        <f t="shared" si="12"/>
        <v/>
      </c>
      <c r="EL18" s="73" t="str">
        <f t="shared" si="12"/>
        <v/>
      </c>
      <c r="EM18" s="73" t="str">
        <f t="shared" si="12"/>
        <v/>
      </c>
      <c r="EN18" s="73" t="str">
        <f t="shared" si="12"/>
        <v/>
      </c>
      <c r="EO18" s="73" t="str">
        <f t="shared" si="12"/>
        <v/>
      </c>
      <c r="EP18" s="73" t="str">
        <f t="shared" si="12"/>
        <v/>
      </c>
      <c r="EQ18" s="73" t="str">
        <f t="shared" si="12"/>
        <v/>
      </c>
      <c r="ER18" s="73" t="str">
        <f t="shared" si="12"/>
        <v/>
      </c>
      <c r="ES18" s="73" t="str">
        <f t="shared" si="12"/>
        <v/>
      </c>
    </row>
    <row r="19" outlineLevel="1">
      <c r="A19" s="33"/>
      <c r="B19" s="58"/>
      <c r="C19" s="75" t="s">
        <v>143</v>
      </c>
      <c r="D19" s="68"/>
      <c r="E19" s="70">
        <v>45413.0</v>
      </c>
      <c r="F19" s="70">
        <f t="shared" si="4"/>
        <v>45688</v>
      </c>
      <c r="G19" s="71">
        <v>275.0</v>
      </c>
      <c r="H19" s="72">
        <v>0.9</v>
      </c>
      <c r="I19" s="73" t="str">
        <f t="shared" ref="I19:ES19" si="13">IF(AND($E19&lt;=I$6,$F19&gt;=I$6),"X","")</f>
        <v>X</v>
      </c>
      <c r="J19" s="73" t="str">
        <f t="shared" si="13"/>
        <v>X</v>
      </c>
      <c r="K19" s="73" t="str">
        <f t="shared" si="13"/>
        <v>X</v>
      </c>
      <c r="L19" s="73" t="str">
        <f t="shared" si="13"/>
        <v>X</v>
      </c>
      <c r="M19" s="73" t="str">
        <f t="shared" si="13"/>
        <v>X</v>
      </c>
      <c r="N19" s="73" t="str">
        <f t="shared" si="13"/>
        <v>X</v>
      </c>
      <c r="O19" s="73" t="str">
        <f t="shared" si="13"/>
        <v>X</v>
      </c>
      <c r="P19" s="73" t="str">
        <f t="shared" si="13"/>
        <v>X</v>
      </c>
      <c r="Q19" s="73" t="str">
        <f t="shared" si="13"/>
        <v>X</v>
      </c>
      <c r="R19" s="73" t="str">
        <f t="shared" si="13"/>
        <v>X</v>
      </c>
      <c r="S19" s="73" t="str">
        <f t="shared" si="13"/>
        <v>X</v>
      </c>
      <c r="T19" s="73" t="str">
        <f t="shared" si="13"/>
        <v>X</v>
      </c>
      <c r="U19" s="73" t="str">
        <f t="shared" si="13"/>
        <v>X</v>
      </c>
      <c r="V19" s="73" t="str">
        <f t="shared" si="13"/>
        <v>X</v>
      </c>
      <c r="W19" s="73" t="str">
        <f t="shared" si="13"/>
        <v>X</v>
      </c>
      <c r="X19" s="73" t="str">
        <f t="shared" si="13"/>
        <v>X</v>
      </c>
      <c r="Y19" s="73" t="str">
        <f t="shared" si="13"/>
        <v>X</v>
      </c>
      <c r="Z19" s="73" t="str">
        <f t="shared" si="13"/>
        <v>X</v>
      </c>
      <c r="AA19" s="73" t="str">
        <f t="shared" si="13"/>
        <v>X</v>
      </c>
      <c r="AB19" s="73" t="str">
        <f t="shared" si="13"/>
        <v>X</v>
      </c>
      <c r="AC19" s="73" t="str">
        <f t="shared" si="13"/>
        <v>X</v>
      </c>
      <c r="AD19" s="73" t="str">
        <f t="shared" si="13"/>
        <v>X</v>
      </c>
      <c r="AE19" s="73" t="str">
        <f t="shared" si="13"/>
        <v>X</v>
      </c>
      <c r="AF19" s="73" t="str">
        <f t="shared" si="13"/>
        <v>X</v>
      </c>
      <c r="AG19" s="73" t="str">
        <f t="shared" si="13"/>
        <v>X</v>
      </c>
      <c r="AH19" s="73" t="str">
        <f t="shared" si="13"/>
        <v>X</v>
      </c>
      <c r="AI19" s="73" t="str">
        <f t="shared" si="13"/>
        <v>X</v>
      </c>
      <c r="AJ19" s="73" t="str">
        <f t="shared" si="13"/>
        <v>X</v>
      </c>
      <c r="AK19" s="73" t="str">
        <f t="shared" si="13"/>
        <v>X</v>
      </c>
      <c r="AL19" s="73" t="str">
        <f t="shared" si="13"/>
        <v>X</v>
      </c>
      <c r="AM19" s="73" t="str">
        <f t="shared" si="13"/>
        <v>X</v>
      </c>
      <c r="AN19" s="73" t="str">
        <f t="shared" si="13"/>
        <v>X</v>
      </c>
      <c r="AO19" s="73" t="str">
        <f t="shared" si="13"/>
        <v>X</v>
      </c>
      <c r="AP19" s="73" t="str">
        <f t="shared" si="13"/>
        <v>X</v>
      </c>
      <c r="AQ19" s="73" t="str">
        <f t="shared" si="13"/>
        <v>X</v>
      </c>
      <c r="AR19" s="73" t="str">
        <f t="shared" si="13"/>
        <v>X</v>
      </c>
      <c r="AS19" s="73" t="str">
        <f t="shared" si="13"/>
        <v>X</v>
      </c>
      <c r="AT19" s="73" t="str">
        <f t="shared" si="13"/>
        <v>X</v>
      </c>
      <c r="AU19" s="73" t="str">
        <f t="shared" si="13"/>
        <v>X</v>
      </c>
      <c r="AV19" s="73" t="str">
        <f t="shared" si="13"/>
        <v>X</v>
      </c>
      <c r="AW19" s="73" t="str">
        <f t="shared" si="13"/>
        <v/>
      </c>
      <c r="AX19" s="73" t="str">
        <f t="shared" si="13"/>
        <v/>
      </c>
      <c r="AY19" s="73" t="str">
        <f t="shared" si="13"/>
        <v/>
      </c>
      <c r="AZ19" s="73" t="str">
        <f t="shared" si="13"/>
        <v/>
      </c>
      <c r="BA19" s="73" t="str">
        <f t="shared" si="13"/>
        <v/>
      </c>
      <c r="BB19" s="73" t="str">
        <f t="shared" si="13"/>
        <v/>
      </c>
      <c r="BC19" s="73" t="str">
        <f t="shared" si="13"/>
        <v/>
      </c>
      <c r="BD19" s="73" t="str">
        <f t="shared" si="13"/>
        <v/>
      </c>
      <c r="BE19" s="73" t="str">
        <f t="shared" si="13"/>
        <v/>
      </c>
      <c r="BF19" s="73" t="str">
        <f t="shared" si="13"/>
        <v/>
      </c>
      <c r="BG19" s="73" t="str">
        <f t="shared" si="13"/>
        <v/>
      </c>
      <c r="BH19" s="73" t="str">
        <f t="shared" si="13"/>
        <v/>
      </c>
      <c r="BI19" s="73" t="str">
        <f t="shared" si="13"/>
        <v/>
      </c>
      <c r="BJ19" s="73" t="str">
        <f t="shared" si="13"/>
        <v/>
      </c>
      <c r="BK19" s="73" t="str">
        <f t="shared" si="13"/>
        <v/>
      </c>
      <c r="BL19" s="73" t="str">
        <f t="shared" si="13"/>
        <v/>
      </c>
      <c r="BM19" s="73" t="str">
        <f t="shared" si="13"/>
        <v/>
      </c>
      <c r="BN19" s="73" t="str">
        <f t="shared" si="13"/>
        <v/>
      </c>
      <c r="BO19" s="73" t="str">
        <f t="shared" si="13"/>
        <v/>
      </c>
      <c r="BP19" s="73" t="str">
        <f t="shared" si="13"/>
        <v/>
      </c>
      <c r="BQ19" s="73" t="str">
        <f t="shared" si="13"/>
        <v/>
      </c>
      <c r="BR19" s="73" t="str">
        <f t="shared" si="13"/>
        <v/>
      </c>
      <c r="BS19" s="73" t="str">
        <f t="shared" si="13"/>
        <v/>
      </c>
      <c r="BT19" s="73" t="str">
        <f t="shared" si="13"/>
        <v/>
      </c>
      <c r="BU19" s="73" t="str">
        <f t="shared" si="13"/>
        <v/>
      </c>
      <c r="BV19" s="73" t="str">
        <f t="shared" si="13"/>
        <v/>
      </c>
      <c r="BW19" s="73" t="str">
        <f t="shared" si="13"/>
        <v/>
      </c>
      <c r="BX19" s="73" t="str">
        <f t="shared" si="13"/>
        <v/>
      </c>
      <c r="BY19" s="73" t="str">
        <f t="shared" si="13"/>
        <v/>
      </c>
      <c r="BZ19" s="73" t="str">
        <f t="shared" si="13"/>
        <v/>
      </c>
      <c r="CA19" s="73" t="str">
        <f t="shared" si="13"/>
        <v/>
      </c>
      <c r="CB19" s="73" t="str">
        <f t="shared" si="13"/>
        <v/>
      </c>
      <c r="CC19" s="73" t="str">
        <f t="shared" si="13"/>
        <v/>
      </c>
      <c r="CD19" s="73" t="str">
        <f t="shared" si="13"/>
        <v/>
      </c>
      <c r="CE19" s="73" t="str">
        <f t="shared" si="13"/>
        <v/>
      </c>
      <c r="CF19" s="73" t="str">
        <f t="shared" si="13"/>
        <v/>
      </c>
      <c r="CG19" s="73" t="str">
        <f t="shared" si="13"/>
        <v/>
      </c>
      <c r="CH19" s="73" t="str">
        <f t="shared" si="13"/>
        <v/>
      </c>
      <c r="CI19" s="73" t="str">
        <f t="shared" si="13"/>
        <v/>
      </c>
      <c r="CJ19" s="73" t="str">
        <f t="shared" si="13"/>
        <v/>
      </c>
      <c r="CK19" s="73" t="str">
        <f t="shared" si="13"/>
        <v/>
      </c>
      <c r="CL19" s="73" t="str">
        <f t="shared" si="13"/>
        <v/>
      </c>
      <c r="CM19" s="73" t="str">
        <f t="shared" si="13"/>
        <v/>
      </c>
      <c r="CN19" s="73" t="str">
        <f t="shared" si="13"/>
        <v/>
      </c>
      <c r="CO19" s="73" t="str">
        <f t="shared" si="13"/>
        <v/>
      </c>
      <c r="CP19" s="73" t="str">
        <f t="shared" si="13"/>
        <v/>
      </c>
      <c r="CQ19" s="73" t="str">
        <f t="shared" si="13"/>
        <v/>
      </c>
      <c r="CR19" s="73" t="str">
        <f t="shared" si="13"/>
        <v/>
      </c>
      <c r="CS19" s="73" t="str">
        <f t="shared" si="13"/>
        <v/>
      </c>
      <c r="CT19" s="73" t="str">
        <f t="shared" si="13"/>
        <v/>
      </c>
      <c r="CU19" s="73" t="str">
        <f t="shared" si="13"/>
        <v/>
      </c>
      <c r="CV19" s="73" t="str">
        <f t="shared" si="13"/>
        <v/>
      </c>
      <c r="CW19" s="73" t="str">
        <f t="shared" si="13"/>
        <v/>
      </c>
      <c r="CX19" s="73" t="str">
        <f t="shared" si="13"/>
        <v/>
      </c>
      <c r="CY19" s="73" t="str">
        <f t="shared" si="13"/>
        <v/>
      </c>
      <c r="CZ19" s="73" t="str">
        <f t="shared" si="13"/>
        <v/>
      </c>
      <c r="DA19" s="73" t="str">
        <f t="shared" si="13"/>
        <v/>
      </c>
      <c r="DB19" s="73" t="str">
        <f t="shared" si="13"/>
        <v/>
      </c>
      <c r="DC19" s="73" t="str">
        <f t="shared" si="13"/>
        <v/>
      </c>
      <c r="DD19" s="73" t="str">
        <f t="shared" si="13"/>
        <v/>
      </c>
      <c r="DE19" s="73" t="str">
        <f t="shared" si="13"/>
        <v/>
      </c>
      <c r="DF19" s="73" t="str">
        <f t="shared" si="13"/>
        <v/>
      </c>
      <c r="DG19" s="73" t="str">
        <f t="shared" si="13"/>
        <v/>
      </c>
      <c r="DH19" s="73" t="str">
        <f t="shared" si="13"/>
        <v/>
      </c>
      <c r="DI19" s="73" t="str">
        <f t="shared" si="13"/>
        <v/>
      </c>
      <c r="DJ19" s="73" t="str">
        <f t="shared" si="13"/>
        <v/>
      </c>
      <c r="DK19" s="73" t="str">
        <f t="shared" si="13"/>
        <v/>
      </c>
      <c r="DL19" s="73" t="str">
        <f t="shared" si="13"/>
        <v/>
      </c>
      <c r="DM19" s="73" t="str">
        <f t="shared" si="13"/>
        <v/>
      </c>
      <c r="DN19" s="73" t="str">
        <f t="shared" si="13"/>
        <v/>
      </c>
      <c r="DO19" s="73" t="str">
        <f t="shared" si="13"/>
        <v/>
      </c>
      <c r="DP19" s="73" t="str">
        <f t="shared" si="13"/>
        <v/>
      </c>
      <c r="DQ19" s="73" t="str">
        <f t="shared" si="13"/>
        <v/>
      </c>
      <c r="DR19" s="73" t="str">
        <f t="shared" si="13"/>
        <v/>
      </c>
      <c r="DS19" s="73" t="str">
        <f t="shared" si="13"/>
        <v/>
      </c>
      <c r="DT19" s="73" t="str">
        <f t="shared" si="13"/>
        <v/>
      </c>
      <c r="DU19" s="73" t="str">
        <f t="shared" si="13"/>
        <v/>
      </c>
      <c r="DV19" s="73" t="str">
        <f t="shared" si="13"/>
        <v/>
      </c>
      <c r="DW19" s="73" t="str">
        <f t="shared" si="13"/>
        <v/>
      </c>
      <c r="DX19" s="73" t="str">
        <f t="shared" si="13"/>
        <v/>
      </c>
      <c r="DY19" s="73" t="str">
        <f t="shared" si="13"/>
        <v/>
      </c>
      <c r="DZ19" s="73" t="str">
        <f t="shared" si="13"/>
        <v/>
      </c>
      <c r="EA19" s="73" t="str">
        <f t="shared" si="13"/>
        <v/>
      </c>
      <c r="EB19" s="73" t="str">
        <f t="shared" si="13"/>
        <v/>
      </c>
      <c r="EC19" s="73" t="str">
        <f t="shared" si="13"/>
        <v/>
      </c>
      <c r="ED19" s="73" t="str">
        <f t="shared" si="13"/>
        <v/>
      </c>
      <c r="EE19" s="73" t="str">
        <f t="shared" si="13"/>
        <v/>
      </c>
      <c r="EF19" s="73" t="str">
        <f t="shared" si="13"/>
        <v/>
      </c>
      <c r="EG19" s="73" t="str">
        <f t="shared" si="13"/>
        <v/>
      </c>
      <c r="EH19" s="73" t="str">
        <f t="shared" si="13"/>
        <v/>
      </c>
      <c r="EI19" s="73" t="str">
        <f t="shared" si="13"/>
        <v/>
      </c>
      <c r="EJ19" s="73" t="str">
        <f t="shared" si="13"/>
        <v/>
      </c>
      <c r="EK19" s="73" t="str">
        <f t="shared" si="13"/>
        <v/>
      </c>
      <c r="EL19" s="73" t="str">
        <f t="shared" si="13"/>
        <v/>
      </c>
      <c r="EM19" s="73" t="str">
        <f t="shared" si="13"/>
        <v/>
      </c>
      <c r="EN19" s="73" t="str">
        <f t="shared" si="13"/>
        <v/>
      </c>
      <c r="EO19" s="73" t="str">
        <f t="shared" si="13"/>
        <v/>
      </c>
      <c r="EP19" s="73" t="str">
        <f t="shared" si="13"/>
        <v/>
      </c>
      <c r="EQ19" s="73" t="str">
        <f t="shared" si="13"/>
        <v/>
      </c>
      <c r="ER19" s="73" t="str">
        <f t="shared" si="13"/>
        <v/>
      </c>
      <c r="ES19" s="73" t="str">
        <f t="shared" si="13"/>
        <v/>
      </c>
    </row>
    <row r="20" outlineLevel="1">
      <c r="A20" s="33"/>
      <c r="B20" s="58">
        <v>6.0</v>
      </c>
      <c r="C20" s="68" t="s">
        <v>144</v>
      </c>
      <c r="D20" s="68"/>
      <c r="E20" s="70">
        <v>45458.0</v>
      </c>
      <c r="F20" s="70">
        <f t="shared" si="4"/>
        <v>45486</v>
      </c>
      <c r="G20" s="71">
        <v>28.0</v>
      </c>
      <c r="H20" s="72">
        <v>1.0</v>
      </c>
      <c r="I20" s="73" t="str">
        <f t="shared" ref="I20:ES20" si="14">IF(AND($E20&lt;=I$6,$F20&gt;=I$6),"X","")</f>
        <v/>
      </c>
      <c r="J20" s="73" t="str">
        <f t="shared" si="14"/>
        <v/>
      </c>
      <c r="K20" s="73" t="str">
        <f t="shared" si="14"/>
        <v/>
      </c>
      <c r="L20" s="73" t="str">
        <f t="shared" si="14"/>
        <v/>
      </c>
      <c r="M20" s="73" t="str">
        <f t="shared" si="14"/>
        <v/>
      </c>
      <c r="N20" s="73" t="str">
        <f t="shared" si="14"/>
        <v/>
      </c>
      <c r="O20" s="73" t="str">
        <f t="shared" si="14"/>
        <v/>
      </c>
      <c r="P20" s="73" t="str">
        <f t="shared" si="14"/>
        <v>X</v>
      </c>
      <c r="Q20" s="73" t="str">
        <f t="shared" si="14"/>
        <v>X</v>
      </c>
      <c r="R20" s="73" t="str">
        <f t="shared" si="14"/>
        <v>X</v>
      </c>
      <c r="S20" s="73" t="str">
        <f t="shared" si="14"/>
        <v>X</v>
      </c>
      <c r="T20" s="73" t="str">
        <f t="shared" si="14"/>
        <v/>
      </c>
      <c r="U20" s="73" t="str">
        <f t="shared" si="14"/>
        <v/>
      </c>
      <c r="V20" s="73" t="str">
        <f t="shared" si="14"/>
        <v/>
      </c>
      <c r="W20" s="73" t="str">
        <f t="shared" si="14"/>
        <v/>
      </c>
      <c r="X20" s="73" t="str">
        <f t="shared" si="14"/>
        <v/>
      </c>
      <c r="Y20" s="73" t="str">
        <f t="shared" si="14"/>
        <v/>
      </c>
      <c r="Z20" s="73" t="str">
        <f t="shared" si="14"/>
        <v/>
      </c>
      <c r="AA20" s="73" t="str">
        <f t="shared" si="14"/>
        <v/>
      </c>
      <c r="AB20" s="73" t="str">
        <f t="shared" si="14"/>
        <v/>
      </c>
      <c r="AC20" s="73" t="str">
        <f t="shared" si="14"/>
        <v/>
      </c>
      <c r="AD20" s="73" t="str">
        <f t="shared" si="14"/>
        <v/>
      </c>
      <c r="AE20" s="73" t="str">
        <f t="shared" si="14"/>
        <v/>
      </c>
      <c r="AF20" s="73" t="str">
        <f t="shared" si="14"/>
        <v/>
      </c>
      <c r="AG20" s="73" t="str">
        <f t="shared" si="14"/>
        <v/>
      </c>
      <c r="AH20" s="73" t="str">
        <f t="shared" si="14"/>
        <v/>
      </c>
      <c r="AI20" s="73" t="str">
        <f t="shared" si="14"/>
        <v/>
      </c>
      <c r="AJ20" s="73" t="str">
        <f t="shared" si="14"/>
        <v/>
      </c>
      <c r="AK20" s="73" t="str">
        <f t="shared" si="14"/>
        <v/>
      </c>
      <c r="AL20" s="73" t="str">
        <f t="shared" si="14"/>
        <v/>
      </c>
      <c r="AM20" s="73" t="str">
        <f t="shared" si="14"/>
        <v/>
      </c>
      <c r="AN20" s="73" t="str">
        <f t="shared" si="14"/>
        <v/>
      </c>
      <c r="AO20" s="73" t="str">
        <f t="shared" si="14"/>
        <v/>
      </c>
      <c r="AP20" s="73" t="str">
        <f t="shared" si="14"/>
        <v/>
      </c>
      <c r="AQ20" s="73" t="str">
        <f t="shared" si="14"/>
        <v/>
      </c>
      <c r="AR20" s="73" t="str">
        <f t="shared" si="14"/>
        <v/>
      </c>
      <c r="AS20" s="73" t="str">
        <f t="shared" si="14"/>
        <v/>
      </c>
      <c r="AT20" s="73" t="str">
        <f t="shared" si="14"/>
        <v/>
      </c>
      <c r="AU20" s="73" t="str">
        <f t="shared" si="14"/>
        <v/>
      </c>
      <c r="AV20" s="73" t="str">
        <f t="shared" si="14"/>
        <v/>
      </c>
      <c r="AW20" s="73" t="str">
        <f t="shared" si="14"/>
        <v/>
      </c>
      <c r="AX20" s="73" t="str">
        <f t="shared" si="14"/>
        <v/>
      </c>
      <c r="AY20" s="73" t="str">
        <f t="shared" si="14"/>
        <v/>
      </c>
      <c r="AZ20" s="73" t="str">
        <f t="shared" si="14"/>
        <v/>
      </c>
      <c r="BA20" s="73" t="str">
        <f t="shared" si="14"/>
        <v/>
      </c>
      <c r="BB20" s="73" t="str">
        <f t="shared" si="14"/>
        <v/>
      </c>
      <c r="BC20" s="73" t="str">
        <f t="shared" si="14"/>
        <v/>
      </c>
      <c r="BD20" s="73" t="str">
        <f t="shared" si="14"/>
        <v/>
      </c>
      <c r="BE20" s="73" t="str">
        <f t="shared" si="14"/>
        <v/>
      </c>
      <c r="BF20" s="73" t="str">
        <f t="shared" si="14"/>
        <v/>
      </c>
      <c r="BG20" s="73" t="str">
        <f t="shared" si="14"/>
        <v/>
      </c>
      <c r="BH20" s="73" t="str">
        <f t="shared" si="14"/>
        <v/>
      </c>
      <c r="BI20" s="73" t="str">
        <f t="shared" si="14"/>
        <v/>
      </c>
      <c r="BJ20" s="73" t="str">
        <f t="shared" si="14"/>
        <v/>
      </c>
      <c r="BK20" s="73" t="str">
        <f t="shared" si="14"/>
        <v/>
      </c>
      <c r="BL20" s="73" t="str">
        <f t="shared" si="14"/>
        <v/>
      </c>
      <c r="BM20" s="73" t="str">
        <f t="shared" si="14"/>
        <v/>
      </c>
      <c r="BN20" s="73" t="str">
        <f t="shared" si="14"/>
        <v/>
      </c>
      <c r="BO20" s="73" t="str">
        <f t="shared" si="14"/>
        <v/>
      </c>
      <c r="BP20" s="73" t="str">
        <f t="shared" si="14"/>
        <v/>
      </c>
      <c r="BQ20" s="73" t="str">
        <f t="shared" si="14"/>
        <v/>
      </c>
      <c r="BR20" s="73" t="str">
        <f t="shared" si="14"/>
        <v/>
      </c>
      <c r="BS20" s="73" t="str">
        <f t="shared" si="14"/>
        <v/>
      </c>
      <c r="BT20" s="73" t="str">
        <f t="shared" si="14"/>
        <v/>
      </c>
      <c r="BU20" s="73" t="str">
        <f t="shared" si="14"/>
        <v/>
      </c>
      <c r="BV20" s="73" t="str">
        <f t="shared" si="14"/>
        <v/>
      </c>
      <c r="BW20" s="73" t="str">
        <f t="shared" si="14"/>
        <v/>
      </c>
      <c r="BX20" s="73" t="str">
        <f t="shared" si="14"/>
        <v/>
      </c>
      <c r="BY20" s="73" t="str">
        <f t="shared" si="14"/>
        <v/>
      </c>
      <c r="BZ20" s="73" t="str">
        <f t="shared" si="14"/>
        <v/>
      </c>
      <c r="CA20" s="73" t="str">
        <f t="shared" si="14"/>
        <v/>
      </c>
      <c r="CB20" s="73" t="str">
        <f t="shared" si="14"/>
        <v/>
      </c>
      <c r="CC20" s="73" t="str">
        <f t="shared" si="14"/>
        <v/>
      </c>
      <c r="CD20" s="73" t="str">
        <f t="shared" si="14"/>
        <v/>
      </c>
      <c r="CE20" s="73" t="str">
        <f t="shared" si="14"/>
        <v/>
      </c>
      <c r="CF20" s="73" t="str">
        <f t="shared" si="14"/>
        <v/>
      </c>
      <c r="CG20" s="73" t="str">
        <f t="shared" si="14"/>
        <v/>
      </c>
      <c r="CH20" s="73" t="str">
        <f t="shared" si="14"/>
        <v/>
      </c>
      <c r="CI20" s="73" t="str">
        <f t="shared" si="14"/>
        <v/>
      </c>
      <c r="CJ20" s="73" t="str">
        <f t="shared" si="14"/>
        <v/>
      </c>
      <c r="CK20" s="73" t="str">
        <f t="shared" si="14"/>
        <v/>
      </c>
      <c r="CL20" s="73" t="str">
        <f t="shared" si="14"/>
        <v/>
      </c>
      <c r="CM20" s="73" t="str">
        <f t="shared" si="14"/>
        <v/>
      </c>
      <c r="CN20" s="73" t="str">
        <f t="shared" si="14"/>
        <v/>
      </c>
      <c r="CO20" s="73" t="str">
        <f t="shared" si="14"/>
        <v/>
      </c>
      <c r="CP20" s="73" t="str">
        <f t="shared" si="14"/>
        <v/>
      </c>
      <c r="CQ20" s="73" t="str">
        <f t="shared" si="14"/>
        <v/>
      </c>
      <c r="CR20" s="73" t="str">
        <f t="shared" si="14"/>
        <v/>
      </c>
      <c r="CS20" s="73" t="str">
        <f t="shared" si="14"/>
        <v/>
      </c>
      <c r="CT20" s="73" t="str">
        <f t="shared" si="14"/>
        <v/>
      </c>
      <c r="CU20" s="73" t="str">
        <f t="shared" si="14"/>
        <v/>
      </c>
      <c r="CV20" s="73" t="str">
        <f t="shared" si="14"/>
        <v/>
      </c>
      <c r="CW20" s="73" t="str">
        <f t="shared" si="14"/>
        <v/>
      </c>
      <c r="CX20" s="73" t="str">
        <f t="shared" si="14"/>
        <v/>
      </c>
      <c r="CY20" s="73" t="str">
        <f t="shared" si="14"/>
        <v/>
      </c>
      <c r="CZ20" s="73" t="str">
        <f t="shared" si="14"/>
        <v/>
      </c>
      <c r="DA20" s="73" t="str">
        <f t="shared" si="14"/>
        <v/>
      </c>
      <c r="DB20" s="73" t="str">
        <f t="shared" si="14"/>
        <v/>
      </c>
      <c r="DC20" s="73" t="str">
        <f t="shared" si="14"/>
        <v/>
      </c>
      <c r="DD20" s="73" t="str">
        <f t="shared" si="14"/>
        <v/>
      </c>
      <c r="DE20" s="73" t="str">
        <f t="shared" si="14"/>
        <v/>
      </c>
      <c r="DF20" s="73" t="str">
        <f t="shared" si="14"/>
        <v/>
      </c>
      <c r="DG20" s="73" t="str">
        <f t="shared" si="14"/>
        <v/>
      </c>
      <c r="DH20" s="73" t="str">
        <f t="shared" si="14"/>
        <v/>
      </c>
      <c r="DI20" s="73" t="str">
        <f t="shared" si="14"/>
        <v/>
      </c>
      <c r="DJ20" s="73" t="str">
        <f t="shared" si="14"/>
        <v/>
      </c>
      <c r="DK20" s="73" t="str">
        <f t="shared" si="14"/>
        <v/>
      </c>
      <c r="DL20" s="73" t="str">
        <f t="shared" si="14"/>
        <v/>
      </c>
      <c r="DM20" s="73" t="str">
        <f t="shared" si="14"/>
        <v/>
      </c>
      <c r="DN20" s="73" t="str">
        <f t="shared" si="14"/>
        <v/>
      </c>
      <c r="DO20" s="73" t="str">
        <f t="shared" si="14"/>
        <v/>
      </c>
      <c r="DP20" s="73" t="str">
        <f t="shared" si="14"/>
        <v/>
      </c>
      <c r="DQ20" s="73" t="str">
        <f t="shared" si="14"/>
        <v/>
      </c>
      <c r="DR20" s="73" t="str">
        <f t="shared" si="14"/>
        <v/>
      </c>
      <c r="DS20" s="73" t="str">
        <f t="shared" si="14"/>
        <v/>
      </c>
      <c r="DT20" s="73" t="str">
        <f t="shared" si="14"/>
        <v/>
      </c>
      <c r="DU20" s="73" t="str">
        <f t="shared" si="14"/>
        <v/>
      </c>
      <c r="DV20" s="73" t="str">
        <f t="shared" si="14"/>
        <v/>
      </c>
      <c r="DW20" s="73" t="str">
        <f t="shared" si="14"/>
        <v/>
      </c>
      <c r="DX20" s="73" t="str">
        <f t="shared" si="14"/>
        <v/>
      </c>
      <c r="DY20" s="73" t="str">
        <f t="shared" si="14"/>
        <v/>
      </c>
      <c r="DZ20" s="73" t="str">
        <f t="shared" si="14"/>
        <v/>
      </c>
      <c r="EA20" s="73" t="str">
        <f t="shared" si="14"/>
        <v/>
      </c>
      <c r="EB20" s="73" t="str">
        <f t="shared" si="14"/>
        <v/>
      </c>
      <c r="EC20" s="73" t="str">
        <f t="shared" si="14"/>
        <v/>
      </c>
      <c r="ED20" s="73" t="str">
        <f t="shared" si="14"/>
        <v/>
      </c>
      <c r="EE20" s="73" t="str">
        <f t="shared" si="14"/>
        <v/>
      </c>
      <c r="EF20" s="73" t="str">
        <f t="shared" si="14"/>
        <v/>
      </c>
      <c r="EG20" s="73" t="str">
        <f t="shared" si="14"/>
        <v/>
      </c>
      <c r="EH20" s="73" t="str">
        <f t="shared" si="14"/>
        <v/>
      </c>
      <c r="EI20" s="73" t="str">
        <f t="shared" si="14"/>
        <v/>
      </c>
      <c r="EJ20" s="73" t="str">
        <f t="shared" si="14"/>
        <v/>
      </c>
      <c r="EK20" s="73" t="str">
        <f t="shared" si="14"/>
        <v/>
      </c>
      <c r="EL20" s="73" t="str">
        <f t="shared" si="14"/>
        <v/>
      </c>
      <c r="EM20" s="73" t="str">
        <f t="shared" si="14"/>
        <v/>
      </c>
      <c r="EN20" s="73" t="str">
        <f t="shared" si="14"/>
        <v/>
      </c>
      <c r="EO20" s="73" t="str">
        <f t="shared" si="14"/>
        <v/>
      </c>
      <c r="EP20" s="73" t="str">
        <f t="shared" si="14"/>
        <v/>
      </c>
      <c r="EQ20" s="73" t="str">
        <f t="shared" si="14"/>
        <v/>
      </c>
      <c r="ER20" s="73" t="str">
        <f t="shared" si="14"/>
        <v/>
      </c>
      <c r="ES20" s="73" t="str">
        <f t="shared" si="14"/>
        <v/>
      </c>
    </row>
    <row r="21" outlineLevel="1">
      <c r="A21" s="33"/>
      <c r="B21" s="58">
        <v>7.0</v>
      </c>
      <c r="C21" s="68" t="s">
        <v>145</v>
      </c>
      <c r="D21" s="68"/>
      <c r="E21" s="70">
        <f>E9-100</f>
        <v>45313</v>
      </c>
      <c r="F21" s="70">
        <f t="shared" si="4"/>
        <v>45313</v>
      </c>
      <c r="G21" s="71">
        <v>0.0</v>
      </c>
      <c r="H21" s="72">
        <v>1.0</v>
      </c>
      <c r="I21" s="73" t="str">
        <f t="shared" ref="I21:ES21" si="15">IF(AND($E21&lt;=I$6,$F21&gt;=I$6),"X","")</f>
        <v/>
      </c>
      <c r="J21" s="73" t="str">
        <f t="shared" si="15"/>
        <v/>
      </c>
      <c r="K21" s="73" t="str">
        <f t="shared" si="15"/>
        <v/>
      </c>
      <c r="L21" s="73" t="str">
        <f t="shared" si="15"/>
        <v/>
      </c>
      <c r="M21" s="73" t="str">
        <f t="shared" si="15"/>
        <v/>
      </c>
      <c r="N21" s="73" t="str">
        <f t="shared" si="15"/>
        <v/>
      </c>
      <c r="O21" s="73" t="str">
        <f t="shared" si="15"/>
        <v/>
      </c>
      <c r="P21" s="73" t="str">
        <f t="shared" si="15"/>
        <v/>
      </c>
      <c r="Q21" s="73" t="str">
        <f t="shared" si="15"/>
        <v/>
      </c>
      <c r="R21" s="73" t="str">
        <f t="shared" si="15"/>
        <v/>
      </c>
      <c r="S21" s="73" t="str">
        <f t="shared" si="15"/>
        <v/>
      </c>
      <c r="T21" s="73" t="str">
        <f t="shared" si="15"/>
        <v/>
      </c>
      <c r="U21" s="73" t="str">
        <f t="shared" si="15"/>
        <v/>
      </c>
      <c r="V21" s="73" t="str">
        <f t="shared" si="15"/>
        <v/>
      </c>
      <c r="W21" s="73" t="str">
        <f t="shared" si="15"/>
        <v/>
      </c>
      <c r="X21" s="73" t="str">
        <f t="shared" si="15"/>
        <v/>
      </c>
      <c r="Y21" s="73" t="str">
        <f t="shared" si="15"/>
        <v/>
      </c>
      <c r="Z21" s="73" t="str">
        <f t="shared" si="15"/>
        <v/>
      </c>
      <c r="AA21" s="73" t="str">
        <f t="shared" si="15"/>
        <v/>
      </c>
      <c r="AB21" s="73" t="str">
        <f t="shared" si="15"/>
        <v/>
      </c>
      <c r="AC21" s="73" t="str">
        <f t="shared" si="15"/>
        <v/>
      </c>
      <c r="AD21" s="73" t="str">
        <f t="shared" si="15"/>
        <v/>
      </c>
      <c r="AE21" s="73" t="str">
        <f t="shared" si="15"/>
        <v/>
      </c>
      <c r="AF21" s="73" t="str">
        <f t="shared" si="15"/>
        <v/>
      </c>
      <c r="AG21" s="73" t="str">
        <f t="shared" si="15"/>
        <v/>
      </c>
      <c r="AH21" s="73" t="str">
        <f t="shared" si="15"/>
        <v/>
      </c>
      <c r="AI21" s="73" t="str">
        <f t="shared" si="15"/>
        <v/>
      </c>
      <c r="AJ21" s="73" t="str">
        <f t="shared" si="15"/>
        <v/>
      </c>
      <c r="AK21" s="73" t="str">
        <f t="shared" si="15"/>
        <v/>
      </c>
      <c r="AL21" s="73" t="str">
        <f t="shared" si="15"/>
        <v/>
      </c>
      <c r="AM21" s="73" t="str">
        <f t="shared" si="15"/>
        <v/>
      </c>
      <c r="AN21" s="73" t="str">
        <f t="shared" si="15"/>
        <v/>
      </c>
      <c r="AO21" s="73" t="str">
        <f t="shared" si="15"/>
        <v/>
      </c>
      <c r="AP21" s="73" t="str">
        <f t="shared" si="15"/>
        <v/>
      </c>
      <c r="AQ21" s="73" t="str">
        <f t="shared" si="15"/>
        <v/>
      </c>
      <c r="AR21" s="73" t="str">
        <f t="shared" si="15"/>
        <v/>
      </c>
      <c r="AS21" s="73" t="str">
        <f t="shared" si="15"/>
        <v/>
      </c>
      <c r="AT21" s="73" t="str">
        <f t="shared" si="15"/>
        <v/>
      </c>
      <c r="AU21" s="73" t="str">
        <f t="shared" si="15"/>
        <v/>
      </c>
      <c r="AV21" s="73" t="str">
        <f t="shared" si="15"/>
        <v/>
      </c>
      <c r="AW21" s="73" t="str">
        <f t="shared" si="15"/>
        <v/>
      </c>
      <c r="AX21" s="73" t="str">
        <f t="shared" si="15"/>
        <v/>
      </c>
      <c r="AY21" s="73" t="str">
        <f t="shared" si="15"/>
        <v/>
      </c>
      <c r="AZ21" s="73" t="str">
        <f t="shared" si="15"/>
        <v/>
      </c>
      <c r="BA21" s="73" t="str">
        <f t="shared" si="15"/>
        <v/>
      </c>
      <c r="BB21" s="73" t="str">
        <f t="shared" si="15"/>
        <v/>
      </c>
      <c r="BC21" s="73" t="str">
        <f t="shared" si="15"/>
        <v/>
      </c>
      <c r="BD21" s="73" t="str">
        <f t="shared" si="15"/>
        <v/>
      </c>
      <c r="BE21" s="73" t="str">
        <f t="shared" si="15"/>
        <v/>
      </c>
      <c r="BF21" s="73" t="str">
        <f t="shared" si="15"/>
        <v/>
      </c>
      <c r="BG21" s="73" t="str">
        <f t="shared" si="15"/>
        <v/>
      </c>
      <c r="BH21" s="73" t="str">
        <f t="shared" si="15"/>
        <v/>
      </c>
      <c r="BI21" s="73" t="str">
        <f t="shared" si="15"/>
        <v/>
      </c>
      <c r="BJ21" s="73" t="str">
        <f t="shared" si="15"/>
        <v/>
      </c>
      <c r="BK21" s="73" t="str">
        <f t="shared" si="15"/>
        <v/>
      </c>
      <c r="BL21" s="73" t="str">
        <f t="shared" si="15"/>
        <v/>
      </c>
      <c r="BM21" s="73" t="str">
        <f t="shared" si="15"/>
        <v/>
      </c>
      <c r="BN21" s="73" t="str">
        <f t="shared" si="15"/>
        <v/>
      </c>
      <c r="BO21" s="73" t="str">
        <f t="shared" si="15"/>
        <v/>
      </c>
      <c r="BP21" s="73" t="str">
        <f t="shared" si="15"/>
        <v/>
      </c>
      <c r="BQ21" s="73" t="str">
        <f t="shared" si="15"/>
        <v/>
      </c>
      <c r="BR21" s="73" t="str">
        <f t="shared" si="15"/>
        <v/>
      </c>
      <c r="BS21" s="73" t="str">
        <f t="shared" si="15"/>
        <v/>
      </c>
      <c r="BT21" s="73" t="str">
        <f t="shared" si="15"/>
        <v/>
      </c>
      <c r="BU21" s="73" t="str">
        <f t="shared" si="15"/>
        <v/>
      </c>
      <c r="BV21" s="73" t="str">
        <f t="shared" si="15"/>
        <v/>
      </c>
      <c r="BW21" s="73" t="str">
        <f t="shared" si="15"/>
        <v/>
      </c>
      <c r="BX21" s="73" t="str">
        <f t="shared" si="15"/>
        <v/>
      </c>
      <c r="BY21" s="73" t="str">
        <f t="shared" si="15"/>
        <v/>
      </c>
      <c r="BZ21" s="73" t="str">
        <f t="shared" si="15"/>
        <v/>
      </c>
      <c r="CA21" s="73" t="str">
        <f t="shared" si="15"/>
        <v/>
      </c>
      <c r="CB21" s="73" t="str">
        <f t="shared" si="15"/>
        <v/>
      </c>
      <c r="CC21" s="73" t="str">
        <f t="shared" si="15"/>
        <v/>
      </c>
      <c r="CD21" s="73" t="str">
        <f t="shared" si="15"/>
        <v/>
      </c>
      <c r="CE21" s="73" t="str">
        <f t="shared" si="15"/>
        <v/>
      </c>
      <c r="CF21" s="73" t="str">
        <f t="shared" si="15"/>
        <v/>
      </c>
      <c r="CG21" s="73" t="str">
        <f t="shared" si="15"/>
        <v/>
      </c>
      <c r="CH21" s="73" t="str">
        <f t="shared" si="15"/>
        <v/>
      </c>
      <c r="CI21" s="73" t="str">
        <f t="shared" si="15"/>
        <v/>
      </c>
      <c r="CJ21" s="73" t="str">
        <f t="shared" si="15"/>
        <v/>
      </c>
      <c r="CK21" s="73" t="str">
        <f t="shared" si="15"/>
        <v/>
      </c>
      <c r="CL21" s="73" t="str">
        <f t="shared" si="15"/>
        <v/>
      </c>
      <c r="CM21" s="73" t="str">
        <f t="shared" si="15"/>
        <v/>
      </c>
      <c r="CN21" s="73" t="str">
        <f t="shared" si="15"/>
        <v/>
      </c>
      <c r="CO21" s="73" t="str">
        <f t="shared" si="15"/>
        <v/>
      </c>
      <c r="CP21" s="73" t="str">
        <f t="shared" si="15"/>
        <v/>
      </c>
      <c r="CQ21" s="73" t="str">
        <f t="shared" si="15"/>
        <v/>
      </c>
      <c r="CR21" s="73" t="str">
        <f t="shared" si="15"/>
        <v/>
      </c>
      <c r="CS21" s="73" t="str">
        <f t="shared" si="15"/>
        <v/>
      </c>
      <c r="CT21" s="73" t="str">
        <f t="shared" si="15"/>
        <v/>
      </c>
      <c r="CU21" s="73" t="str">
        <f t="shared" si="15"/>
        <v/>
      </c>
      <c r="CV21" s="73" t="str">
        <f t="shared" si="15"/>
        <v/>
      </c>
      <c r="CW21" s="73" t="str">
        <f t="shared" si="15"/>
        <v/>
      </c>
      <c r="CX21" s="73" t="str">
        <f t="shared" si="15"/>
        <v/>
      </c>
      <c r="CY21" s="73" t="str">
        <f t="shared" si="15"/>
        <v/>
      </c>
      <c r="CZ21" s="73" t="str">
        <f t="shared" si="15"/>
        <v/>
      </c>
      <c r="DA21" s="73" t="str">
        <f t="shared" si="15"/>
        <v/>
      </c>
      <c r="DB21" s="73" t="str">
        <f t="shared" si="15"/>
        <v/>
      </c>
      <c r="DC21" s="73" t="str">
        <f t="shared" si="15"/>
        <v/>
      </c>
      <c r="DD21" s="73" t="str">
        <f t="shared" si="15"/>
        <v/>
      </c>
      <c r="DE21" s="73" t="str">
        <f t="shared" si="15"/>
        <v/>
      </c>
      <c r="DF21" s="73" t="str">
        <f t="shared" si="15"/>
        <v/>
      </c>
      <c r="DG21" s="73" t="str">
        <f t="shared" si="15"/>
        <v/>
      </c>
      <c r="DH21" s="73" t="str">
        <f t="shared" si="15"/>
        <v/>
      </c>
      <c r="DI21" s="73" t="str">
        <f t="shared" si="15"/>
        <v/>
      </c>
      <c r="DJ21" s="73" t="str">
        <f t="shared" si="15"/>
        <v/>
      </c>
      <c r="DK21" s="73" t="str">
        <f t="shared" si="15"/>
        <v/>
      </c>
      <c r="DL21" s="73" t="str">
        <f t="shared" si="15"/>
        <v/>
      </c>
      <c r="DM21" s="73" t="str">
        <f t="shared" si="15"/>
        <v/>
      </c>
      <c r="DN21" s="73" t="str">
        <f t="shared" si="15"/>
        <v/>
      </c>
      <c r="DO21" s="73" t="str">
        <f t="shared" si="15"/>
        <v/>
      </c>
      <c r="DP21" s="73" t="str">
        <f t="shared" si="15"/>
        <v/>
      </c>
      <c r="DQ21" s="73" t="str">
        <f t="shared" si="15"/>
        <v/>
      </c>
      <c r="DR21" s="73" t="str">
        <f t="shared" si="15"/>
        <v/>
      </c>
      <c r="DS21" s="73" t="str">
        <f t="shared" si="15"/>
        <v/>
      </c>
      <c r="DT21" s="73" t="str">
        <f t="shared" si="15"/>
        <v/>
      </c>
      <c r="DU21" s="73" t="str">
        <f t="shared" si="15"/>
        <v/>
      </c>
      <c r="DV21" s="73" t="str">
        <f t="shared" si="15"/>
        <v/>
      </c>
      <c r="DW21" s="73" t="str">
        <f t="shared" si="15"/>
        <v/>
      </c>
      <c r="DX21" s="73" t="str">
        <f t="shared" si="15"/>
        <v/>
      </c>
      <c r="DY21" s="73" t="str">
        <f t="shared" si="15"/>
        <v/>
      </c>
      <c r="DZ21" s="73" t="str">
        <f t="shared" si="15"/>
        <v/>
      </c>
      <c r="EA21" s="73" t="str">
        <f t="shared" si="15"/>
        <v/>
      </c>
      <c r="EB21" s="73" t="str">
        <f t="shared" si="15"/>
        <v/>
      </c>
      <c r="EC21" s="73" t="str">
        <f t="shared" si="15"/>
        <v/>
      </c>
      <c r="ED21" s="73" t="str">
        <f t="shared" si="15"/>
        <v/>
      </c>
      <c r="EE21" s="73" t="str">
        <f t="shared" si="15"/>
        <v/>
      </c>
      <c r="EF21" s="73" t="str">
        <f t="shared" si="15"/>
        <v/>
      </c>
      <c r="EG21" s="73" t="str">
        <f t="shared" si="15"/>
        <v/>
      </c>
      <c r="EH21" s="73" t="str">
        <f t="shared" si="15"/>
        <v/>
      </c>
      <c r="EI21" s="73" t="str">
        <f t="shared" si="15"/>
        <v/>
      </c>
      <c r="EJ21" s="73" t="str">
        <f t="shared" si="15"/>
        <v/>
      </c>
      <c r="EK21" s="73" t="str">
        <f t="shared" si="15"/>
        <v/>
      </c>
      <c r="EL21" s="73" t="str">
        <f t="shared" si="15"/>
        <v/>
      </c>
      <c r="EM21" s="73" t="str">
        <f t="shared" si="15"/>
        <v/>
      </c>
      <c r="EN21" s="73" t="str">
        <f t="shared" si="15"/>
        <v/>
      </c>
      <c r="EO21" s="73" t="str">
        <f t="shared" si="15"/>
        <v/>
      </c>
      <c r="EP21" s="73" t="str">
        <f t="shared" si="15"/>
        <v/>
      </c>
      <c r="EQ21" s="73" t="str">
        <f t="shared" si="15"/>
        <v/>
      </c>
      <c r="ER21" s="73" t="str">
        <f t="shared" si="15"/>
        <v/>
      </c>
      <c r="ES21" s="73" t="str">
        <f t="shared" si="15"/>
        <v/>
      </c>
    </row>
    <row r="22" outlineLevel="1">
      <c r="A22" s="33"/>
      <c r="B22" s="58">
        <v>8.0</v>
      </c>
      <c r="C22" s="68" t="s">
        <v>146</v>
      </c>
      <c r="D22" s="68"/>
      <c r="E22" s="70">
        <f>E21</f>
        <v>45313</v>
      </c>
      <c r="F22" s="70">
        <f t="shared" si="4"/>
        <v>45313</v>
      </c>
      <c r="G22" s="71">
        <v>0.0</v>
      </c>
      <c r="H22" s="72">
        <v>1.0</v>
      </c>
      <c r="I22" s="73" t="str">
        <f t="shared" ref="I22:ES22" si="16">IF(AND($E22&lt;=I$6,$F22&gt;=I$6),"X","")</f>
        <v/>
      </c>
      <c r="J22" s="73" t="str">
        <f t="shared" si="16"/>
        <v/>
      </c>
      <c r="K22" s="73" t="str">
        <f t="shared" si="16"/>
        <v/>
      </c>
      <c r="L22" s="73" t="str">
        <f t="shared" si="16"/>
        <v/>
      </c>
      <c r="M22" s="73" t="str">
        <f t="shared" si="16"/>
        <v/>
      </c>
      <c r="N22" s="73" t="str">
        <f t="shared" si="16"/>
        <v/>
      </c>
      <c r="O22" s="73" t="str">
        <f t="shared" si="16"/>
        <v/>
      </c>
      <c r="P22" s="73" t="str">
        <f t="shared" si="16"/>
        <v/>
      </c>
      <c r="Q22" s="73" t="str">
        <f t="shared" si="16"/>
        <v/>
      </c>
      <c r="R22" s="73" t="str">
        <f t="shared" si="16"/>
        <v/>
      </c>
      <c r="S22" s="73" t="str">
        <f t="shared" si="16"/>
        <v/>
      </c>
      <c r="T22" s="73" t="str">
        <f t="shared" si="16"/>
        <v/>
      </c>
      <c r="U22" s="73" t="str">
        <f t="shared" si="16"/>
        <v/>
      </c>
      <c r="V22" s="73" t="str">
        <f t="shared" si="16"/>
        <v/>
      </c>
      <c r="W22" s="73" t="str">
        <f t="shared" si="16"/>
        <v/>
      </c>
      <c r="X22" s="73" t="str">
        <f t="shared" si="16"/>
        <v/>
      </c>
      <c r="Y22" s="73" t="str">
        <f t="shared" si="16"/>
        <v/>
      </c>
      <c r="Z22" s="73" t="str">
        <f t="shared" si="16"/>
        <v/>
      </c>
      <c r="AA22" s="73" t="str">
        <f t="shared" si="16"/>
        <v/>
      </c>
      <c r="AB22" s="73" t="str">
        <f t="shared" si="16"/>
        <v/>
      </c>
      <c r="AC22" s="73" t="str">
        <f t="shared" si="16"/>
        <v/>
      </c>
      <c r="AD22" s="73" t="str">
        <f t="shared" si="16"/>
        <v/>
      </c>
      <c r="AE22" s="73" t="str">
        <f t="shared" si="16"/>
        <v/>
      </c>
      <c r="AF22" s="73" t="str">
        <f t="shared" si="16"/>
        <v/>
      </c>
      <c r="AG22" s="73" t="str">
        <f t="shared" si="16"/>
        <v/>
      </c>
      <c r="AH22" s="73" t="str">
        <f t="shared" si="16"/>
        <v/>
      </c>
      <c r="AI22" s="73" t="str">
        <f t="shared" si="16"/>
        <v/>
      </c>
      <c r="AJ22" s="73" t="str">
        <f t="shared" si="16"/>
        <v/>
      </c>
      <c r="AK22" s="73" t="str">
        <f t="shared" si="16"/>
        <v/>
      </c>
      <c r="AL22" s="73" t="str">
        <f t="shared" si="16"/>
        <v/>
      </c>
      <c r="AM22" s="73" t="str">
        <f t="shared" si="16"/>
        <v/>
      </c>
      <c r="AN22" s="73" t="str">
        <f t="shared" si="16"/>
        <v/>
      </c>
      <c r="AO22" s="73" t="str">
        <f t="shared" si="16"/>
        <v/>
      </c>
      <c r="AP22" s="73" t="str">
        <f t="shared" si="16"/>
        <v/>
      </c>
      <c r="AQ22" s="73" t="str">
        <f t="shared" si="16"/>
        <v/>
      </c>
      <c r="AR22" s="73" t="str">
        <f t="shared" si="16"/>
        <v/>
      </c>
      <c r="AS22" s="73" t="str">
        <f t="shared" si="16"/>
        <v/>
      </c>
      <c r="AT22" s="73" t="str">
        <f t="shared" si="16"/>
        <v/>
      </c>
      <c r="AU22" s="73" t="str">
        <f t="shared" si="16"/>
        <v/>
      </c>
      <c r="AV22" s="73" t="str">
        <f t="shared" si="16"/>
        <v/>
      </c>
      <c r="AW22" s="73" t="str">
        <f t="shared" si="16"/>
        <v/>
      </c>
      <c r="AX22" s="73" t="str">
        <f t="shared" si="16"/>
        <v/>
      </c>
      <c r="AY22" s="73" t="str">
        <f t="shared" si="16"/>
        <v/>
      </c>
      <c r="AZ22" s="73" t="str">
        <f t="shared" si="16"/>
        <v/>
      </c>
      <c r="BA22" s="73" t="str">
        <f t="shared" si="16"/>
        <v/>
      </c>
      <c r="BB22" s="73" t="str">
        <f t="shared" si="16"/>
        <v/>
      </c>
      <c r="BC22" s="73" t="str">
        <f t="shared" si="16"/>
        <v/>
      </c>
      <c r="BD22" s="73" t="str">
        <f t="shared" si="16"/>
        <v/>
      </c>
      <c r="BE22" s="73" t="str">
        <f t="shared" si="16"/>
        <v/>
      </c>
      <c r="BF22" s="73" t="str">
        <f t="shared" si="16"/>
        <v/>
      </c>
      <c r="BG22" s="73" t="str">
        <f t="shared" si="16"/>
        <v/>
      </c>
      <c r="BH22" s="73" t="str">
        <f t="shared" si="16"/>
        <v/>
      </c>
      <c r="BI22" s="73" t="str">
        <f t="shared" si="16"/>
        <v/>
      </c>
      <c r="BJ22" s="73" t="str">
        <f t="shared" si="16"/>
        <v/>
      </c>
      <c r="BK22" s="73" t="str">
        <f t="shared" si="16"/>
        <v/>
      </c>
      <c r="BL22" s="73" t="str">
        <f t="shared" si="16"/>
        <v/>
      </c>
      <c r="BM22" s="73" t="str">
        <f t="shared" si="16"/>
        <v/>
      </c>
      <c r="BN22" s="73" t="str">
        <f t="shared" si="16"/>
        <v/>
      </c>
      <c r="BO22" s="73" t="str">
        <f t="shared" si="16"/>
        <v/>
      </c>
      <c r="BP22" s="73" t="str">
        <f t="shared" si="16"/>
        <v/>
      </c>
      <c r="BQ22" s="73" t="str">
        <f t="shared" si="16"/>
        <v/>
      </c>
      <c r="BR22" s="73" t="str">
        <f t="shared" si="16"/>
        <v/>
      </c>
      <c r="BS22" s="73" t="str">
        <f t="shared" si="16"/>
        <v/>
      </c>
      <c r="BT22" s="73" t="str">
        <f t="shared" si="16"/>
        <v/>
      </c>
      <c r="BU22" s="73" t="str">
        <f t="shared" si="16"/>
        <v/>
      </c>
      <c r="BV22" s="73" t="str">
        <f t="shared" si="16"/>
        <v/>
      </c>
      <c r="BW22" s="73" t="str">
        <f t="shared" si="16"/>
        <v/>
      </c>
      <c r="BX22" s="73" t="str">
        <f t="shared" si="16"/>
        <v/>
      </c>
      <c r="BY22" s="73" t="str">
        <f t="shared" si="16"/>
        <v/>
      </c>
      <c r="BZ22" s="73" t="str">
        <f t="shared" si="16"/>
        <v/>
      </c>
      <c r="CA22" s="73" t="str">
        <f t="shared" si="16"/>
        <v/>
      </c>
      <c r="CB22" s="73" t="str">
        <f t="shared" si="16"/>
        <v/>
      </c>
      <c r="CC22" s="73" t="str">
        <f t="shared" si="16"/>
        <v/>
      </c>
      <c r="CD22" s="73" t="str">
        <f t="shared" si="16"/>
        <v/>
      </c>
      <c r="CE22" s="73" t="str">
        <f t="shared" si="16"/>
        <v/>
      </c>
      <c r="CF22" s="73" t="str">
        <f t="shared" si="16"/>
        <v/>
      </c>
      <c r="CG22" s="73" t="str">
        <f t="shared" si="16"/>
        <v/>
      </c>
      <c r="CH22" s="73" t="str">
        <f t="shared" si="16"/>
        <v/>
      </c>
      <c r="CI22" s="73" t="str">
        <f t="shared" si="16"/>
        <v/>
      </c>
      <c r="CJ22" s="73" t="str">
        <f t="shared" si="16"/>
        <v/>
      </c>
      <c r="CK22" s="73" t="str">
        <f t="shared" si="16"/>
        <v/>
      </c>
      <c r="CL22" s="73" t="str">
        <f t="shared" si="16"/>
        <v/>
      </c>
      <c r="CM22" s="73" t="str">
        <f t="shared" si="16"/>
        <v/>
      </c>
      <c r="CN22" s="73" t="str">
        <f t="shared" si="16"/>
        <v/>
      </c>
      <c r="CO22" s="73" t="str">
        <f t="shared" si="16"/>
        <v/>
      </c>
      <c r="CP22" s="73" t="str">
        <f t="shared" si="16"/>
        <v/>
      </c>
      <c r="CQ22" s="73" t="str">
        <f t="shared" si="16"/>
        <v/>
      </c>
      <c r="CR22" s="73" t="str">
        <f t="shared" si="16"/>
        <v/>
      </c>
      <c r="CS22" s="73" t="str">
        <f t="shared" si="16"/>
        <v/>
      </c>
      <c r="CT22" s="73" t="str">
        <f t="shared" si="16"/>
        <v/>
      </c>
      <c r="CU22" s="73" t="str">
        <f t="shared" si="16"/>
        <v/>
      </c>
      <c r="CV22" s="73" t="str">
        <f t="shared" si="16"/>
        <v/>
      </c>
      <c r="CW22" s="73" t="str">
        <f t="shared" si="16"/>
        <v/>
      </c>
      <c r="CX22" s="73" t="str">
        <f t="shared" si="16"/>
        <v/>
      </c>
      <c r="CY22" s="73" t="str">
        <f t="shared" si="16"/>
        <v/>
      </c>
      <c r="CZ22" s="73" t="str">
        <f t="shared" si="16"/>
        <v/>
      </c>
      <c r="DA22" s="73" t="str">
        <f t="shared" si="16"/>
        <v/>
      </c>
      <c r="DB22" s="73" t="str">
        <f t="shared" si="16"/>
        <v/>
      </c>
      <c r="DC22" s="73" t="str">
        <f t="shared" si="16"/>
        <v/>
      </c>
      <c r="DD22" s="73" t="str">
        <f t="shared" si="16"/>
        <v/>
      </c>
      <c r="DE22" s="73" t="str">
        <f t="shared" si="16"/>
        <v/>
      </c>
      <c r="DF22" s="73" t="str">
        <f t="shared" si="16"/>
        <v/>
      </c>
      <c r="DG22" s="73" t="str">
        <f t="shared" si="16"/>
        <v/>
      </c>
      <c r="DH22" s="73" t="str">
        <f t="shared" si="16"/>
        <v/>
      </c>
      <c r="DI22" s="73" t="str">
        <f t="shared" si="16"/>
        <v/>
      </c>
      <c r="DJ22" s="73" t="str">
        <f t="shared" si="16"/>
        <v/>
      </c>
      <c r="DK22" s="73" t="str">
        <f t="shared" si="16"/>
        <v/>
      </c>
      <c r="DL22" s="73" t="str">
        <f t="shared" si="16"/>
        <v/>
      </c>
      <c r="DM22" s="73" t="str">
        <f t="shared" si="16"/>
        <v/>
      </c>
      <c r="DN22" s="73" t="str">
        <f t="shared" si="16"/>
        <v/>
      </c>
      <c r="DO22" s="73" t="str">
        <f t="shared" si="16"/>
        <v/>
      </c>
      <c r="DP22" s="73" t="str">
        <f t="shared" si="16"/>
        <v/>
      </c>
      <c r="DQ22" s="73" t="str">
        <f t="shared" si="16"/>
        <v/>
      </c>
      <c r="DR22" s="73" t="str">
        <f t="shared" si="16"/>
        <v/>
      </c>
      <c r="DS22" s="73" t="str">
        <f t="shared" si="16"/>
        <v/>
      </c>
      <c r="DT22" s="73" t="str">
        <f t="shared" si="16"/>
        <v/>
      </c>
      <c r="DU22" s="73" t="str">
        <f t="shared" si="16"/>
        <v/>
      </c>
      <c r="DV22" s="73" t="str">
        <f t="shared" si="16"/>
        <v/>
      </c>
      <c r="DW22" s="73" t="str">
        <f t="shared" si="16"/>
        <v/>
      </c>
      <c r="DX22" s="73" t="str">
        <f t="shared" si="16"/>
        <v/>
      </c>
      <c r="DY22" s="73" t="str">
        <f t="shared" si="16"/>
        <v/>
      </c>
      <c r="DZ22" s="73" t="str">
        <f t="shared" si="16"/>
        <v/>
      </c>
      <c r="EA22" s="73" t="str">
        <f t="shared" si="16"/>
        <v/>
      </c>
      <c r="EB22" s="73" t="str">
        <f t="shared" si="16"/>
        <v/>
      </c>
      <c r="EC22" s="73" t="str">
        <f t="shared" si="16"/>
        <v/>
      </c>
      <c r="ED22" s="73" t="str">
        <f t="shared" si="16"/>
        <v/>
      </c>
      <c r="EE22" s="73" t="str">
        <f t="shared" si="16"/>
        <v/>
      </c>
      <c r="EF22" s="73" t="str">
        <f t="shared" si="16"/>
        <v/>
      </c>
      <c r="EG22" s="73" t="str">
        <f t="shared" si="16"/>
        <v/>
      </c>
      <c r="EH22" s="73" t="str">
        <f t="shared" si="16"/>
        <v/>
      </c>
      <c r="EI22" s="73" t="str">
        <f t="shared" si="16"/>
        <v/>
      </c>
      <c r="EJ22" s="73" t="str">
        <f t="shared" si="16"/>
        <v/>
      </c>
      <c r="EK22" s="73" t="str">
        <f t="shared" si="16"/>
        <v/>
      </c>
      <c r="EL22" s="73" t="str">
        <f t="shared" si="16"/>
        <v/>
      </c>
      <c r="EM22" s="73" t="str">
        <f t="shared" si="16"/>
        <v/>
      </c>
      <c r="EN22" s="73" t="str">
        <f t="shared" si="16"/>
        <v/>
      </c>
      <c r="EO22" s="73" t="str">
        <f t="shared" si="16"/>
        <v/>
      </c>
      <c r="EP22" s="73" t="str">
        <f t="shared" si="16"/>
        <v/>
      </c>
      <c r="EQ22" s="73" t="str">
        <f t="shared" si="16"/>
        <v/>
      </c>
      <c r="ER22" s="73" t="str">
        <f t="shared" si="16"/>
        <v/>
      </c>
      <c r="ES22" s="73" t="str">
        <f t="shared" si="16"/>
        <v/>
      </c>
    </row>
    <row r="23" outlineLevel="1">
      <c r="A23" s="33"/>
      <c r="B23" s="58">
        <v>9.0</v>
      </c>
      <c r="C23" s="68" t="s">
        <v>147</v>
      </c>
      <c r="D23" s="68"/>
      <c r="E23" s="70">
        <f>E10</f>
        <v>45413</v>
      </c>
      <c r="F23" s="70">
        <f t="shared" si="4"/>
        <v>45413</v>
      </c>
      <c r="G23" s="71">
        <v>0.0</v>
      </c>
      <c r="H23" s="72">
        <v>1.0</v>
      </c>
      <c r="I23" s="73" t="str">
        <f t="shared" ref="I23:ES23" si="17">IF(AND($E23&lt;=I$6,$F23&gt;=I$6),"X","")</f>
        <v>X</v>
      </c>
      <c r="J23" s="73" t="str">
        <f t="shared" si="17"/>
        <v/>
      </c>
      <c r="K23" s="73" t="str">
        <f t="shared" si="17"/>
        <v/>
      </c>
      <c r="L23" s="73" t="str">
        <f t="shared" si="17"/>
        <v/>
      </c>
      <c r="M23" s="73" t="str">
        <f t="shared" si="17"/>
        <v/>
      </c>
      <c r="N23" s="73" t="str">
        <f t="shared" si="17"/>
        <v/>
      </c>
      <c r="O23" s="73" t="str">
        <f t="shared" si="17"/>
        <v/>
      </c>
      <c r="P23" s="73" t="str">
        <f t="shared" si="17"/>
        <v/>
      </c>
      <c r="Q23" s="73" t="str">
        <f t="shared" si="17"/>
        <v/>
      </c>
      <c r="R23" s="73" t="str">
        <f t="shared" si="17"/>
        <v/>
      </c>
      <c r="S23" s="73" t="str">
        <f t="shared" si="17"/>
        <v/>
      </c>
      <c r="T23" s="73" t="str">
        <f t="shared" si="17"/>
        <v/>
      </c>
      <c r="U23" s="73" t="str">
        <f t="shared" si="17"/>
        <v/>
      </c>
      <c r="V23" s="73" t="str">
        <f t="shared" si="17"/>
        <v/>
      </c>
      <c r="W23" s="73" t="str">
        <f t="shared" si="17"/>
        <v/>
      </c>
      <c r="X23" s="73" t="str">
        <f t="shared" si="17"/>
        <v/>
      </c>
      <c r="Y23" s="73" t="str">
        <f t="shared" si="17"/>
        <v/>
      </c>
      <c r="Z23" s="73" t="str">
        <f t="shared" si="17"/>
        <v/>
      </c>
      <c r="AA23" s="73" t="str">
        <f t="shared" si="17"/>
        <v/>
      </c>
      <c r="AB23" s="73" t="str">
        <f t="shared" si="17"/>
        <v/>
      </c>
      <c r="AC23" s="73" t="str">
        <f t="shared" si="17"/>
        <v/>
      </c>
      <c r="AD23" s="73" t="str">
        <f t="shared" si="17"/>
        <v/>
      </c>
      <c r="AE23" s="73" t="str">
        <f t="shared" si="17"/>
        <v/>
      </c>
      <c r="AF23" s="73" t="str">
        <f t="shared" si="17"/>
        <v/>
      </c>
      <c r="AG23" s="73" t="str">
        <f t="shared" si="17"/>
        <v/>
      </c>
      <c r="AH23" s="73" t="str">
        <f t="shared" si="17"/>
        <v/>
      </c>
      <c r="AI23" s="73" t="str">
        <f t="shared" si="17"/>
        <v/>
      </c>
      <c r="AJ23" s="73" t="str">
        <f t="shared" si="17"/>
        <v/>
      </c>
      <c r="AK23" s="73" t="str">
        <f t="shared" si="17"/>
        <v/>
      </c>
      <c r="AL23" s="73" t="str">
        <f t="shared" si="17"/>
        <v/>
      </c>
      <c r="AM23" s="73" t="str">
        <f t="shared" si="17"/>
        <v/>
      </c>
      <c r="AN23" s="73" t="str">
        <f t="shared" si="17"/>
        <v/>
      </c>
      <c r="AO23" s="73" t="str">
        <f t="shared" si="17"/>
        <v/>
      </c>
      <c r="AP23" s="73" t="str">
        <f t="shared" si="17"/>
        <v/>
      </c>
      <c r="AQ23" s="73" t="str">
        <f t="shared" si="17"/>
        <v/>
      </c>
      <c r="AR23" s="73" t="str">
        <f t="shared" si="17"/>
        <v/>
      </c>
      <c r="AS23" s="73" t="str">
        <f t="shared" si="17"/>
        <v/>
      </c>
      <c r="AT23" s="73" t="str">
        <f t="shared" si="17"/>
        <v/>
      </c>
      <c r="AU23" s="73" t="str">
        <f t="shared" si="17"/>
        <v/>
      </c>
      <c r="AV23" s="73" t="str">
        <f t="shared" si="17"/>
        <v/>
      </c>
      <c r="AW23" s="73" t="str">
        <f t="shared" si="17"/>
        <v/>
      </c>
      <c r="AX23" s="73" t="str">
        <f t="shared" si="17"/>
        <v/>
      </c>
      <c r="AY23" s="73" t="str">
        <f t="shared" si="17"/>
        <v/>
      </c>
      <c r="AZ23" s="73" t="str">
        <f t="shared" si="17"/>
        <v/>
      </c>
      <c r="BA23" s="73" t="str">
        <f t="shared" si="17"/>
        <v/>
      </c>
      <c r="BB23" s="73" t="str">
        <f t="shared" si="17"/>
        <v/>
      </c>
      <c r="BC23" s="73" t="str">
        <f t="shared" si="17"/>
        <v/>
      </c>
      <c r="BD23" s="73" t="str">
        <f t="shared" si="17"/>
        <v/>
      </c>
      <c r="BE23" s="73" t="str">
        <f t="shared" si="17"/>
        <v/>
      </c>
      <c r="BF23" s="73" t="str">
        <f t="shared" si="17"/>
        <v/>
      </c>
      <c r="BG23" s="73" t="str">
        <f t="shared" si="17"/>
        <v/>
      </c>
      <c r="BH23" s="73" t="str">
        <f t="shared" si="17"/>
        <v/>
      </c>
      <c r="BI23" s="73" t="str">
        <f t="shared" si="17"/>
        <v/>
      </c>
      <c r="BJ23" s="73" t="str">
        <f t="shared" si="17"/>
        <v/>
      </c>
      <c r="BK23" s="73" t="str">
        <f t="shared" si="17"/>
        <v/>
      </c>
      <c r="BL23" s="73" t="str">
        <f t="shared" si="17"/>
        <v/>
      </c>
      <c r="BM23" s="73" t="str">
        <f t="shared" si="17"/>
        <v/>
      </c>
      <c r="BN23" s="73" t="str">
        <f t="shared" si="17"/>
        <v/>
      </c>
      <c r="BO23" s="73" t="str">
        <f t="shared" si="17"/>
        <v/>
      </c>
      <c r="BP23" s="73" t="str">
        <f t="shared" si="17"/>
        <v/>
      </c>
      <c r="BQ23" s="73" t="str">
        <f t="shared" si="17"/>
        <v/>
      </c>
      <c r="BR23" s="73" t="str">
        <f t="shared" si="17"/>
        <v/>
      </c>
      <c r="BS23" s="73" t="str">
        <f t="shared" si="17"/>
        <v/>
      </c>
      <c r="BT23" s="73" t="str">
        <f t="shared" si="17"/>
        <v/>
      </c>
      <c r="BU23" s="73" t="str">
        <f t="shared" si="17"/>
        <v/>
      </c>
      <c r="BV23" s="73" t="str">
        <f t="shared" si="17"/>
        <v/>
      </c>
      <c r="BW23" s="73" t="str">
        <f t="shared" si="17"/>
        <v/>
      </c>
      <c r="BX23" s="73" t="str">
        <f t="shared" si="17"/>
        <v/>
      </c>
      <c r="BY23" s="73" t="str">
        <f t="shared" si="17"/>
        <v/>
      </c>
      <c r="BZ23" s="73" t="str">
        <f t="shared" si="17"/>
        <v/>
      </c>
      <c r="CA23" s="73" t="str">
        <f t="shared" si="17"/>
        <v/>
      </c>
      <c r="CB23" s="73" t="str">
        <f t="shared" si="17"/>
        <v/>
      </c>
      <c r="CC23" s="73" t="str">
        <f t="shared" si="17"/>
        <v/>
      </c>
      <c r="CD23" s="73" t="str">
        <f t="shared" si="17"/>
        <v/>
      </c>
      <c r="CE23" s="73" t="str">
        <f t="shared" si="17"/>
        <v/>
      </c>
      <c r="CF23" s="73" t="str">
        <f t="shared" si="17"/>
        <v/>
      </c>
      <c r="CG23" s="73" t="str">
        <f t="shared" si="17"/>
        <v/>
      </c>
      <c r="CH23" s="73" t="str">
        <f t="shared" si="17"/>
        <v/>
      </c>
      <c r="CI23" s="73" t="str">
        <f t="shared" si="17"/>
        <v/>
      </c>
      <c r="CJ23" s="73" t="str">
        <f t="shared" si="17"/>
        <v/>
      </c>
      <c r="CK23" s="73" t="str">
        <f t="shared" si="17"/>
        <v/>
      </c>
      <c r="CL23" s="73" t="str">
        <f t="shared" si="17"/>
        <v/>
      </c>
      <c r="CM23" s="73" t="str">
        <f t="shared" si="17"/>
        <v/>
      </c>
      <c r="CN23" s="73" t="str">
        <f t="shared" si="17"/>
        <v/>
      </c>
      <c r="CO23" s="73" t="str">
        <f t="shared" si="17"/>
        <v/>
      </c>
      <c r="CP23" s="73" t="str">
        <f t="shared" si="17"/>
        <v/>
      </c>
      <c r="CQ23" s="73" t="str">
        <f t="shared" si="17"/>
        <v/>
      </c>
      <c r="CR23" s="73" t="str">
        <f t="shared" si="17"/>
        <v/>
      </c>
      <c r="CS23" s="73" t="str">
        <f t="shared" si="17"/>
        <v/>
      </c>
      <c r="CT23" s="73" t="str">
        <f t="shared" si="17"/>
        <v/>
      </c>
      <c r="CU23" s="73" t="str">
        <f t="shared" si="17"/>
        <v/>
      </c>
      <c r="CV23" s="73" t="str">
        <f t="shared" si="17"/>
        <v/>
      </c>
      <c r="CW23" s="73" t="str">
        <f t="shared" si="17"/>
        <v/>
      </c>
      <c r="CX23" s="73" t="str">
        <f t="shared" si="17"/>
        <v/>
      </c>
      <c r="CY23" s="73" t="str">
        <f t="shared" si="17"/>
        <v/>
      </c>
      <c r="CZ23" s="73" t="str">
        <f t="shared" si="17"/>
        <v/>
      </c>
      <c r="DA23" s="73" t="str">
        <f t="shared" si="17"/>
        <v/>
      </c>
      <c r="DB23" s="73" t="str">
        <f t="shared" si="17"/>
        <v/>
      </c>
      <c r="DC23" s="73" t="str">
        <f t="shared" si="17"/>
        <v/>
      </c>
      <c r="DD23" s="73" t="str">
        <f t="shared" si="17"/>
        <v/>
      </c>
      <c r="DE23" s="73" t="str">
        <f t="shared" si="17"/>
        <v/>
      </c>
      <c r="DF23" s="73" t="str">
        <f t="shared" si="17"/>
        <v/>
      </c>
      <c r="DG23" s="73" t="str">
        <f t="shared" si="17"/>
        <v/>
      </c>
      <c r="DH23" s="73" t="str">
        <f t="shared" si="17"/>
        <v/>
      </c>
      <c r="DI23" s="73" t="str">
        <f t="shared" si="17"/>
        <v/>
      </c>
      <c r="DJ23" s="73" t="str">
        <f t="shared" si="17"/>
        <v/>
      </c>
      <c r="DK23" s="73" t="str">
        <f t="shared" si="17"/>
        <v/>
      </c>
      <c r="DL23" s="73" t="str">
        <f t="shared" si="17"/>
        <v/>
      </c>
      <c r="DM23" s="73" t="str">
        <f t="shared" si="17"/>
        <v/>
      </c>
      <c r="DN23" s="73" t="str">
        <f t="shared" si="17"/>
        <v/>
      </c>
      <c r="DO23" s="73" t="str">
        <f t="shared" si="17"/>
        <v/>
      </c>
      <c r="DP23" s="73" t="str">
        <f t="shared" si="17"/>
        <v/>
      </c>
      <c r="DQ23" s="73" t="str">
        <f t="shared" si="17"/>
        <v/>
      </c>
      <c r="DR23" s="73" t="str">
        <f t="shared" si="17"/>
        <v/>
      </c>
      <c r="DS23" s="73" t="str">
        <f t="shared" si="17"/>
        <v/>
      </c>
      <c r="DT23" s="73" t="str">
        <f t="shared" si="17"/>
        <v/>
      </c>
      <c r="DU23" s="73" t="str">
        <f t="shared" si="17"/>
        <v/>
      </c>
      <c r="DV23" s="73" t="str">
        <f t="shared" si="17"/>
        <v/>
      </c>
      <c r="DW23" s="73" t="str">
        <f t="shared" si="17"/>
        <v/>
      </c>
      <c r="DX23" s="73" t="str">
        <f t="shared" si="17"/>
        <v/>
      </c>
      <c r="DY23" s="73" t="str">
        <f t="shared" si="17"/>
        <v/>
      </c>
      <c r="DZ23" s="73" t="str">
        <f t="shared" si="17"/>
        <v/>
      </c>
      <c r="EA23" s="73" t="str">
        <f t="shared" si="17"/>
        <v/>
      </c>
      <c r="EB23" s="73" t="str">
        <f t="shared" si="17"/>
        <v/>
      </c>
      <c r="EC23" s="73" t="str">
        <f t="shared" si="17"/>
        <v/>
      </c>
      <c r="ED23" s="73" t="str">
        <f t="shared" si="17"/>
        <v/>
      </c>
      <c r="EE23" s="73" t="str">
        <f t="shared" si="17"/>
        <v/>
      </c>
      <c r="EF23" s="73" t="str">
        <f t="shared" si="17"/>
        <v/>
      </c>
      <c r="EG23" s="73" t="str">
        <f t="shared" si="17"/>
        <v/>
      </c>
      <c r="EH23" s="73" t="str">
        <f t="shared" si="17"/>
        <v/>
      </c>
      <c r="EI23" s="73" t="str">
        <f t="shared" si="17"/>
        <v/>
      </c>
      <c r="EJ23" s="73" t="str">
        <f t="shared" si="17"/>
        <v/>
      </c>
      <c r="EK23" s="73" t="str">
        <f t="shared" si="17"/>
        <v/>
      </c>
      <c r="EL23" s="73" t="str">
        <f t="shared" si="17"/>
        <v/>
      </c>
      <c r="EM23" s="73" t="str">
        <f t="shared" si="17"/>
        <v/>
      </c>
      <c r="EN23" s="73" t="str">
        <f t="shared" si="17"/>
        <v/>
      </c>
      <c r="EO23" s="73" t="str">
        <f t="shared" si="17"/>
        <v/>
      </c>
      <c r="EP23" s="73" t="str">
        <f t="shared" si="17"/>
        <v/>
      </c>
      <c r="EQ23" s="73" t="str">
        <f t="shared" si="17"/>
        <v/>
      </c>
      <c r="ER23" s="73" t="str">
        <f t="shared" si="17"/>
        <v/>
      </c>
      <c r="ES23" s="73" t="str">
        <f t="shared" si="17"/>
        <v/>
      </c>
    </row>
    <row r="24" outlineLevel="1">
      <c r="A24" s="33"/>
      <c r="B24" s="58">
        <v>10.0</v>
      </c>
      <c r="C24" s="68" t="s">
        <v>148</v>
      </c>
      <c r="D24" s="68"/>
      <c r="E24" s="70">
        <f>F13-10</f>
        <v>45553</v>
      </c>
      <c r="F24" s="70">
        <f t="shared" si="4"/>
        <v>45613</v>
      </c>
      <c r="G24" s="71">
        <v>60.0</v>
      </c>
      <c r="H24" s="72">
        <v>0.0</v>
      </c>
      <c r="I24" s="73" t="str">
        <f t="shared" ref="I24:ES24" si="18">IF(AND($E24&lt;=I$6,$F24&gt;=I$6),"X","")</f>
        <v/>
      </c>
      <c r="J24" s="73" t="str">
        <f t="shared" si="18"/>
        <v/>
      </c>
      <c r="K24" s="73" t="str">
        <f t="shared" si="18"/>
        <v/>
      </c>
      <c r="L24" s="73" t="str">
        <f t="shared" si="18"/>
        <v/>
      </c>
      <c r="M24" s="73" t="str">
        <f t="shared" si="18"/>
        <v/>
      </c>
      <c r="N24" s="73" t="str">
        <f t="shared" si="18"/>
        <v/>
      </c>
      <c r="O24" s="73" t="str">
        <f t="shared" si="18"/>
        <v/>
      </c>
      <c r="P24" s="73" t="str">
        <f t="shared" si="18"/>
        <v/>
      </c>
      <c r="Q24" s="73" t="str">
        <f t="shared" si="18"/>
        <v/>
      </c>
      <c r="R24" s="73" t="str">
        <f t="shared" si="18"/>
        <v/>
      </c>
      <c r="S24" s="73" t="str">
        <f t="shared" si="18"/>
        <v/>
      </c>
      <c r="T24" s="73" t="str">
        <f t="shared" si="18"/>
        <v/>
      </c>
      <c r="U24" s="73" t="str">
        <f t="shared" si="18"/>
        <v/>
      </c>
      <c r="V24" s="73" t="str">
        <f t="shared" si="18"/>
        <v/>
      </c>
      <c r="W24" s="73" t="str">
        <f t="shared" si="18"/>
        <v/>
      </c>
      <c r="X24" s="73" t="str">
        <f t="shared" si="18"/>
        <v/>
      </c>
      <c r="Y24" s="73" t="str">
        <f t="shared" si="18"/>
        <v/>
      </c>
      <c r="Z24" s="73" t="str">
        <f t="shared" si="18"/>
        <v/>
      </c>
      <c r="AA24" s="73" t="str">
        <f t="shared" si="18"/>
        <v/>
      </c>
      <c r="AB24" s="73" t="str">
        <f t="shared" si="18"/>
        <v/>
      </c>
      <c r="AC24" s="73" t="str">
        <f t="shared" si="18"/>
        <v>X</v>
      </c>
      <c r="AD24" s="73" t="str">
        <f t="shared" si="18"/>
        <v>X</v>
      </c>
      <c r="AE24" s="73" t="str">
        <f t="shared" si="18"/>
        <v>X</v>
      </c>
      <c r="AF24" s="73" t="str">
        <f t="shared" si="18"/>
        <v>X</v>
      </c>
      <c r="AG24" s="73" t="str">
        <f t="shared" si="18"/>
        <v>X</v>
      </c>
      <c r="AH24" s="73" t="str">
        <f t="shared" si="18"/>
        <v>X</v>
      </c>
      <c r="AI24" s="73" t="str">
        <f t="shared" si="18"/>
        <v>X</v>
      </c>
      <c r="AJ24" s="73" t="str">
        <f t="shared" si="18"/>
        <v>X</v>
      </c>
      <c r="AK24" s="73" t="str">
        <f t="shared" si="18"/>
        <v>X</v>
      </c>
      <c r="AL24" s="73" t="str">
        <f t="shared" si="18"/>
        <v/>
      </c>
      <c r="AM24" s="73" t="str">
        <f t="shared" si="18"/>
        <v/>
      </c>
      <c r="AN24" s="73" t="str">
        <f t="shared" si="18"/>
        <v/>
      </c>
      <c r="AO24" s="73" t="str">
        <f t="shared" si="18"/>
        <v/>
      </c>
      <c r="AP24" s="73" t="str">
        <f t="shared" si="18"/>
        <v/>
      </c>
      <c r="AQ24" s="73" t="str">
        <f t="shared" si="18"/>
        <v/>
      </c>
      <c r="AR24" s="73" t="str">
        <f t="shared" si="18"/>
        <v/>
      </c>
      <c r="AS24" s="73" t="str">
        <f t="shared" si="18"/>
        <v/>
      </c>
      <c r="AT24" s="73" t="str">
        <f t="shared" si="18"/>
        <v/>
      </c>
      <c r="AU24" s="73" t="str">
        <f t="shared" si="18"/>
        <v/>
      </c>
      <c r="AV24" s="73" t="str">
        <f t="shared" si="18"/>
        <v/>
      </c>
      <c r="AW24" s="73" t="str">
        <f t="shared" si="18"/>
        <v/>
      </c>
      <c r="AX24" s="73" t="str">
        <f t="shared" si="18"/>
        <v/>
      </c>
      <c r="AY24" s="73" t="str">
        <f t="shared" si="18"/>
        <v/>
      </c>
      <c r="AZ24" s="73" t="str">
        <f t="shared" si="18"/>
        <v/>
      </c>
      <c r="BA24" s="73" t="str">
        <f t="shared" si="18"/>
        <v/>
      </c>
      <c r="BB24" s="73" t="str">
        <f t="shared" si="18"/>
        <v/>
      </c>
      <c r="BC24" s="73" t="str">
        <f t="shared" si="18"/>
        <v/>
      </c>
      <c r="BD24" s="73" t="str">
        <f t="shared" si="18"/>
        <v/>
      </c>
      <c r="BE24" s="73" t="str">
        <f t="shared" si="18"/>
        <v/>
      </c>
      <c r="BF24" s="73" t="str">
        <f t="shared" si="18"/>
        <v/>
      </c>
      <c r="BG24" s="73" t="str">
        <f t="shared" si="18"/>
        <v/>
      </c>
      <c r="BH24" s="73" t="str">
        <f t="shared" si="18"/>
        <v/>
      </c>
      <c r="BI24" s="73" t="str">
        <f t="shared" si="18"/>
        <v/>
      </c>
      <c r="BJ24" s="73" t="str">
        <f t="shared" si="18"/>
        <v/>
      </c>
      <c r="BK24" s="73" t="str">
        <f t="shared" si="18"/>
        <v/>
      </c>
      <c r="BL24" s="76" t="str">
        <f t="shared" si="18"/>
        <v/>
      </c>
      <c r="BM24" s="76" t="str">
        <f t="shared" si="18"/>
        <v/>
      </c>
      <c r="BN24" s="76" t="str">
        <f t="shared" si="18"/>
        <v/>
      </c>
      <c r="BO24" s="76" t="str">
        <f t="shared" si="18"/>
        <v/>
      </c>
      <c r="BP24" s="76" t="str">
        <f t="shared" si="18"/>
        <v/>
      </c>
      <c r="BQ24" s="76" t="str">
        <f t="shared" si="18"/>
        <v/>
      </c>
      <c r="BR24" s="76" t="str">
        <f t="shared" si="18"/>
        <v/>
      </c>
      <c r="BS24" s="76" t="str">
        <f t="shared" si="18"/>
        <v/>
      </c>
      <c r="BT24" s="76" t="str">
        <f t="shared" si="18"/>
        <v/>
      </c>
      <c r="BU24" s="76" t="str">
        <f t="shared" si="18"/>
        <v/>
      </c>
      <c r="BV24" s="76" t="str">
        <f t="shared" si="18"/>
        <v/>
      </c>
      <c r="BW24" s="76" t="str">
        <f t="shared" si="18"/>
        <v/>
      </c>
      <c r="BX24" s="76" t="str">
        <f t="shared" si="18"/>
        <v/>
      </c>
      <c r="BY24" s="76" t="str">
        <f t="shared" si="18"/>
        <v/>
      </c>
      <c r="BZ24" s="76" t="str">
        <f t="shared" si="18"/>
        <v/>
      </c>
      <c r="CA24" s="76" t="str">
        <f t="shared" si="18"/>
        <v/>
      </c>
      <c r="CB24" s="76" t="str">
        <f t="shared" si="18"/>
        <v/>
      </c>
      <c r="CC24" s="76" t="str">
        <f t="shared" si="18"/>
        <v/>
      </c>
      <c r="CD24" s="76" t="str">
        <f t="shared" si="18"/>
        <v/>
      </c>
      <c r="CE24" s="76" t="str">
        <f t="shared" si="18"/>
        <v/>
      </c>
      <c r="CF24" s="76" t="str">
        <f t="shared" si="18"/>
        <v/>
      </c>
      <c r="CG24" s="76" t="str">
        <f t="shared" si="18"/>
        <v/>
      </c>
      <c r="CH24" s="76" t="str">
        <f t="shared" si="18"/>
        <v/>
      </c>
      <c r="CI24" s="76" t="str">
        <f t="shared" si="18"/>
        <v/>
      </c>
      <c r="CJ24" s="76" t="str">
        <f t="shared" si="18"/>
        <v/>
      </c>
      <c r="CK24" s="76" t="str">
        <f t="shared" si="18"/>
        <v/>
      </c>
      <c r="CL24" s="76" t="str">
        <f t="shared" si="18"/>
        <v/>
      </c>
      <c r="CM24" s="76" t="str">
        <f t="shared" si="18"/>
        <v/>
      </c>
      <c r="CN24" s="76" t="str">
        <f t="shared" si="18"/>
        <v/>
      </c>
      <c r="CO24" s="76" t="str">
        <f t="shared" si="18"/>
        <v/>
      </c>
      <c r="CP24" s="76" t="str">
        <f t="shared" si="18"/>
        <v/>
      </c>
      <c r="CQ24" s="76" t="str">
        <f t="shared" si="18"/>
        <v/>
      </c>
      <c r="CR24" s="76" t="str">
        <f t="shared" si="18"/>
        <v/>
      </c>
      <c r="CS24" s="76" t="str">
        <f t="shared" si="18"/>
        <v/>
      </c>
      <c r="CT24" s="76" t="str">
        <f t="shared" si="18"/>
        <v/>
      </c>
      <c r="CU24" s="76" t="str">
        <f t="shared" si="18"/>
        <v/>
      </c>
      <c r="CV24" s="76" t="str">
        <f t="shared" si="18"/>
        <v/>
      </c>
      <c r="CW24" s="76" t="str">
        <f t="shared" si="18"/>
        <v/>
      </c>
      <c r="CX24" s="76" t="str">
        <f t="shared" si="18"/>
        <v/>
      </c>
      <c r="CY24" s="76" t="str">
        <f t="shared" si="18"/>
        <v/>
      </c>
      <c r="CZ24" s="76" t="str">
        <f t="shared" si="18"/>
        <v/>
      </c>
      <c r="DA24" s="76" t="str">
        <f t="shared" si="18"/>
        <v/>
      </c>
      <c r="DB24" s="76" t="str">
        <f t="shared" si="18"/>
        <v/>
      </c>
      <c r="DC24" s="76" t="str">
        <f t="shared" si="18"/>
        <v/>
      </c>
      <c r="DD24" s="76" t="str">
        <f t="shared" si="18"/>
        <v/>
      </c>
      <c r="DE24" s="76" t="str">
        <f t="shared" si="18"/>
        <v/>
      </c>
      <c r="DF24" s="76" t="str">
        <f t="shared" si="18"/>
        <v/>
      </c>
      <c r="DG24" s="76" t="str">
        <f t="shared" si="18"/>
        <v/>
      </c>
      <c r="DH24" s="76" t="str">
        <f t="shared" si="18"/>
        <v/>
      </c>
      <c r="DI24" s="76" t="str">
        <f t="shared" si="18"/>
        <v/>
      </c>
      <c r="DJ24" s="76" t="str">
        <f t="shared" si="18"/>
        <v/>
      </c>
      <c r="DK24" s="76" t="str">
        <f t="shared" si="18"/>
        <v/>
      </c>
      <c r="DL24" s="76" t="str">
        <f t="shared" si="18"/>
        <v/>
      </c>
      <c r="DM24" s="76" t="str">
        <f t="shared" si="18"/>
        <v/>
      </c>
      <c r="DN24" s="76" t="str">
        <f t="shared" si="18"/>
        <v/>
      </c>
      <c r="DO24" s="76" t="str">
        <f t="shared" si="18"/>
        <v/>
      </c>
      <c r="DP24" s="76" t="str">
        <f t="shared" si="18"/>
        <v/>
      </c>
      <c r="DQ24" s="76" t="str">
        <f t="shared" si="18"/>
        <v/>
      </c>
      <c r="DR24" s="76" t="str">
        <f t="shared" si="18"/>
        <v/>
      </c>
      <c r="DS24" s="76" t="str">
        <f t="shared" si="18"/>
        <v/>
      </c>
      <c r="DT24" s="76" t="str">
        <f t="shared" si="18"/>
        <v/>
      </c>
      <c r="DU24" s="76" t="str">
        <f t="shared" si="18"/>
        <v/>
      </c>
      <c r="DV24" s="76" t="str">
        <f t="shared" si="18"/>
        <v/>
      </c>
      <c r="DW24" s="76" t="str">
        <f t="shared" si="18"/>
        <v/>
      </c>
      <c r="DX24" s="76" t="str">
        <f t="shared" si="18"/>
        <v/>
      </c>
      <c r="DY24" s="76" t="str">
        <f t="shared" si="18"/>
        <v/>
      </c>
      <c r="DZ24" s="76" t="str">
        <f t="shared" si="18"/>
        <v/>
      </c>
      <c r="EA24" s="76" t="str">
        <f t="shared" si="18"/>
        <v/>
      </c>
      <c r="EB24" s="76" t="str">
        <f t="shared" si="18"/>
        <v/>
      </c>
      <c r="EC24" s="76" t="str">
        <f t="shared" si="18"/>
        <v/>
      </c>
      <c r="ED24" s="76" t="str">
        <f t="shared" si="18"/>
        <v/>
      </c>
      <c r="EE24" s="76" t="str">
        <f t="shared" si="18"/>
        <v/>
      </c>
      <c r="EF24" s="76" t="str">
        <f t="shared" si="18"/>
        <v/>
      </c>
      <c r="EG24" s="76" t="str">
        <f t="shared" si="18"/>
        <v/>
      </c>
      <c r="EH24" s="76" t="str">
        <f t="shared" si="18"/>
        <v/>
      </c>
      <c r="EI24" s="76" t="str">
        <f t="shared" si="18"/>
        <v/>
      </c>
      <c r="EJ24" s="76" t="str">
        <f t="shared" si="18"/>
        <v/>
      </c>
      <c r="EK24" s="76" t="str">
        <f t="shared" si="18"/>
        <v/>
      </c>
      <c r="EL24" s="76" t="str">
        <f t="shared" si="18"/>
        <v/>
      </c>
      <c r="EM24" s="76" t="str">
        <f t="shared" si="18"/>
        <v/>
      </c>
      <c r="EN24" s="76" t="str">
        <f t="shared" si="18"/>
        <v/>
      </c>
      <c r="EO24" s="76" t="str">
        <f t="shared" si="18"/>
        <v/>
      </c>
      <c r="EP24" s="76" t="str">
        <f t="shared" si="18"/>
        <v/>
      </c>
      <c r="EQ24" s="76" t="str">
        <f t="shared" si="18"/>
        <v/>
      </c>
      <c r="ER24" s="76" t="str">
        <f t="shared" si="18"/>
        <v/>
      </c>
      <c r="ES24" s="76" t="str">
        <f t="shared" si="18"/>
        <v/>
      </c>
    </row>
    <row r="25" outlineLevel="1">
      <c r="A25" s="33"/>
      <c r="B25" s="58">
        <v>11.0</v>
      </c>
      <c r="C25" s="74" t="s">
        <v>149</v>
      </c>
      <c r="D25" s="68"/>
      <c r="E25" s="70">
        <f>F13</f>
        <v>45563</v>
      </c>
      <c r="F25" s="70">
        <f t="shared" si="4"/>
        <v>45564</v>
      </c>
      <c r="G25" s="71">
        <v>1.0</v>
      </c>
      <c r="H25" s="72">
        <v>0.0</v>
      </c>
      <c r="I25" s="73" t="str">
        <f t="shared" ref="I25:ES25" si="19">IF(AND($E25&lt;=I$6,$F25&gt;=I$6),"X","")</f>
        <v/>
      </c>
      <c r="J25" s="73" t="str">
        <f t="shared" si="19"/>
        <v/>
      </c>
      <c r="K25" s="73" t="str">
        <f t="shared" si="19"/>
        <v/>
      </c>
      <c r="L25" s="73" t="str">
        <f t="shared" si="19"/>
        <v/>
      </c>
      <c r="M25" s="73" t="str">
        <f t="shared" si="19"/>
        <v/>
      </c>
      <c r="N25" s="73" t="str">
        <f t="shared" si="19"/>
        <v/>
      </c>
      <c r="O25" s="73" t="str">
        <f t="shared" si="19"/>
        <v/>
      </c>
      <c r="P25" s="73" t="str">
        <f t="shared" si="19"/>
        <v/>
      </c>
      <c r="Q25" s="73" t="str">
        <f t="shared" si="19"/>
        <v/>
      </c>
      <c r="R25" s="73" t="str">
        <f t="shared" si="19"/>
        <v/>
      </c>
      <c r="S25" s="73" t="str">
        <f t="shared" si="19"/>
        <v/>
      </c>
      <c r="T25" s="73" t="str">
        <f t="shared" si="19"/>
        <v/>
      </c>
      <c r="U25" s="73" t="str">
        <f t="shared" si="19"/>
        <v/>
      </c>
      <c r="V25" s="73" t="str">
        <f t="shared" si="19"/>
        <v/>
      </c>
      <c r="W25" s="73" t="str">
        <f t="shared" si="19"/>
        <v/>
      </c>
      <c r="X25" s="73" t="str">
        <f t="shared" si="19"/>
        <v/>
      </c>
      <c r="Y25" s="73" t="str">
        <f t="shared" si="19"/>
        <v/>
      </c>
      <c r="Z25" s="73" t="str">
        <f t="shared" si="19"/>
        <v/>
      </c>
      <c r="AA25" s="73" t="str">
        <f t="shared" si="19"/>
        <v/>
      </c>
      <c r="AB25" s="73" t="str">
        <f t="shared" si="19"/>
        <v/>
      </c>
      <c r="AC25" s="73" t="str">
        <f t="shared" si="19"/>
        <v/>
      </c>
      <c r="AD25" s="73" t="str">
        <f t="shared" si="19"/>
        <v/>
      </c>
      <c r="AE25" s="73" t="str">
        <f t="shared" si="19"/>
        <v/>
      </c>
      <c r="AF25" s="73" t="str">
        <f t="shared" si="19"/>
        <v/>
      </c>
      <c r="AG25" s="73" t="str">
        <f t="shared" si="19"/>
        <v/>
      </c>
      <c r="AH25" s="73" t="str">
        <f t="shared" si="19"/>
        <v/>
      </c>
      <c r="AI25" s="73" t="str">
        <f t="shared" si="19"/>
        <v/>
      </c>
      <c r="AJ25" s="73" t="str">
        <f t="shared" si="19"/>
        <v/>
      </c>
      <c r="AK25" s="73" t="str">
        <f t="shared" si="19"/>
        <v/>
      </c>
      <c r="AL25" s="73" t="str">
        <f t="shared" si="19"/>
        <v/>
      </c>
      <c r="AM25" s="73" t="str">
        <f t="shared" si="19"/>
        <v/>
      </c>
      <c r="AN25" s="73" t="str">
        <f t="shared" si="19"/>
        <v/>
      </c>
      <c r="AO25" s="73" t="str">
        <f t="shared" si="19"/>
        <v/>
      </c>
      <c r="AP25" s="73" t="str">
        <f t="shared" si="19"/>
        <v/>
      </c>
      <c r="AQ25" s="73" t="str">
        <f t="shared" si="19"/>
        <v/>
      </c>
      <c r="AR25" s="73" t="str">
        <f t="shared" si="19"/>
        <v/>
      </c>
      <c r="AS25" s="73" t="str">
        <f t="shared" si="19"/>
        <v/>
      </c>
      <c r="AT25" s="73" t="str">
        <f t="shared" si="19"/>
        <v/>
      </c>
      <c r="AU25" s="73" t="str">
        <f t="shared" si="19"/>
        <v/>
      </c>
      <c r="AV25" s="73" t="str">
        <f t="shared" si="19"/>
        <v/>
      </c>
      <c r="AW25" s="73" t="str">
        <f t="shared" si="19"/>
        <v/>
      </c>
      <c r="AX25" s="73" t="str">
        <f t="shared" si="19"/>
        <v/>
      </c>
      <c r="AY25" s="73" t="str">
        <f t="shared" si="19"/>
        <v/>
      </c>
      <c r="AZ25" s="73" t="str">
        <f t="shared" si="19"/>
        <v/>
      </c>
      <c r="BA25" s="73" t="str">
        <f t="shared" si="19"/>
        <v/>
      </c>
      <c r="BB25" s="73" t="str">
        <f t="shared" si="19"/>
        <v/>
      </c>
      <c r="BC25" s="73" t="str">
        <f t="shared" si="19"/>
        <v/>
      </c>
      <c r="BD25" s="73" t="str">
        <f t="shared" si="19"/>
        <v/>
      </c>
      <c r="BE25" s="73" t="str">
        <f t="shared" si="19"/>
        <v/>
      </c>
      <c r="BF25" s="73" t="str">
        <f t="shared" si="19"/>
        <v/>
      </c>
      <c r="BG25" s="73" t="str">
        <f t="shared" si="19"/>
        <v/>
      </c>
      <c r="BH25" s="73" t="str">
        <f t="shared" si="19"/>
        <v/>
      </c>
      <c r="BI25" s="73" t="str">
        <f t="shared" si="19"/>
        <v/>
      </c>
      <c r="BJ25" s="73" t="str">
        <f t="shared" si="19"/>
        <v/>
      </c>
      <c r="BK25" s="73" t="str">
        <f t="shared" si="19"/>
        <v/>
      </c>
      <c r="BL25" s="73" t="str">
        <f t="shared" si="19"/>
        <v/>
      </c>
      <c r="BM25" s="73" t="str">
        <f t="shared" si="19"/>
        <v/>
      </c>
      <c r="BN25" s="73" t="str">
        <f t="shared" si="19"/>
        <v/>
      </c>
      <c r="BO25" s="73" t="str">
        <f t="shared" si="19"/>
        <v/>
      </c>
      <c r="BP25" s="73" t="str">
        <f t="shared" si="19"/>
        <v/>
      </c>
      <c r="BQ25" s="73" t="str">
        <f t="shared" si="19"/>
        <v/>
      </c>
      <c r="BR25" s="73" t="str">
        <f t="shared" si="19"/>
        <v/>
      </c>
      <c r="BS25" s="73" t="str">
        <f t="shared" si="19"/>
        <v/>
      </c>
      <c r="BT25" s="73" t="str">
        <f t="shared" si="19"/>
        <v/>
      </c>
      <c r="BU25" s="73" t="str">
        <f t="shared" si="19"/>
        <v/>
      </c>
      <c r="BV25" s="73" t="str">
        <f t="shared" si="19"/>
        <v/>
      </c>
      <c r="BW25" s="73" t="str">
        <f t="shared" si="19"/>
        <v/>
      </c>
      <c r="BX25" s="73" t="str">
        <f t="shared" si="19"/>
        <v/>
      </c>
      <c r="BY25" s="73" t="str">
        <f t="shared" si="19"/>
        <v/>
      </c>
      <c r="BZ25" s="73" t="str">
        <f t="shared" si="19"/>
        <v/>
      </c>
      <c r="CA25" s="73" t="str">
        <f t="shared" si="19"/>
        <v/>
      </c>
      <c r="CB25" s="73" t="str">
        <f t="shared" si="19"/>
        <v/>
      </c>
      <c r="CC25" s="73" t="str">
        <f t="shared" si="19"/>
        <v/>
      </c>
      <c r="CD25" s="73" t="str">
        <f t="shared" si="19"/>
        <v/>
      </c>
      <c r="CE25" s="73" t="str">
        <f t="shared" si="19"/>
        <v/>
      </c>
      <c r="CF25" s="73" t="str">
        <f t="shared" si="19"/>
        <v/>
      </c>
      <c r="CG25" s="73" t="str">
        <f t="shared" si="19"/>
        <v/>
      </c>
      <c r="CH25" s="73" t="str">
        <f t="shared" si="19"/>
        <v/>
      </c>
      <c r="CI25" s="73" t="str">
        <f t="shared" si="19"/>
        <v/>
      </c>
      <c r="CJ25" s="73" t="str">
        <f t="shared" si="19"/>
        <v/>
      </c>
      <c r="CK25" s="73" t="str">
        <f t="shared" si="19"/>
        <v/>
      </c>
      <c r="CL25" s="73" t="str">
        <f t="shared" si="19"/>
        <v/>
      </c>
      <c r="CM25" s="73" t="str">
        <f t="shared" si="19"/>
        <v/>
      </c>
      <c r="CN25" s="73" t="str">
        <f t="shared" si="19"/>
        <v/>
      </c>
      <c r="CO25" s="73" t="str">
        <f t="shared" si="19"/>
        <v/>
      </c>
      <c r="CP25" s="73" t="str">
        <f t="shared" si="19"/>
        <v/>
      </c>
      <c r="CQ25" s="73" t="str">
        <f t="shared" si="19"/>
        <v/>
      </c>
      <c r="CR25" s="73" t="str">
        <f t="shared" si="19"/>
        <v/>
      </c>
      <c r="CS25" s="73" t="str">
        <f t="shared" si="19"/>
        <v/>
      </c>
      <c r="CT25" s="73" t="str">
        <f t="shared" si="19"/>
        <v/>
      </c>
      <c r="CU25" s="73" t="str">
        <f t="shared" si="19"/>
        <v/>
      </c>
      <c r="CV25" s="73" t="str">
        <f t="shared" si="19"/>
        <v/>
      </c>
      <c r="CW25" s="73" t="str">
        <f t="shared" si="19"/>
        <v/>
      </c>
      <c r="CX25" s="73" t="str">
        <f t="shared" si="19"/>
        <v/>
      </c>
      <c r="CY25" s="73" t="str">
        <f t="shared" si="19"/>
        <v/>
      </c>
      <c r="CZ25" s="73" t="str">
        <f t="shared" si="19"/>
        <v/>
      </c>
      <c r="DA25" s="73" t="str">
        <f t="shared" si="19"/>
        <v/>
      </c>
      <c r="DB25" s="73" t="str">
        <f t="shared" si="19"/>
        <v/>
      </c>
      <c r="DC25" s="73" t="str">
        <f t="shared" si="19"/>
        <v/>
      </c>
      <c r="DD25" s="73" t="str">
        <f t="shared" si="19"/>
        <v/>
      </c>
      <c r="DE25" s="73" t="str">
        <f t="shared" si="19"/>
        <v/>
      </c>
      <c r="DF25" s="73" t="str">
        <f t="shared" si="19"/>
        <v/>
      </c>
      <c r="DG25" s="73" t="str">
        <f t="shared" si="19"/>
        <v/>
      </c>
      <c r="DH25" s="73" t="str">
        <f t="shared" si="19"/>
        <v/>
      </c>
      <c r="DI25" s="73" t="str">
        <f t="shared" si="19"/>
        <v/>
      </c>
      <c r="DJ25" s="73" t="str">
        <f t="shared" si="19"/>
        <v/>
      </c>
      <c r="DK25" s="73" t="str">
        <f t="shared" si="19"/>
        <v/>
      </c>
      <c r="DL25" s="73" t="str">
        <f t="shared" si="19"/>
        <v/>
      </c>
      <c r="DM25" s="73" t="str">
        <f t="shared" si="19"/>
        <v/>
      </c>
      <c r="DN25" s="73" t="str">
        <f t="shared" si="19"/>
        <v/>
      </c>
      <c r="DO25" s="73" t="str">
        <f t="shared" si="19"/>
        <v/>
      </c>
      <c r="DP25" s="73" t="str">
        <f t="shared" si="19"/>
        <v/>
      </c>
      <c r="DQ25" s="73" t="str">
        <f t="shared" si="19"/>
        <v/>
      </c>
      <c r="DR25" s="73" t="str">
        <f t="shared" si="19"/>
        <v/>
      </c>
      <c r="DS25" s="73" t="str">
        <f t="shared" si="19"/>
        <v/>
      </c>
      <c r="DT25" s="73" t="str">
        <f t="shared" si="19"/>
        <v/>
      </c>
      <c r="DU25" s="73" t="str">
        <f t="shared" si="19"/>
        <v/>
      </c>
      <c r="DV25" s="73" t="str">
        <f t="shared" si="19"/>
        <v/>
      </c>
      <c r="DW25" s="73" t="str">
        <f t="shared" si="19"/>
        <v/>
      </c>
      <c r="DX25" s="73" t="str">
        <f t="shared" si="19"/>
        <v/>
      </c>
      <c r="DY25" s="73" t="str">
        <f t="shared" si="19"/>
        <v/>
      </c>
      <c r="DZ25" s="73" t="str">
        <f t="shared" si="19"/>
        <v/>
      </c>
      <c r="EA25" s="73" t="str">
        <f t="shared" si="19"/>
        <v/>
      </c>
      <c r="EB25" s="73" t="str">
        <f t="shared" si="19"/>
        <v/>
      </c>
      <c r="EC25" s="73" t="str">
        <f t="shared" si="19"/>
        <v/>
      </c>
      <c r="ED25" s="73" t="str">
        <f t="shared" si="19"/>
        <v/>
      </c>
      <c r="EE25" s="73" t="str">
        <f t="shared" si="19"/>
        <v/>
      </c>
      <c r="EF25" s="73" t="str">
        <f t="shared" si="19"/>
        <v/>
      </c>
      <c r="EG25" s="73" t="str">
        <f t="shared" si="19"/>
        <v/>
      </c>
      <c r="EH25" s="73" t="str">
        <f t="shared" si="19"/>
        <v/>
      </c>
      <c r="EI25" s="73" t="str">
        <f t="shared" si="19"/>
        <v/>
      </c>
      <c r="EJ25" s="73" t="str">
        <f t="shared" si="19"/>
        <v/>
      </c>
      <c r="EK25" s="73" t="str">
        <f t="shared" si="19"/>
        <v/>
      </c>
      <c r="EL25" s="73" t="str">
        <f t="shared" si="19"/>
        <v/>
      </c>
      <c r="EM25" s="73" t="str">
        <f t="shared" si="19"/>
        <v/>
      </c>
      <c r="EN25" s="73" t="str">
        <f t="shared" si="19"/>
        <v/>
      </c>
      <c r="EO25" s="73" t="str">
        <f t="shared" si="19"/>
        <v/>
      </c>
      <c r="EP25" s="73" t="str">
        <f t="shared" si="19"/>
        <v/>
      </c>
      <c r="EQ25" s="73" t="str">
        <f t="shared" si="19"/>
        <v/>
      </c>
      <c r="ER25" s="73" t="str">
        <f t="shared" si="19"/>
        <v/>
      </c>
      <c r="ES25" s="73" t="str">
        <f t="shared" si="19"/>
        <v/>
      </c>
    </row>
    <row r="26" outlineLevel="1">
      <c r="A26" s="33"/>
      <c r="B26" s="58"/>
      <c r="C26" s="75" t="s">
        <v>138</v>
      </c>
      <c r="D26" s="68"/>
      <c r="E26" s="70"/>
      <c r="F26" s="70"/>
      <c r="G26" s="71"/>
      <c r="H26" s="72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3"/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3"/>
      <c r="DV26" s="73"/>
      <c r="DW26" s="73"/>
      <c r="DX26" s="73"/>
      <c r="DY26" s="73"/>
      <c r="DZ26" s="73"/>
      <c r="EA26" s="73"/>
      <c r="EB26" s="73"/>
      <c r="EC26" s="73"/>
      <c r="ED26" s="73"/>
      <c r="EE26" s="73"/>
      <c r="EF26" s="73"/>
      <c r="EG26" s="73"/>
      <c r="EH26" s="73"/>
      <c r="EI26" s="73"/>
      <c r="EJ26" s="73"/>
      <c r="EK26" s="73"/>
      <c r="EL26" s="73"/>
      <c r="EM26" s="73"/>
      <c r="EN26" s="73"/>
      <c r="EO26" s="73"/>
      <c r="EP26" s="73"/>
      <c r="EQ26" s="73"/>
      <c r="ER26" s="73"/>
      <c r="ES26" s="73"/>
    </row>
    <row r="27" outlineLevel="1">
      <c r="A27" s="33"/>
      <c r="B27" s="58"/>
      <c r="C27" s="75" t="s">
        <v>139</v>
      </c>
      <c r="D27" s="68"/>
      <c r="E27" s="70"/>
      <c r="F27" s="70"/>
      <c r="G27" s="71"/>
      <c r="H27" s="72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3"/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3"/>
      <c r="DV27" s="73"/>
      <c r="DW27" s="73"/>
      <c r="DX27" s="73"/>
      <c r="DY27" s="73"/>
      <c r="DZ27" s="73"/>
      <c r="EA27" s="73"/>
      <c r="EB27" s="73"/>
      <c r="EC27" s="73"/>
      <c r="ED27" s="73"/>
      <c r="EE27" s="73"/>
      <c r="EF27" s="73"/>
      <c r="EG27" s="73"/>
      <c r="EH27" s="73"/>
      <c r="EI27" s="73"/>
      <c r="EJ27" s="73"/>
      <c r="EK27" s="73"/>
      <c r="EL27" s="73"/>
      <c r="EM27" s="73"/>
      <c r="EN27" s="73"/>
      <c r="EO27" s="73"/>
      <c r="EP27" s="73"/>
      <c r="EQ27" s="73"/>
      <c r="ER27" s="73"/>
      <c r="ES27" s="73"/>
    </row>
    <row r="28" outlineLevel="1">
      <c r="A28" s="33"/>
      <c r="B28" s="58"/>
      <c r="C28" s="75" t="s">
        <v>143</v>
      </c>
      <c r="D28" s="68"/>
      <c r="E28" s="70"/>
      <c r="F28" s="70"/>
      <c r="G28" s="71"/>
      <c r="H28" s="72"/>
      <c r="I28" s="73"/>
      <c r="J28" s="73"/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3"/>
      <c r="DV28" s="73"/>
      <c r="DW28" s="73"/>
      <c r="DX28" s="73"/>
      <c r="DY28" s="73"/>
      <c r="DZ28" s="73"/>
      <c r="EA28" s="73"/>
      <c r="EB28" s="73"/>
      <c r="EC28" s="73"/>
      <c r="ED28" s="73"/>
      <c r="EE28" s="73"/>
      <c r="EF28" s="73"/>
      <c r="EG28" s="73"/>
      <c r="EH28" s="73"/>
      <c r="EI28" s="73"/>
      <c r="EJ28" s="73"/>
      <c r="EK28" s="73"/>
      <c r="EL28" s="73"/>
      <c r="EM28" s="73"/>
      <c r="EN28" s="73"/>
      <c r="EO28" s="73"/>
      <c r="EP28" s="73"/>
      <c r="EQ28" s="73"/>
      <c r="ER28" s="73"/>
      <c r="ES28" s="73"/>
    </row>
    <row r="29" outlineLevel="1">
      <c r="A29" s="33"/>
      <c r="B29" s="58"/>
      <c r="C29" s="75" t="s">
        <v>150</v>
      </c>
      <c r="D29" s="68"/>
      <c r="E29" s="70"/>
      <c r="F29" s="70"/>
      <c r="G29" s="71"/>
      <c r="H29" s="72"/>
      <c r="I29" s="73"/>
      <c r="J29" s="73"/>
      <c r="K29" s="73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3"/>
      <c r="BF29" s="73"/>
      <c r="BG29" s="73"/>
      <c r="BH29" s="73"/>
      <c r="BI29" s="73"/>
      <c r="BJ29" s="73"/>
      <c r="BK29" s="73"/>
      <c r="BL29" s="73"/>
      <c r="BM29" s="73"/>
      <c r="BN29" s="73"/>
      <c r="BO29" s="73"/>
      <c r="BP29" s="73"/>
      <c r="BQ29" s="73"/>
      <c r="BR29" s="73"/>
      <c r="BS29" s="73"/>
      <c r="BT29" s="73"/>
      <c r="BU29" s="73"/>
      <c r="BV29" s="73"/>
      <c r="BW29" s="73"/>
      <c r="BX29" s="73"/>
      <c r="BY29" s="73"/>
      <c r="BZ29" s="73"/>
      <c r="CA29" s="73"/>
      <c r="CB29" s="73"/>
      <c r="CC29" s="73"/>
      <c r="CD29" s="73"/>
      <c r="CE29" s="73"/>
      <c r="CF29" s="73"/>
      <c r="CG29" s="73"/>
      <c r="CH29" s="73"/>
      <c r="CI29" s="73"/>
      <c r="CJ29" s="73"/>
      <c r="CK29" s="73"/>
      <c r="CL29" s="73"/>
      <c r="CM29" s="73"/>
      <c r="CN29" s="73"/>
      <c r="CO29" s="73"/>
      <c r="CP29" s="73"/>
      <c r="CQ29" s="73"/>
      <c r="CR29" s="73"/>
      <c r="CS29" s="73"/>
      <c r="CT29" s="73"/>
      <c r="CU29" s="73"/>
      <c r="CV29" s="73"/>
      <c r="CW29" s="73"/>
      <c r="CX29" s="73"/>
      <c r="CY29" s="73"/>
      <c r="CZ29" s="73"/>
      <c r="DA29" s="73"/>
      <c r="DB29" s="73"/>
      <c r="DC29" s="73"/>
      <c r="DD29" s="73"/>
      <c r="DE29" s="73"/>
      <c r="DF29" s="73"/>
      <c r="DG29" s="73"/>
      <c r="DH29" s="73"/>
      <c r="DI29" s="73"/>
      <c r="DJ29" s="73"/>
      <c r="DK29" s="73"/>
      <c r="DL29" s="73"/>
      <c r="DM29" s="73"/>
      <c r="DN29" s="73"/>
      <c r="DO29" s="73"/>
      <c r="DP29" s="73"/>
      <c r="DQ29" s="73"/>
      <c r="DR29" s="73"/>
      <c r="DS29" s="73"/>
      <c r="DT29" s="73"/>
      <c r="DU29" s="73"/>
      <c r="DV29" s="73"/>
      <c r="DW29" s="73"/>
      <c r="DX29" s="73"/>
      <c r="DY29" s="73"/>
      <c r="DZ29" s="73"/>
      <c r="EA29" s="73"/>
      <c r="EB29" s="73"/>
      <c r="EC29" s="73"/>
      <c r="ED29" s="73"/>
      <c r="EE29" s="73"/>
      <c r="EF29" s="73"/>
      <c r="EG29" s="73"/>
      <c r="EH29" s="73"/>
      <c r="EI29" s="73"/>
      <c r="EJ29" s="73"/>
      <c r="EK29" s="73"/>
      <c r="EL29" s="73"/>
      <c r="EM29" s="73"/>
      <c r="EN29" s="73"/>
      <c r="EO29" s="73"/>
      <c r="EP29" s="73"/>
      <c r="EQ29" s="73"/>
      <c r="ER29" s="73"/>
      <c r="ES29" s="73"/>
    </row>
    <row r="30" outlineLevel="1">
      <c r="A30" s="33"/>
      <c r="B30" s="58"/>
      <c r="C30" s="74" t="s">
        <v>151</v>
      </c>
      <c r="D30" s="68"/>
      <c r="E30" s="70"/>
      <c r="F30" s="70"/>
      <c r="G30" s="71"/>
      <c r="H30" s="72"/>
      <c r="I30" s="73"/>
      <c r="J30" s="73"/>
      <c r="K30" s="73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3"/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3"/>
      <c r="EB30" s="73"/>
      <c r="EC30" s="73"/>
      <c r="ED30" s="73"/>
      <c r="EE30" s="73"/>
      <c r="EF30" s="73"/>
      <c r="EG30" s="73"/>
      <c r="EH30" s="73"/>
      <c r="EI30" s="73"/>
      <c r="EJ30" s="73"/>
      <c r="EK30" s="73"/>
      <c r="EL30" s="73"/>
      <c r="EM30" s="73"/>
      <c r="EN30" s="73"/>
      <c r="EO30" s="73"/>
      <c r="EP30" s="73"/>
      <c r="EQ30" s="73"/>
      <c r="ER30" s="73"/>
      <c r="ES30" s="73"/>
    </row>
    <row r="31" outlineLevel="1">
      <c r="A31" s="33"/>
      <c r="B31" s="58"/>
      <c r="C31" s="75" t="s">
        <v>152</v>
      </c>
      <c r="D31" s="68"/>
      <c r="E31" s="70"/>
      <c r="F31" s="70"/>
      <c r="G31" s="71"/>
      <c r="H31" s="72"/>
      <c r="I31" s="73"/>
      <c r="J31" s="73"/>
      <c r="K31" s="73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3"/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3"/>
      <c r="DV31" s="73"/>
      <c r="DW31" s="73"/>
      <c r="DX31" s="73"/>
      <c r="DY31" s="73"/>
      <c r="DZ31" s="73"/>
      <c r="EA31" s="73"/>
      <c r="EB31" s="73"/>
      <c r="EC31" s="73"/>
      <c r="ED31" s="73"/>
      <c r="EE31" s="73"/>
      <c r="EF31" s="73"/>
      <c r="EG31" s="73"/>
      <c r="EH31" s="73"/>
      <c r="EI31" s="73"/>
      <c r="EJ31" s="73"/>
      <c r="EK31" s="73"/>
      <c r="EL31" s="73"/>
      <c r="EM31" s="73"/>
      <c r="EN31" s="73"/>
      <c r="EO31" s="73"/>
      <c r="EP31" s="73"/>
      <c r="EQ31" s="73"/>
      <c r="ER31" s="73"/>
      <c r="ES31" s="73"/>
    </row>
    <row r="32" outlineLevel="1">
      <c r="A32" s="33"/>
      <c r="B32" s="58"/>
      <c r="C32" s="75" t="s">
        <v>153</v>
      </c>
      <c r="D32" s="68"/>
      <c r="E32" s="70"/>
      <c r="F32" s="70"/>
      <c r="G32" s="71"/>
      <c r="H32" s="72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3"/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3"/>
      <c r="DV32" s="73"/>
      <c r="DW32" s="73"/>
      <c r="DX32" s="73"/>
      <c r="DY32" s="73"/>
      <c r="DZ32" s="73"/>
      <c r="EA32" s="73"/>
      <c r="EB32" s="73"/>
      <c r="EC32" s="73"/>
      <c r="ED32" s="73"/>
      <c r="EE32" s="73"/>
      <c r="EF32" s="73"/>
      <c r="EG32" s="73"/>
      <c r="EH32" s="73"/>
      <c r="EI32" s="73"/>
      <c r="EJ32" s="73"/>
      <c r="EK32" s="73"/>
      <c r="EL32" s="73"/>
      <c r="EM32" s="73"/>
      <c r="EN32" s="73"/>
      <c r="EO32" s="73"/>
      <c r="EP32" s="73"/>
      <c r="EQ32" s="73"/>
      <c r="ER32" s="73"/>
      <c r="ES32" s="73"/>
    </row>
    <row r="33" outlineLevel="1">
      <c r="A33" s="33"/>
      <c r="B33" s="58"/>
      <c r="C33" s="75" t="s">
        <v>154</v>
      </c>
      <c r="D33" s="68"/>
      <c r="E33" s="70"/>
      <c r="F33" s="70"/>
      <c r="G33" s="71"/>
      <c r="H33" s="72"/>
      <c r="I33" s="73"/>
      <c r="J33" s="73"/>
      <c r="K33" s="73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</row>
    <row r="34" outlineLevel="1">
      <c r="A34" s="33"/>
      <c r="B34" s="58"/>
      <c r="C34" s="75" t="s">
        <v>155</v>
      </c>
      <c r="D34" s="68"/>
      <c r="E34" s="70"/>
      <c r="F34" s="70"/>
      <c r="G34" s="71"/>
      <c r="H34" s="72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3"/>
      <c r="BF34" s="73"/>
      <c r="BG34" s="73"/>
      <c r="BH34" s="73"/>
      <c r="BI34" s="73"/>
      <c r="BJ34" s="73"/>
      <c r="BK34" s="73"/>
      <c r="BL34" s="73"/>
      <c r="BM34" s="73"/>
      <c r="BN34" s="73"/>
      <c r="BO34" s="73"/>
      <c r="BP34" s="73"/>
      <c r="BQ34" s="73"/>
      <c r="BR34" s="73"/>
      <c r="BS34" s="73"/>
      <c r="BT34" s="73"/>
      <c r="BU34" s="73"/>
      <c r="BV34" s="73"/>
      <c r="BW34" s="73"/>
      <c r="BX34" s="73"/>
      <c r="BY34" s="73"/>
      <c r="BZ34" s="73"/>
      <c r="CA34" s="73"/>
      <c r="CB34" s="73"/>
      <c r="CC34" s="73"/>
      <c r="CD34" s="73"/>
      <c r="CE34" s="73"/>
      <c r="CF34" s="73"/>
      <c r="CG34" s="73"/>
      <c r="CH34" s="73"/>
      <c r="CI34" s="73"/>
      <c r="CJ34" s="73"/>
      <c r="CK34" s="73"/>
      <c r="CL34" s="73"/>
      <c r="CM34" s="73"/>
      <c r="CN34" s="73"/>
      <c r="CO34" s="73"/>
      <c r="CP34" s="73"/>
      <c r="CQ34" s="73"/>
      <c r="CR34" s="73"/>
      <c r="CS34" s="73"/>
      <c r="CT34" s="73"/>
      <c r="CU34" s="73"/>
      <c r="CV34" s="73"/>
      <c r="CW34" s="73"/>
      <c r="CX34" s="73"/>
      <c r="CY34" s="73"/>
      <c r="CZ34" s="73"/>
      <c r="DA34" s="73"/>
      <c r="DB34" s="73"/>
      <c r="DC34" s="73"/>
      <c r="DD34" s="73"/>
      <c r="DE34" s="73"/>
      <c r="DF34" s="73"/>
      <c r="DG34" s="73"/>
      <c r="DH34" s="73"/>
      <c r="DI34" s="73"/>
      <c r="DJ34" s="73"/>
      <c r="DK34" s="73"/>
      <c r="DL34" s="73"/>
      <c r="DM34" s="73"/>
      <c r="DN34" s="73"/>
      <c r="DO34" s="73"/>
      <c r="DP34" s="73"/>
      <c r="DQ34" s="73"/>
      <c r="DR34" s="73"/>
      <c r="DS34" s="73"/>
      <c r="DT34" s="73"/>
      <c r="DU34" s="73"/>
      <c r="DV34" s="73"/>
      <c r="DW34" s="73"/>
      <c r="DX34" s="73"/>
      <c r="DY34" s="73"/>
      <c r="DZ34" s="73"/>
      <c r="EA34" s="73"/>
      <c r="EB34" s="73"/>
      <c r="EC34" s="73"/>
      <c r="ED34" s="73"/>
      <c r="EE34" s="73"/>
      <c r="EF34" s="73"/>
      <c r="EG34" s="73"/>
      <c r="EH34" s="73"/>
      <c r="EI34" s="73"/>
      <c r="EJ34" s="73"/>
      <c r="EK34" s="73"/>
      <c r="EL34" s="73"/>
      <c r="EM34" s="73"/>
      <c r="EN34" s="73"/>
      <c r="EO34" s="73"/>
      <c r="EP34" s="73"/>
      <c r="EQ34" s="73"/>
      <c r="ER34" s="73"/>
      <c r="ES34" s="73"/>
    </row>
    <row r="35" outlineLevel="1">
      <c r="A35" s="33"/>
      <c r="B35" s="58"/>
      <c r="C35" s="75" t="s">
        <v>156</v>
      </c>
      <c r="D35" s="68"/>
      <c r="E35" s="70"/>
      <c r="F35" s="70"/>
      <c r="G35" s="71"/>
      <c r="H35" s="72"/>
      <c r="I35" s="73"/>
      <c r="J35" s="73"/>
      <c r="K35" s="73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3"/>
      <c r="BF35" s="73"/>
      <c r="BG35" s="73"/>
      <c r="BH35" s="73"/>
      <c r="BI35" s="73"/>
      <c r="BJ35" s="73"/>
      <c r="BK35" s="73"/>
      <c r="BL35" s="73"/>
      <c r="BM35" s="73"/>
      <c r="BN35" s="73"/>
      <c r="BO35" s="73"/>
      <c r="BP35" s="73"/>
      <c r="BQ35" s="73"/>
      <c r="BR35" s="73"/>
      <c r="BS35" s="73"/>
      <c r="BT35" s="73"/>
      <c r="BU35" s="73"/>
      <c r="BV35" s="73"/>
      <c r="BW35" s="73"/>
      <c r="BX35" s="73"/>
      <c r="BY35" s="73"/>
      <c r="BZ35" s="73"/>
      <c r="CA35" s="73"/>
      <c r="CB35" s="73"/>
      <c r="CC35" s="73"/>
      <c r="CD35" s="73"/>
      <c r="CE35" s="73"/>
      <c r="CF35" s="73"/>
      <c r="CG35" s="73"/>
      <c r="CH35" s="73"/>
      <c r="CI35" s="73"/>
      <c r="CJ35" s="73"/>
      <c r="CK35" s="73"/>
      <c r="CL35" s="73"/>
      <c r="CM35" s="73"/>
      <c r="CN35" s="73"/>
      <c r="CO35" s="73"/>
      <c r="CP35" s="73"/>
      <c r="CQ35" s="73"/>
      <c r="CR35" s="73"/>
      <c r="CS35" s="73"/>
      <c r="CT35" s="73"/>
      <c r="CU35" s="73"/>
      <c r="CV35" s="73"/>
      <c r="CW35" s="73"/>
      <c r="CX35" s="73"/>
      <c r="CY35" s="73"/>
      <c r="CZ35" s="73"/>
      <c r="DA35" s="73"/>
      <c r="DB35" s="73"/>
      <c r="DC35" s="73"/>
      <c r="DD35" s="73"/>
      <c r="DE35" s="73"/>
      <c r="DF35" s="73"/>
      <c r="DG35" s="73"/>
      <c r="DH35" s="73"/>
      <c r="DI35" s="73"/>
      <c r="DJ35" s="73"/>
      <c r="DK35" s="73"/>
      <c r="DL35" s="73"/>
      <c r="DM35" s="73"/>
      <c r="DN35" s="73"/>
      <c r="DO35" s="73"/>
      <c r="DP35" s="73"/>
      <c r="DQ35" s="73"/>
      <c r="DR35" s="73"/>
      <c r="DS35" s="73"/>
      <c r="DT35" s="73"/>
      <c r="DU35" s="73"/>
      <c r="DV35" s="73"/>
      <c r="DW35" s="73"/>
      <c r="DX35" s="73"/>
      <c r="DY35" s="73"/>
      <c r="DZ35" s="73"/>
      <c r="EA35" s="73"/>
      <c r="EB35" s="73"/>
      <c r="EC35" s="73"/>
      <c r="ED35" s="73"/>
      <c r="EE35" s="73"/>
      <c r="EF35" s="73"/>
      <c r="EG35" s="73"/>
      <c r="EH35" s="73"/>
      <c r="EI35" s="73"/>
      <c r="EJ35" s="73"/>
      <c r="EK35" s="73"/>
      <c r="EL35" s="73"/>
      <c r="EM35" s="73"/>
      <c r="EN35" s="73"/>
      <c r="EO35" s="73"/>
      <c r="EP35" s="73"/>
      <c r="EQ35" s="73"/>
      <c r="ER35" s="73"/>
      <c r="ES35" s="73"/>
    </row>
    <row r="36" outlineLevel="1">
      <c r="A36" s="33"/>
      <c r="B36" s="58">
        <v>12.0</v>
      </c>
      <c r="C36" s="68" t="s">
        <v>157</v>
      </c>
      <c r="D36" s="68"/>
      <c r="E36" s="70">
        <f>E12</f>
        <v>45413</v>
      </c>
      <c r="F36" s="70">
        <f>E36+G36</f>
        <v>45613</v>
      </c>
      <c r="G36" s="71">
        <v>200.0</v>
      </c>
      <c r="H36" s="72">
        <v>0.0</v>
      </c>
      <c r="I36" s="73" t="str">
        <f t="shared" ref="I36:ES36" si="20">IF(AND($E36&lt;=I$6,$F36&gt;=I$6),"X","")</f>
        <v>X</v>
      </c>
      <c r="J36" s="73" t="str">
        <f t="shared" si="20"/>
        <v>X</v>
      </c>
      <c r="K36" s="73" t="str">
        <f t="shared" si="20"/>
        <v>X</v>
      </c>
      <c r="L36" s="73" t="str">
        <f t="shared" si="20"/>
        <v>X</v>
      </c>
      <c r="M36" s="73" t="str">
        <f t="shared" si="20"/>
        <v>X</v>
      </c>
      <c r="N36" s="73" t="str">
        <f t="shared" si="20"/>
        <v>X</v>
      </c>
      <c r="O36" s="73" t="str">
        <f t="shared" si="20"/>
        <v>X</v>
      </c>
      <c r="P36" s="73" t="str">
        <f t="shared" si="20"/>
        <v>X</v>
      </c>
      <c r="Q36" s="73" t="str">
        <f t="shared" si="20"/>
        <v>X</v>
      </c>
      <c r="R36" s="73" t="str">
        <f t="shared" si="20"/>
        <v>X</v>
      </c>
      <c r="S36" s="73" t="str">
        <f t="shared" si="20"/>
        <v>X</v>
      </c>
      <c r="T36" s="73" t="str">
        <f t="shared" si="20"/>
        <v>X</v>
      </c>
      <c r="U36" s="73" t="str">
        <f t="shared" si="20"/>
        <v>X</v>
      </c>
      <c r="V36" s="73" t="str">
        <f t="shared" si="20"/>
        <v>X</v>
      </c>
      <c r="W36" s="73" t="str">
        <f t="shared" si="20"/>
        <v>X</v>
      </c>
      <c r="X36" s="73" t="str">
        <f t="shared" si="20"/>
        <v>X</v>
      </c>
      <c r="Y36" s="73" t="str">
        <f t="shared" si="20"/>
        <v>X</v>
      </c>
      <c r="Z36" s="73" t="str">
        <f t="shared" si="20"/>
        <v>X</v>
      </c>
      <c r="AA36" s="73" t="str">
        <f t="shared" si="20"/>
        <v>X</v>
      </c>
      <c r="AB36" s="73" t="str">
        <f t="shared" si="20"/>
        <v>X</v>
      </c>
      <c r="AC36" s="73" t="str">
        <f t="shared" si="20"/>
        <v>X</v>
      </c>
      <c r="AD36" s="73" t="str">
        <f t="shared" si="20"/>
        <v>X</v>
      </c>
      <c r="AE36" s="73" t="str">
        <f t="shared" si="20"/>
        <v>X</v>
      </c>
      <c r="AF36" s="73" t="str">
        <f t="shared" si="20"/>
        <v>X</v>
      </c>
      <c r="AG36" s="73" t="str">
        <f t="shared" si="20"/>
        <v>X</v>
      </c>
      <c r="AH36" s="73" t="str">
        <f t="shared" si="20"/>
        <v>X</v>
      </c>
      <c r="AI36" s="73" t="str">
        <f t="shared" si="20"/>
        <v>X</v>
      </c>
      <c r="AJ36" s="73" t="str">
        <f t="shared" si="20"/>
        <v>X</v>
      </c>
      <c r="AK36" s="73" t="str">
        <f t="shared" si="20"/>
        <v>X</v>
      </c>
      <c r="AL36" s="73" t="str">
        <f t="shared" si="20"/>
        <v/>
      </c>
      <c r="AM36" s="73" t="str">
        <f t="shared" si="20"/>
        <v/>
      </c>
      <c r="AN36" s="73" t="str">
        <f t="shared" si="20"/>
        <v/>
      </c>
      <c r="AO36" s="73" t="str">
        <f t="shared" si="20"/>
        <v/>
      </c>
      <c r="AP36" s="73" t="str">
        <f t="shared" si="20"/>
        <v/>
      </c>
      <c r="AQ36" s="73" t="str">
        <f t="shared" si="20"/>
        <v/>
      </c>
      <c r="AR36" s="73" t="str">
        <f t="shared" si="20"/>
        <v/>
      </c>
      <c r="AS36" s="73" t="str">
        <f t="shared" si="20"/>
        <v/>
      </c>
      <c r="AT36" s="73" t="str">
        <f t="shared" si="20"/>
        <v/>
      </c>
      <c r="AU36" s="73" t="str">
        <f t="shared" si="20"/>
        <v/>
      </c>
      <c r="AV36" s="73" t="str">
        <f t="shared" si="20"/>
        <v/>
      </c>
      <c r="AW36" s="73" t="str">
        <f t="shared" si="20"/>
        <v/>
      </c>
      <c r="AX36" s="73" t="str">
        <f t="shared" si="20"/>
        <v/>
      </c>
      <c r="AY36" s="73" t="str">
        <f t="shared" si="20"/>
        <v/>
      </c>
      <c r="AZ36" s="73" t="str">
        <f t="shared" si="20"/>
        <v/>
      </c>
      <c r="BA36" s="73" t="str">
        <f t="shared" si="20"/>
        <v/>
      </c>
      <c r="BB36" s="73" t="str">
        <f t="shared" si="20"/>
        <v/>
      </c>
      <c r="BC36" s="73" t="str">
        <f t="shared" si="20"/>
        <v/>
      </c>
      <c r="BD36" s="73" t="str">
        <f t="shared" si="20"/>
        <v/>
      </c>
      <c r="BE36" s="73" t="str">
        <f t="shared" si="20"/>
        <v/>
      </c>
      <c r="BF36" s="73" t="str">
        <f t="shared" si="20"/>
        <v/>
      </c>
      <c r="BG36" s="73" t="str">
        <f t="shared" si="20"/>
        <v/>
      </c>
      <c r="BH36" s="73" t="str">
        <f t="shared" si="20"/>
        <v/>
      </c>
      <c r="BI36" s="73" t="str">
        <f t="shared" si="20"/>
        <v/>
      </c>
      <c r="BJ36" s="73" t="str">
        <f t="shared" si="20"/>
        <v/>
      </c>
      <c r="BK36" s="73" t="str">
        <f t="shared" si="20"/>
        <v/>
      </c>
      <c r="BL36" s="73" t="str">
        <f t="shared" si="20"/>
        <v/>
      </c>
      <c r="BM36" s="73" t="str">
        <f t="shared" si="20"/>
        <v/>
      </c>
      <c r="BN36" s="73" t="str">
        <f t="shared" si="20"/>
        <v/>
      </c>
      <c r="BO36" s="73" t="str">
        <f t="shared" si="20"/>
        <v/>
      </c>
      <c r="BP36" s="73" t="str">
        <f t="shared" si="20"/>
        <v/>
      </c>
      <c r="BQ36" s="73" t="str">
        <f t="shared" si="20"/>
        <v/>
      </c>
      <c r="BR36" s="73" t="str">
        <f t="shared" si="20"/>
        <v/>
      </c>
      <c r="BS36" s="73" t="str">
        <f t="shared" si="20"/>
        <v/>
      </c>
      <c r="BT36" s="73" t="str">
        <f t="shared" si="20"/>
        <v/>
      </c>
      <c r="BU36" s="73" t="str">
        <f t="shared" si="20"/>
        <v/>
      </c>
      <c r="BV36" s="73" t="str">
        <f t="shared" si="20"/>
        <v/>
      </c>
      <c r="BW36" s="73" t="str">
        <f t="shared" si="20"/>
        <v/>
      </c>
      <c r="BX36" s="73" t="str">
        <f t="shared" si="20"/>
        <v/>
      </c>
      <c r="BY36" s="73" t="str">
        <f t="shared" si="20"/>
        <v/>
      </c>
      <c r="BZ36" s="73" t="str">
        <f t="shared" si="20"/>
        <v/>
      </c>
      <c r="CA36" s="73" t="str">
        <f t="shared" si="20"/>
        <v/>
      </c>
      <c r="CB36" s="73" t="str">
        <f t="shared" si="20"/>
        <v/>
      </c>
      <c r="CC36" s="73" t="str">
        <f t="shared" si="20"/>
        <v/>
      </c>
      <c r="CD36" s="73" t="str">
        <f t="shared" si="20"/>
        <v/>
      </c>
      <c r="CE36" s="73" t="str">
        <f t="shared" si="20"/>
        <v/>
      </c>
      <c r="CF36" s="73" t="str">
        <f t="shared" si="20"/>
        <v/>
      </c>
      <c r="CG36" s="73" t="str">
        <f t="shared" si="20"/>
        <v/>
      </c>
      <c r="CH36" s="73" t="str">
        <f t="shared" si="20"/>
        <v/>
      </c>
      <c r="CI36" s="73" t="str">
        <f t="shared" si="20"/>
        <v/>
      </c>
      <c r="CJ36" s="73" t="str">
        <f t="shared" si="20"/>
        <v/>
      </c>
      <c r="CK36" s="73" t="str">
        <f t="shared" si="20"/>
        <v/>
      </c>
      <c r="CL36" s="73" t="str">
        <f t="shared" si="20"/>
        <v/>
      </c>
      <c r="CM36" s="73" t="str">
        <f t="shared" si="20"/>
        <v/>
      </c>
      <c r="CN36" s="73" t="str">
        <f t="shared" si="20"/>
        <v/>
      </c>
      <c r="CO36" s="73" t="str">
        <f t="shared" si="20"/>
        <v/>
      </c>
      <c r="CP36" s="73" t="str">
        <f t="shared" si="20"/>
        <v/>
      </c>
      <c r="CQ36" s="73" t="str">
        <f t="shared" si="20"/>
        <v/>
      </c>
      <c r="CR36" s="73" t="str">
        <f t="shared" si="20"/>
        <v/>
      </c>
      <c r="CS36" s="73" t="str">
        <f t="shared" si="20"/>
        <v/>
      </c>
      <c r="CT36" s="73" t="str">
        <f t="shared" si="20"/>
        <v/>
      </c>
      <c r="CU36" s="73" t="str">
        <f t="shared" si="20"/>
        <v/>
      </c>
      <c r="CV36" s="73" t="str">
        <f t="shared" si="20"/>
        <v/>
      </c>
      <c r="CW36" s="73" t="str">
        <f t="shared" si="20"/>
        <v/>
      </c>
      <c r="CX36" s="73" t="str">
        <f t="shared" si="20"/>
        <v/>
      </c>
      <c r="CY36" s="73" t="str">
        <f t="shared" si="20"/>
        <v/>
      </c>
      <c r="CZ36" s="73" t="str">
        <f t="shared" si="20"/>
        <v/>
      </c>
      <c r="DA36" s="73" t="str">
        <f t="shared" si="20"/>
        <v/>
      </c>
      <c r="DB36" s="73" t="str">
        <f t="shared" si="20"/>
        <v/>
      </c>
      <c r="DC36" s="73" t="str">
        <f t="shared" si="20"/>
        <v/>
      </c>
      <c r="DD36" s="73" t="str">
        <f t="shared" si="20"/>
        <v/>
      </c>
      <c r="DE36" s="73" t="str">
        <f t="shared" si="20"/>
        <v/>
      </c>
      <c r="DF36" s="73" t="str">
        <f t="shared" si="20"/>
        <v/>
      </c>
      <c r="DG36" s="73" t="str">
        <f t="shared" si="20"/>
        <v/>
      </c>
      <c r="DH36" s="73" t="str">
        <f t="shared" si="20"/>
        <v/>
      </c>
      <c r="DI36" s="73" t="str">
        <f t="shared" si="20"/>
        <v/>
      </c>
      <c r="DJ36" s="73" t="str">
        <f t="shared" si="20"/>
        <v/>
      </c>
      <c r="DK36" s="73" t="str">
        <f t="shared" si="20"/>
        <v/>
      </c>
      <c r="DL36" s="73" t="str">
        <f t="shared" si="20"/>
        <v/>
      </c>
      <c r="DM36" s="73" t="str">
        <f t="shared" si="20"/>
        <v/>
      </c>
      <c r="DN36" s="73" t="str">
        <f t="shared" si="20"/>
        <v/>
      </c>
      <c r="DO36" s="73" t="str">
        <f t="shared" si="20"/>
        <v/>
      </c>
      <c r="DP36" s="73" t="str">
        <f t="shared" si="20"/>
        <v/>
      </c>
      <c r="DQ36" s="73" t="str">
        <f t="shared" si="20"/>
        <v/>
      </c>
      <c r="DR36" s="73" t="str">
        <f t="shared" si="20"/>
        <v/>
      </c>
      <c r="DS36" s="73" t="str">
        <f t="shared" si="20"/>
        <v/>
      </c>
      <c r="DT36" s="73" t="str">
        <f t="shared" si="20"/>
        <v/>
      </c>
      <c r="DU36" s="73" t="str">
        <f t="shared" si="20"/>
        <v/>
      </c>
      <c r="DV36" s="73" t="str">
        <f t="shared" si="20"/>
        <v/>
      </c>
      <c r="DW36" s="73" t="str">
        <f t="shared" si="20"/>
        <v/>
      </c>
      <c r="DX36" s="73" t="str">
        <f t="shared" si="20"/>
        <v/>
      </c>
      <c r="DY36" s="73" t="str">
        <f t="shared" si="20"/>
        <v/>
      </c>
      <c r="DZ36" s="73" t="str">
        <f t="shared" si="20"/>
        <v/>
      </c>
      <c r="EA36" s="73" t="str">
        <f t="shared" si="20"/>
        <v/>
      </c>
      <c r="EB36" s="73" t="str">
        <f t="shared" si="20"/>
        <v/>
      </c>
      <c r="EC36" s="73" t="str">
        <f t="shared" si="20"/>
        <v/>
      </c>
      <c r="ED36" s="73" t="str">
        <f t="shared" si="20"/>
        <v/>
      </c>
      <c r="EE36" s="73" t="str">
        <f t="shared" si="20"/>
        <v/>
      </c>
      <c r="EF36" s="73" t="str">
        <f t="shared" si="20"/>
        <v/>
      </c>
      <c r="EG36" s="73" t="str">
        <f t="shared" si="20"/>
        <v/>
      </c>
      <c r="EH36" s="73" t="str">
        <f t="shared" si="20"/>
        <v/>
      </c>
      <c r="EI36" s="73" t="str">
        <f t="shared" si="20"/>
        <v/>
      </c>
      <c r="EJ36" s="73" t="str">
        <f t="shared" si="20"/>
        <v/>
      </c>
      <c r="EK36" s="73" t="str">
        <f t="shared" si="20"/>
        <v/>
      </c>
      <c r="EL36" s="73" t="str">
        <f t="shared" si="20"/>
        <v/>
      </c>
      <c r="EM36" s="73" t="str">
        <f t="shared" si="20"/>
        <v/>
      </c>
      <c r="EN36" s="73" t="str">
        <f t="shared" si="20"/>
        <v/>
      </c>
      <c r="EO36" s="73" t="str">
        <f t="shared" si="20"/>
        <v/>
      </c>
      <c r="EP36" s="73" t="str">
        <f t="shared" si="20"/>
        <v/>
      </c>
      <c r="EQ36" s="73" t="str">
        <f t="shared" si="20"/>
        <v/>
      </c>
      <c r="ER36" s="73" t="str">
        <f t="shared" si="20"/>
        <v/>
      </c>
      <c r="ES36" s="73" t="str">
        <f t="shared" si="20"/>
        <v/>
      </c>
    </row>
    <row r="37">
      <c r="A37" s="33"/>
      <c r="B37" s="58">
        <v>13.0</v>
      </c>
      <c r="C37" s="59" t="s">
        <v>158</v>
      </c>
      <c r="D37" s="77"/>
      <c r="E37" s="61">
        <f>min(E38:E41)</f>
        <v>45564</v>
      </c>
      <c r="F37" s="62">
        <f>max(F38:F41)</f>
        <v>45694</v>
      </c>
      <c r="G37" s="78"/>
      <c r="H37" s="78"/>
      <c r="I37" s="79"/>
      <c r="J37" s="65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67"/>
      <c r="AM37" s="67"/>
      <c r="AN37" s="67"/>
      <c r="AO37" s="67"/>
      <c r="AP37" s="67"/>
      <c r="AQ37" s="67"/>
      <c r="AR37" s="67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7"/>
      <c r="CS37" s="67"/>
      <c r="CT37" s="67"/>
      <c r="CU37" s="67"/>
      <c r="CV37" s="67"/>
      <c r="CW37" s="67"/>
      <c r="CX37" s="67"/>
      <c r="CY37" s="67"/>
      <c r="CZ37" s="67"/>
      <c r="DA37" s="67"/>
      <c r="DB37" s="67"/>
      <c r="DC37" s="67"/>
      <c r="DD37" s="67"/>
      <c r="DE37" s="67"/>
      <c r="DF37" s="67"/>
      <c r="DG37" s="67"/>
      <c r="DH37" s="67"/>
      <c r="DI37" s="67"/>
      <c r="DJ37" s="67"/>
      <c r="DK37" s="67"/>
      <c r="DL37" s="67"/>
      <c r="DM37" s="67"/>
      <c r="DN37" s="67"/>
      <c r="DO37" s="67"/>
      <c r="DP37" s="67"/>
      <c r="DQ37" s="67"/>
      <c r="DR37" s="67"/>
      <c r="DS37" s="67"/>
      <c r="DT37" s="67"/>
      <c r="DU37" s="67"/>
      <c r="DV37" s="67"/>
      <c r="DW37" s="67"/>
      <c r="DX37" s="67"/>
      <c r="DY37" s="67"/>
      <c r="DZ37" s="67"/>
      <c r="EA37" s="67"/>
      <c r="EB37" s="67"/>
      <c r="EC37" s="67"/>
      <c r="ED37" s="67"/>
      <c r="EE37" s="67"/>
      <c r="EF37" s="67"/>
      <c r="EG37" s="67"/>
      <c r="EH37" s="67"/>
      <c r="EI37" s="67"/>
      <c r="EJ37" s="67"/>
      <c r="EK37" s="67"/>
      <c r="EL37" s="67"/>
      <c r="EM37" s="67"/>
      <c r="EN37" s="67"/>
      <c r="EO37" s="67"/>
      <c r="EP37" s="67"/>
      <c r="EQ37" s="67"/>
      <c r="ER37" s="67"/>
      <c r="ES37" s="67"/>
    </row>
    <row r="38" outlineLevel="1">
      <c r="A38" s="33"/>
      <c r="B38" s="58">
        <v>14.0</v>
      </c>
      <c r="C38" s="68" t="s">
        <v>49</v>
      </c>
      <c r="D38" s="68"/>
      <c r="E38" s="70">
        <f>F36</f>
        <v>45613</v>
      </c>
      <c r="F38" s="70">
        <f t="shared" ref="F38:F68" si="22">E38+G38</f>
        <v>45613</v>
      </c>
      <c r="G38" s="71">
        <v>0.0</v>
      </c>
      <c r="H38" s="72">
        <v>1.0</v>
      </c>
      <c r="I38" s="73" t="str">
        <f t="shared" ref="I38:ES38" si="21">IF(AND($E38&lt;=I$6,$F38&gt;=I$6),"X","")</f>
        <v/>
      </c>
      <c r="J38" s="73" t="str">
        <f t="shared" si="21"/>
        <v/>
      </c>
      <c r="K38" s="73" t="str">
        <f t="shared" si="21"/>
        <v/>
      </c>
      <c r="L38" s="73" t="str">
        <f t="shared" si="21"/>
        <v/>
      </c>
      <c r="M38" s="73" t="str">
        <f t="shared" si="21"/>
        <v/>
      </c>
      <c r="N38" s="73" t="str">
        <f t="shared" si="21"/>
        <v/>
      </c>
      <c r="O38" s="73" t="str">
        <f t="shared" si="21"/>
        <v/>
      </c>
      <c r="P38" s="73" t="str">
        <f t="shared" si="21"/>
        <v/>
      </c>
      <c r="Q38" s="73" t="str">
        <f t="shared" si="21"/>
        <v/>
      </c>
      <c r="R38" s="73" t="str">
        <f t="shared" si="21"/>
        <v/>
      </c>
      <c r="S38" s="73" t="str">
        <f t="shared" si="21"/>
        <v/>
      </c>
      <c r="T38" s="73" t="str">
        <f t="shared" si="21"/>
        <v/>
      </c>
      <c r="U38" s="73" t="str">
        <f t="shared" si="21"/>
        <v/>
      </c>
      <c r="V38" s="73" t="str">
        <f t="shared" si="21"/>
        <v/>
      </c>
      <c r="W38" s="73" t="str">
        <f t="shared" si="21"/>
        <v/>
      </c>
      <c r="X38" s="73" t="str">
        <f t="shared" si="21"/>
        <v/>
      </c>
      <c r="Y38" s="73" t="str">
        <f t="shared" si="21"/>
        <v/>
      </c>
      <c r="Z38" s="73" t="str">
        <f t="shared" si="21"/>
        <v/>
      </c>
      <c r="AA38" s="73" t="str">
        <f t="shared" si="21"/>
        <v/>
      </c>
      <c r="AB38" s="73" t="str">
        <f t="shared" si="21"/>
        <v/>
      </c>
      <c r="AC38" s="73" t="str">
        <f t="shared" si="21"/>
        <v/>
      </c>
      <c r="AD38" s="73" t="str">
        <f t="shared" si="21"/>
        <v/>
      </c>
      <c r="AE38" s="73" t="str">
        <f t="shared" si="21"/>
        <v/>
      </c>
      <c r="AF38" s="73" t="str">
        <f t="shared" si="21"/>
        <v/>
      </c>
      <c r="AG38" s="73" t="str">
        <f t="shared" si="21"/>
        <v/>
      </c>
      <c r="AH38" s="73" t="str">
        <f t="shared" si="21"/>
        <v/>
      </c>
      <c r="AI38" s="73" t="str">
        <f t="shared" si="21"/>
        <v/>
      </c>
      <c r="AJ38" s="73" t="str">
        <f t="shared" si="21"/>
        <v/>
      </c>
      <c r="AK38" s="73" t="str">
        <f t="shared" si="21"/>
        <v/>
      </c>
      <c r="AL38" s="73" t="str">
        <f t="shared" si="21"/>
        <v/>
      </c>
      <c r="AM38" s="73" t="str">
        <f t="shared" si="21"/>
        <v/>
      </c>
      <c r="AN38" s="73" t="str">
        <f t="shared" si="21"/>
        <v/>
      </c>
      <c r="AO38" s="73" t="str">
        <f t="shared" si="21"/>
        <v/>
      </c>
      <c r="AP38" s="73" t="str">
        <f t="shared" si="21"/>
        <v/>
      </c>
      <c r="AQ38" s="73" t="str">
        <f t="shared" si="21"/>
        <v/>
      </c>
      <c r="AR38" s="73" t="str">
        <f t="shared" si="21"/>
        <v/>
      </c>
      <c r="AS38" s="73" t="str">
        <f t="shared" si="21"/>
        <v/>
      </c>
      <c r="AT38" s="73" t="str">
        <f t="shared" si="21"/>
        <v/>
      </c>
      <c r="AU38" s="73" t="str">
        <f t="shared" si="21"/>
        <v/>
      </c>
      <c r="AV38" s="73" t="str">
        <f t="shared" si="21"/>
        <v/>
      </c>
      <c r="AW38" s="73" t="str">
        <f t="shared" si="21"/>
        <v/>
      </c>
      <c r="AX38" s="73" t="str">
        <f t="shared" si="21"/>
        <v/>
      </c>
      <c r="AY38" s="73" t="str">
        <f t="shared" si="21"/>
        <v/>
      </c>
      <c r="AZ38" s="73" t="str">
        <f t="shared" si="21"/>
        <v/>
      </c>
      <c r="BA38" s="73" t="str">
        <f t="shared" si="21"/>
        <v/>
      </c>
      <c r="BB38" s="73" t="str">
        <f t="shared" si="21"/>
        <v/>
      </c>
      <c r="BC38" s="73" t="str">
        <f t="shared" si="21"/>
        <v/>
      </c>
      <c r="BD38" s="73" t="str">
        <f t="shared" si="21"/>
        <v/>
      </c>
      <c r="BE38" s="73" t="str">
        <f t="shared" si="21"/>
        <v/>
      </c>
      <c r="BF38" s="73" t="str">
        <f t="shared" si="21"/>
        <v/>
      </c>
      <c r="BG38" s="73" t="str">
        <f t="shared" si="21"/>
        <v/>
      </c>
      <c r="BH38" s="73" t="str">
        <f t="shared" si="21"/>
        <v/>
      </c>
      <c r="BI38" s="73" t="str">
        <f t="shared" si="21"/>
        <v/>
      </c>
      <c r="BJ38" s="73" t="str">
        <f t="shared" si="21"/>
        <v/>
      </c>
      <c r="BK38" s="73" t="str">
        <f t="shared" si="21"/>
        <v/>
      </c>
      <c r="BL38" s="73" t="str">
        <f t="shared" si="21"/>
        <v/>
      </c>
      <c r="BM38" s="73" t="str">
        <f t="shared" si="21"/>
        <v/>
      </c>
      <c r="BN38" s="73" t="str">
        <f t="shared" si="21"/>
        <v/>
      </c>
      <c r="BO38" s="73" t="str">
        <f t="shared" si="21"/>
        <v/>
      </c>
      <c r="BP38" s="76" t="str">
        <f t="shared" si="21"/>
        <v/>
      </c>
      <c r="BQ38" s="76" t="str">
        <f t="shared" si="21"/>
        <v/>
      </c>
      <c r="BR38" s="76" t="str">
        <f t="shared" si="21"/>
        <v/>
      </c>
      <c r="BS38" s="76" t="str">
        <f t="shared" si="21"/>
        <v/>
      </c>
      <c r="BT38" s="76" t="str">
        <f t="shared" si="21"/>
        <v/>
      </c>
      <c r="BU38" s="76" t="str">
        <f t="shared" si="21"/>
        <v/>
      </c>
      <c r="BV38" s="76" t="str">
        <f t="shared" si="21"/>
        <v/>
      </c>
      <c r="BW38" s="76" t="str">
        <f t="shared" si="21"/>
        <v/>
      </c>
      <c r="BX38" s="76" t="str">
        <f t="shared" si="21"/>
        <v/>
      </c>
      <c r="BY38" s="76" t="str">
        <f t="shared" si="21"/>
        <v/>
      </c>
      <c r="BZ38" s="76" t="str">
        <f t="shared" si="21"/>
        <v/>
      </c>
      <c r="CA38" s="76" t="str">
        <f t="shared" si="21"/>
        <v/>
      </c>
      <c r="CB38" s="76" t="str">
        <f t="shared" si="21"/>
        <v/>
      </c>
      <c r="CC38" s="76" t="str">
        <f t="shared" si="21"/>
        <v/>
      </c>
      <c r="CD38" s="76" t="str">
        <f t="shared" si="21"/>
        <v/>
      </c>
      <c r="CE38" s="76" t="str">
        <f t="shared" si="21"/>
        <v/>
      </c>
      <c r="CF38" s="76" t="str">
        <f t="shared" si="21"/>
        <v/>
      </c>
      <c r="CG38" s="76" t="str">
        <f t="shared" si="21"/>
        <v/>
      </c>
      <c r="CH38" s="76" t="str">
        <f t="shared" si="21"/>
        <v/>
      </c>
      <c r="CI38" s="76" t="str">
        <f t="shared" si="21"/>
        <v/>
      </c>
      <c r="CJ38" s="76" t="str">
        <f t="shared" si="21"/>
        <v/>
      </c>
      <c r="CK38" s="76" t="str">
        <f t="shared" si="21"/>
        <v/>
      </c>
      <c r="CL38" s="76" t="str">
        <f t="shared" si="21"/>
        <v/>
      </c>
      <c r="CM38" s="76" t="str">
        <f t="shared" si="21"/>
        <v/>
      </c>
      <c r="CN38" s="76" t="str">
        <f t="shared" si="21"/>
        <v/>
      </c>
      <c r="CO38" s="76" t="str">
        <f t="shared" si="21"/>
        <v/>
      </c>
      <c r="CP38" s="76" t="str">
        <f t="shared" si="21"/>
        <v/>
      </c>
      <c r="CQ38" s="76" t="str">
        <f t="shared" si="21"/>
        <v/>
      </c>
      <c r="CR38" s="76" t="str">
        <f t="shared" si="21"/>
        <v/>
      </c>
      <c r="CS38" s="76" t="str">
        <f t="shared" si="21"/>
        <v/>
      </c>
      <c r="CT38" s="76" t="str">
        <f t="shared" si="21"/>
        <v/>
      </c>
      <c r="CU38" s="76" t="str">
        <f t="shared" si="21"/>
        <v/>
      </c>
      <c r="CV38" s="76" t="str">
        <f t="shared" si="21"/>
        <v/>
      </c>
      <c r="CW38" s="76" t="str">
        <f t="shared" si="21"/>
        <v/>
      </c>
      <c r="CX38" s="76" t="str">
        <f t="shared" si="21"/>
        <v/>
      </c>
      <c r="CY38" s="76" t="str">
        <f t="shared" si="21"/>
        <v/>
      </c>
      <c r="CZ38" s="76" t="str">
        <f t="shared" si="21"/>
        <v/>
      </c>
      <c r="DA38" s="76" t="str">
        <f t="shared" si="21"/>
        <v/>
      </c>
      <c r="DB38" s="76" t="str">
        <f t="shared" si="21"/>
        <v/>
      </c>
      <c r="DC38" s="76" t="str">
        <f t="shared" si="21"/>
        <v/>
      </c>
      <c r="DD38" s="76" t="str">
        <f t="shared" si="21"/>
        <v/>
      </c>
      <c r="DE38" s="76" t="str">
        <f t="shared" si="21"/>
        <v/>
      </c>
      <c r="DF38" s="76" t="str">
        <f t="shared" si="21"/>
        <v/>
      </c>
      <c r="DG38" s="76" t="str">
        <f t="shared" si="21"/>
        <v/>
      </c>
      <c r="DH38" s="76" t="str">
        <f t="shared" si="21"/>
        <v/>
      </c>
      <c r="DI38" s="76" t="str">
        <f t="shared" si="21"/>
        <v/>
      </c>
      <c r="DJ38" s="76" t="str">
        <f t="shared" si="21"/>
        <v/>
      </c>
      <c r="DK38" s="76" t="str">
        <f t="shared" si="21"/>
        <v/>
      </c>
      <c r="DL38" s="76" t="str">
        <f t="shared" si="21"/>
        <v/>
      </c>
      <c r="DM38" s="76" t="str">
        <f t="shared" si="21"/>
        <v/>
      </c>
      <c r="DN38" s="76" t="str">
        <f t="shared" si="21"/>
        <v/>
      </c>
      <c r="DO38" s="76" t="str">
        <f t="shared" si="21"/>
        <v/>
      </c>
      <c r="DP38" s="76" t="str">
        <f t="shared" si="21"/>
        <v/>
      </c>
      <c r="DQ38" s="76" t="str">
        <f t="shared" si="21"/>
        <v/>
      </c>
      <c r="DR38" s="76" t="str">
        <f t="shared" si="21"/>
        <v/>
      </c>
      <c r="DS38" s="76" t="str">
        <f t="shared" si="21"/>
        <v/>
      </c>
      <c r="DT38" s="76" t="str">
        <f t="shared" si="21"/>
        <v/>
      </c>
      <c r="DU38" s="76" t="str">
        <f t="shared" si="21"/>
        <v/>
      </c>
      <c r="DV38" s="76" t="str">
        <f t="shared" si="21"/>
        <v/>
      </c>
      <c r="DW38" s="76" t="str">
        <f t="shared" si="21"/>
        <v/>
      </c>
      <c r="DX38" s="76" t="str">
        <f t="shared" si="21"/>
        <v/>
      </c>
      <c r="DY38" s="76" t="str">
        <f t="shared" si="21"/>
        <v/>
      </c>
      <c r="DZ38" s="76" t="str">
        <f t="shared" si="21"/>
        <v/>
      </c>
      <c r="EA38" s="76" t="str">
        <f t="shared" si="21"/>
        <v/>
      </c>
      <c r="EB38" s="76" t="str">
        <f t="shared" si="21"/>
        <v/>
      </c>
      <c r="EC38" s="76" t="str">
        <f t="shared" si="21"/>
        <v/>
      </c>
      <c r="ED38" s="76" t="str">
        <f t="shared" si="21"/>
        <v/>
      </c>
      <c r="EE38" s="76" t="str">
        <f t="shared" si="21"/>
        <v/>
      </c>
      <c r="EF38" s="76" t="str">
        <f t="shared" si="21"/>
        <v/>
      </c>
      <c r="EG38" s="76" t="str">
        <f t="shared" si="21"/>
        <v/>
      </c>
      <c r="EH38" s="76" t="str">
        <f t="shared" si="21"/>
        <v/>
      </c>
      <c r="EI38" s="76" t="str">
        <f t="shared" si="21"/>
        <v/>
      </c>
      <c r="EJ38" s="76" t="str">
        <f t="shared" si="21"/>
        <v/>
      </c>
      <c r="EK38" s="76" t="str">
        <f t="shared" si="21"/>
        <v/>
      </c>
      <c r="EL38" s="76" t="str">
        <f t="shared" si="21"/>
        <v/>
      </c>
      <c r="EM38" s="76" t="str">
        <f t="shared" si="21"/>
        <v/>
      </c>
      <c r="EN38" s="76" t="str">
        <f t="shared" si="21"/>
        <v/>
      </c>
      <c r="EO38" s="76" t="str">
        <f t="shared" si="21"/>
        <v/>
      </c>
      <c r="EP38" s="76" t="str">
        <f t="shared" si="21"/>
        <v/>
      </c>
      <c r="EQ38" s="76" t="str">
        <f t="shared" si="21"/>
        <v/>
      </c>
      <c r="ER38" s="76" t="str">
        <f t="shared" si="21"/>
        <v/>
      </c>
      <c r="ES38" s="76" t="str">
        <f t="shared" si="21"/>
        <v/>
      </c>
    </row>
    <row r="39" outlineLevel="1">
      <c r="A39" s="33"/>
      <c r="B39" s="58">
        <v>15.0</v>
      </c>
      <c r="C39" s="68" t="s">
        <v>159</v>
      </c>
      <c r="D39" s="68"/>
      <c r="E39" s="70">
        <f>F25</f>
        <v>45564</v>
      </c>
      <c r="F39" s="70">
        <f t="shared" si="22"/>
        <v>45634</v>
      </c>
      <c r="G39" s="71">
        <v>70.0</v>
      </c>
      <c r="H39" s="72">
        <v>0.0</v>
      </c>
      <c r="I39" s="73" t="str">
        <f t="shared" ref="I39:ES39" si="23">IF(AND($E39&lt;=I$6,$F39&gt;=I$6),"X","")</f>
        <v/>
      </c>
      <c r="J39" s="73" t="str">
        <f t="shared" si="23"/>
        <v/>
      </c>
      <c r="K39" s="73" t="str">
        <f t="shared" si="23"/>
        <v/>
      </c>
      <c r="L39" s="73" t="str">
        <f t="shared" si="23"/>
        <v/>
      </c>
      <c r="M39" s="73" t="str">
        <f t="shared" si="23"/>
        <v/>
      </c>
      <c r="N39" s="73" t="str">
        <f t="shared" si="23"/>
        <v/>
      </c>
      <c r="O39" s="73" t="str">
        <f t="shared" si="23"/>
        <v/>
      </c>
      <c r="P39" s="73" t="str">
        <f t="shared" si="23"/>
        <v/>
      </c>
      <c r="Q39" s="73" t="str">
        <f t="shared" si="23"/>
        <v/>
      </c>
      <c r="R39" s="73" t="str">
        <f t="shared" si="23"/>
        <v/>
      </c>
      <c r="S39" s="73" t="str">
        <f t="shared" si="23"/>
        <v/>
      </c>
      <c r="T39" s="73" t="str">
        <f t="shared" si="23"/>
        <v/>
      </c>
      <c r="U39" s="73" t="str">
        <f t="shared" si="23"/>
        <v/>
      </c>
      <c r="V39" s="73" t="str">
        <f t="shared" si="23"/>
        <v/>
      </c>
      <c r="W39" s="73" t="str">
        <f t="shared" si="23"/>
        <v/>
      </c>
      <c r="X39" s="73" t="str">
        <f t="shared" si="23"/>
        <v/>
      </c>
      <c r="Y39" s="73" t="str">
        <f t="shared" si="23"/>
        <v/>
      </c>
      <c r="Z39" s="73" t="str">
        <f t="shared" si="23"/>
        <v/>
      </c>
      <c r="AA39" s="73" t="str">
        <f t="shared" si="23"/>
        <v/>
      </c>
      <c r="AB39" s="73" t="str">
        <f t="shared" si="23"/>
        <v/>
      </c>
      <c r="AC39" s="73" t="str">
        <f t="shared" si="23"/>
        <v/>
      </c>
      <c r="AD39" s="73" t="str">
        <f t="shared" si="23"/>
        <v/>
      </c>
      <c r="AE39" s="73" t="str">
        <f t="shared" si="23"/>
        <v>X</v>
      </c>
      <c r="AF39" s="73" t="str">
        <f t="shared" si="23"/>
        <v>X</v>
      </c>
      <c r="AG39" s="73" t="str">
        <f t="shared" si="23"/>
        <v>X</v>
      </c>
      <c r="AH39" s="73" t="str">
        <f t="shared" si="23"/>
        <v>X</v>
      </c>
      <c r="AI39" s="73" t="str">
        <f t="shared" si="23"/>
        <v>X</v>
      </c>
      <c r="AJ39" s="73" t="str">
        <f t="shared" si="23"/>
        <v>X</v>
      </c>
      <c r="AK39" s="73" t="str">
        <f t="shared" si="23"/>
        <v>X</v>
      </c>
      <c r="AL39" s="73" t="str">
        <f t="shared" si="23"/>
        <v>X</v>
      </c>
      <c r="AM39" s="73" t="str">
        <f t="shared" si="23"/>
        <v>X</v>
      </c>
      <c r="AN39" s="73" t="str">
        <f t="shared" si="23"/>
        <v>X</v>
      </c>
      <c r="AO39" s="73" t="str">
        <f t="shared" si="23"/>
        <v/>
      </c>
      <c r="AP39" s="73" t="str">
        <f t="shared" si="23"/>
        <v/>
      </c>
      <c r="AQ39" s="73" t="str">
        <f t="shared" si="23"/>
        <v/>
      </c>
      <c r="AR39" s="73" t="str">
        <f t="shared" si="23"/>
        <v/>
      </c>
      <c r="AS39" s="73" t="str">
        <f t="shared" si="23"/>
        <v/>
      </c>
      <c r="AT39" s="73" t="str">
        <f t="shared" si="23"/>
        <v/>
      </c>
      <c r="AU39" s="73" t="str">
        <f t="shared" si="23"/>
        <v/>
      </c>
      <c r="AV39" s="73" t="str">
        <f t="shared" si="23"/>
        <v/>
      </c>
      <c r="AW39" s="73" t="str">
        <f t="shared" si="23"/>
        <v/>
      </c>
      <c r="AX39" s="73" t="str">
        <f t="shared" si="23"/>
        <v/>
      </c>
      <c r="AY39" s="73" t="str">
        <f t="shared" si="23"/>
        <v/>
      </c>
      <c r="AZ39" s="73" t="str">
        <f t="shared" si="23"/>
        <v/>
      </c>
      <c r="BA39" s="73" t="str">
        <f t="shared" si="23"/>
        <v/>
      </c>
      <c r="BB39" s="73" t="str">
        <f t="shared" si="23"/>
        <v/>
      </c>
      <c r="BC39" s="73" t="str">
        <f t="shared" si="23"/>
        <v/>
      </c>
      <c r="BD39" s="73" t="str">
        <f t="shared" si="23"/>
        <v/>
      </c>
      <c r="BE39" s="73" t="str">
        <f t="shared" si="23"/>
        <v/>
      </c>
      <c r="BF39" s="73" t="str">
        <f t="shared" si="23"/>
        <v/>
      </c>
      <c r="BG39" s="73" t="str">
        <f t="shared" si="23"/>
        <v/>
      </c>
      <c r="BH39" s="73" t="str">
        <f t="shared" si="23"/>
        <v/>
      </c>
      <c r="BI39" s="73" t="str">
        <f t="shared" si="23"/>
        <v/>
      </c>
      <c r="BJ39" s="73" t="str">
        <f t="shared" si="23"/>
        <v/>
      </c>
      <c r="BK39" s="73" t="str">
        <f t="shared" si="23"/>
        <v/>
      </c>
      <c r="BL39" s="73" t="str">
        <f t="shared" si="23"/>
        <v/>
      </c>
      <c r="BM39" s="73" t="str">
        <f t="shared" si="23"/>
        <v/>
      </c>
      <c r="BN39" s="73" t="str">
        <f t="shared" si="23"/>
        <v/>
      </c>
      <c r="BO39" s="73" t="str">
        <f t="shared" si="23"/>
        <v/>
      </c>
      <c r="BP39" s="76" t="str">
        <f t="shared" si="23"/>
        <v/>
      </c>
      <c r="BQ39" s="76" t="str">
        <f t="shared" si="23"/>
        <v/>
      </c>
      <c r="BR39" s="76" t="str">
        <f t="shared" si="23"/>
        <v/>
      </c>
      <c r="BS39" s="76" t="str">
        <f t="shared" si="23"/>
        <v/>
      </c>
      <c r="BT39" s="76" t="str">
        <f t="shared" si="23"/>
        <v/>
      </c>
      <c r="BU39" s="76" t="str">
        <f t="shared" si="23"/>
        <v/>
      </c>
      <c r="BV39" s="76" t="str">
        <f t="shared" si="23"/>
        <v/>
      </c>
      <c r="BW39" s="76" t="str">
        <f t="shared" si="23"/>
        <v/>
      </c>
      <c r="BX39" s="76" t="str">
        <f t="shared" si="23"/>
        <v/>
      </c>
      <c r="BY39" s="76" t="str">
        <f t="shared" si="23"/>
        <v/>
      </c>
      <c r="BZ39" s="76" t="str">
        <f t="shared" si="23"/>
        <v/>
      </c>
      <c r="CA39" s="76" t="str">
        <f t="shared" si="23"/>
        <v/>
      </c>
      <c r="CB39" s="76" t="str">
        <f t="shared" si="23"/>
        <v/>
      </c>
      <c r="CC39" s="76" t="str">
        <f t="shared" si="23"/>
        <v/>
      </c>
      <c r="CD39" s="76" t="str">
        <f t="shared" si="23"/>
        <v/>
      </c>
      <c r="CE39" s="76" t="str">
        <f t="shared" si="23"/>
        <v/>
      </c>
      <c r="CF39" s="76" t="str">
        <f t="shared" si="23"/>
        <v/>
      </c>
      <c r="CG39" s="76" t="str">
        <f t="shared" si="23"/>
        <v/>
      </c>
      <c r="CH39" s="76" t="str">
        <f t="shared" si="23"/>
        <v/>
      </c>
      <c r="CI39" s="76" t="str">
        <f t="shared" si="23"/>
        <v/>
      </c>
      <c r="CJ39" s="76" t="str">
        <f t="shared" si="23"/>
        <v/>
      </c>
      <c r="CK39" s="76" t="str">
        <f t="shared" si="23"/>
        <v/>
      </c>
      <c r="CL39" s="76" t="str">
        <f t="shared" si="23"/>
        <v/>
      </c>
      <c r="CM39" s="76" t="str">
        <f t="shared" si="23"/>
        <v/>
      </c>
      <c r="CN39" s="76" t="str">
        <f t="shared" si="23"/>
        <v/>
      </c>
      <c r="CO39" s="76" t="str">
        <f t="shared" si="23"/>
        <v/>
      </c>
      <c r="CP39" s="76" t="str">
        <f t="shared" si="23"/>
        <v/>
      </c>
      <c r="CQ39" s="76" t="str">
        <f t="shared" si="23"/>
        <v/>
      </c>
      <c r="CR39" s="76" t="str">
        <f t="shared" si="23"/>
        <v/>
      </c>
      <c r="CS39" s="76" t="str">
        <f t="shared" si="23"/>
        <v/>
      </c>
      <c r="CT39" s="76" t="str">
        <f t="shared" si="23"/>
        <v/>
      </c>
      <c r="CU39" s="76" t="str">
        <f t="shared" si="23"/>
        <v/>
      </c>
      <c r="CV39" s="76" t="str">
        <f t="shared" si="23"/>
        <v/>
      </c>
      <c r="CW39" s="76" t="str">
        <f t="shared" si="23"/>
        <v/>
      </c>
      <c r="CX39" s="76" t="str">
        <f t="shared" si="23"/>
        <v/>
      </c>
      <c r="CY39" s="76" t="str">
        <f t="shared" si="23"/>
        <v/>
      </c>
      <c r="CZ39" s="76" t="str">
        <f t="shared" si="23"/>
        <v/>
      </c>
      <c r="DA39" s="76" t="str">
        <f t="shared" si="23"/>
        <v/>
      </c>
      <c r="DB39" s="76" t="str">
        <f t="shared" si="23"/>
        <v/>
      </c>
      <c r="DC39" s="76" t="str">
        <f t="shared" si="23"/>
        <v/>
      </c>
      <c r="DD39" s="76" t="str">
        <f t="shared" si="23"/>
        <v/>
      </c>
      <c r="DE39" s="76" t="str">
        <f t="shared" si="23"/>
        <v/>
      </c>
      <c r="DF39" s="76" t="str">
        <f t="shared" si="23"/>
        <v/>
      </c>
      <c r="DG39" s="76" t="str">
        <f t="shared" si="23"/>
        <v/>
      </c>
      <c r="DH39" s="76" t="str">
        <f t="shared" si="23"/>
        <v/>
      </c>
      <c r="DI39" s="76" t="str">
        <f t="shared" si="23"/>
        <v/>
      </c>
      <c r="DJ39" s="76" t="str">
        <f t="shared" si="23"/>
        <v/>
      </c>
      <c r="DK39" s="76" t="str">
        <f t="shared" si="23"/>
        <v/>
      </c>
      <c r="DL39" s="76" t="str">
        <f t="shared" si="23"/>
        <v/>
      </c>
      <c r="DM39" s="76" t="str">
        <f t="shared" si="23"/>
        <v/>
      </c>
      <c r="DN39" s="76" t="str">
        <f t="shared" si="23"/>
        <v/>
      </c>
      <c r="DO39" s="76" t="str">
        <f t="shared" si="23"/>
        <v/>
      </c>
      <c r="DP39" s="76" t="str">
        <f t="shared" si="23"/>
        <v/>
      </c>
      <c r="DQ39" s="76" t="str">
        <f t="shared" si="23"/>
        <v/>
      </c>
      <c r="DR39" s="76" t="str">
        <f t="shared" si="23"/>
        <v/>
      </c>
      <c r="DS39" s="76" t="str">
        <f t="shared" si="23"/>
        <v/>
      </c>
      <c r="DT39" s="76" t="str">
        <f t="shared" si="23"/>
        <v/>
      </c>
      <c r="DU39" s="76" t="str">
        <f t="shared" si="23"/>
        <v/>
      </c>
      <c r="DV39" s="76" t="str">
        <f t="shared" si="23"/>
        <v/>
      </c>
      <c r="DW39" s="76" t="str">
        <f t="shared" si="23"/>
        <v/>
      </c>
      <c r="DX39" s="76" t="str">
        <f t="shared" si="23"/>
        <v/>
      </c>
      <c r="DY39" s="76" t="str">
        <f t="shared" si="23"/>
        <v/>
      </c>
      <c r="DZ39" s="76" t="str">
        <f t="shared" si="23"/>
        <v/>
      </c>
      <c r="EA39" s="76" t="str">
        <f t="shared" si="23"/>
        <v/>
      </c>
      <c r="EB39" s="76" t="str">
        <f t="shared" si="23"/>
        <v/>
      </c>
      <c r="EC39" s="76" t="str">
        <f t="shared" si="23"/>
        <v/>
      </c>
      <c r="ED39" s="76" t="str">
        <f t="shared" si="23"/>
        <v/>
      </c>
      <c r="EE39" s="76" t="str">
        <f t="shared" si="23"/>
        <v/>
      </c>
      <c r="EF39" s="76" t="str">
        <f t="shared" si="23"/>
        <v/>
      </c>
      <c r="EG39" s="76" t="str">
        <f t="shared" si="23"/>
        <v/>
      </c>
      <c r="EH39" s="76" t="str">
        <f t="shared" si="23"/>
        <v/>
      </c>
      <c r="EI39" s="76" t="str">
        <f t="shared" si="23"/>
        <v/>
      </c>
      <c r="EJ39" s="76" t="str">
        <f t="shared" si="23"/>
        <v/>
      </c>
      <c r="EK39" s="76" t="str">
        <f t="shared" si="23"/>
        <v/>
      </c>
      <c r="EL39" s="76" t="str">
        <f t="shared" si="23"/>
        <v/>
      </c>
      <c r="EM39" s="76" t="str">
        <f t="shared" si="23"/>
        <v/>
      </c>
      <c r="EN39" s="76" t="str">
        <f t="shared" si="23"/>
        <v/>
      </c>
      <c r="EO39" s="76" t="str">
        <f t="shared" si="23"/>
        <v/>
      </c>
      <c r="EP39" s="76" t="str">
        <f t="shared" si="23"/>
        <v/>
      </c>
      <c r="EQ39" s="76" t="str">
        <f t="shared" si="23"/>
        <v/>
      </c>
      <c r="ER39" s="76" t="str">
        <f t="shared" si="23"/>
        <v/>
      </c>
      <c r="ES39" s="76" t="str">
        <f t="shared" si="23"/>
        <v/>
      </c>
    </row>
    <row r="40" outlineLevel="1">
      <c r="A40" s="33"/>
      <c r="B40" s="58">
        <v>16.0</v>
      </c>
      <c r="C40" s="68" t="s">
        <v>160</v>
      </c>
      <c r="D40" s="68"/>
      <c r="E40" s="70">
        <f>E39</f>
        <v>45564</v>
      </c>
      <c r="F40" s="70">
        <f t="shared" si="22"/>
        <v>45594</v>
      </c>
      <c r="G40" s="71">
        <v>30.0</v>
      </c>
      <c r="H40" s="72">
        <v>0.0</v>
      </c>
      <c r="I40" s="73" t="str">
        <f t="shared" ref="I40:ES40" si="24">IF(AND($E40&lt;=I$6,$F40&gt;=I$6),"X","")</f>
        <v/>
      </c>
      <c r="J40" s="73" t="str">
        <f t="shared" si="24"/>
        <v/>
      </c>
      <c r="K40" s="73" t="str">
        <f t="shared" si="24"/>
        <v/>
      </c>
      <c r="L40" s="73" t="str">
        <f t="shared" si="24"/>
        <v/>
      </c>
      <c r="M40" s="73" t="str">
        <f t="shared" si="24"/>
        <v/>
      </c>
      <c r="N40" s="73" t="str">
        <f t="shared" si="24"/>
        <v/>
      </c>
      <c r="O40" s="73" t="str">
        <f t="shared" si="24"/>
        <v/>
      </c>
      <c r="P40" s="73" t="str">
        <f t="shared" si="24"/>
        <v/>
      </c>
      <c r="Q40" s="73" t="str">
        <f t="shared" si="24"/>
        <v/>
      </c>
      <c r="R40" s="73" t="str">
        <f t="shared" si="24"/>
        <v/>
      </c>
      <c r="S40" s="73" t="str">
        <f t="shared" si="24"/>
        <v/>
      </c>
      <c r="T40" s="73" t="str">
        <f t="shared" si="24"/>
        <v/>
      </c>
      <c r="U40" s="73" t="str">
        <f t="shared" si="24"/>
        <v/>
      </c>
      <c r="V40" s="73" t="str">
        <f t="shared" si="24"/>
        <v/>
      </c>
      <c r="W40" s="73" t="str">
        <f t="shared" si="24"/>
        <v/>
      </c>
      <c r="X40" s="73" t="str">
        <f t="shared" si="24"/>
        <v/>
      </c>
      <c r="Y40" s="73" t="str">
        <f t="shared" si="24"/>
        <v/>
      </c>
      <c r="Z40" s="73" t="str">
        <f t="shared" si="24"/>
        <v/>
      </c>
      <c r="AA40" s="73" t="str">
        <f t="shared" si="24"/>
        <v/>
      </c>
      <c r="AB40" s="73" t="str">
        <f t="shared" si="24"/>
        <v/>
      </c>
      <c r="AC40" s="73" t="str">
        <f t="shared" si="24"/>
        <v/>
      </c>
      <c r="AD40" s="73" t="str">
        <f t="shared" si="24"/>
        <v/>
      </c>
      <c r="AE40" s="73" t="str">
        <f t="shared" si="24"/>
        <v>X</v>
      </c>
      <c r="AF40" s="73" t="str">
        <f t="shared" si="24"/>
        <v>X</v>
      </c>
      <c r="AG40" s="73" t="str">
        <f t="shared" si="24"/>
        <v>X</v>
      </c>
      <c r="AH40" s="73" t="str">
        <f t="shared" si="24"/>
        <v>X</v>
      </c>
      <c r="AI40" s="73" t="str">
        <f t="shared" si="24"/>
        <v/>
      </c>
      <c r="AJ40" s="73" t="str">
        <f t="shared" si="24"/>
        <v/>
      </c>
      <c r="AK40" s="73" t="str">
        <f t="shared" si="24"/>
        <v/>
      </c>
      <c r="AL40" s="73" t="str">
        <f t="shared" si="24"/>
        <v/>
      </c>
      <c r="AM40" s="73" t="str">
        <f t="shared" si="24"/>
        <v/>
      </c>
      <c r="AN40" s="73" t="str">
        <f t="shared" si="24"/>
        <v/>
      </c>
      <c r="AO40" s="73" t="str">
        <f t="shared" si="24"/>
        <v/>
      </c>
      <c r="AP40" s="73" t="str">
        <f t="shared" si="24"/>
        <v/>
      </c>
      <c r="AQ40" s="73" t="str">
        <f t="shared" si="24"/>
        <v/>
      </c>
      <c r="AR40" s="73" t="str">
        <f t="shared" si="24"/>
        <v/>
      </c>
      <c r="AS40" s="73" t="str">
        <f t="shared" si="24"/>
        <v/>
      </c>
      <c r="AT40" s="73" t="str">
        <f t="shared" si="24"/>
        <v/>
      </c>
      <c r="AU40" s="73" t="str">
        <f t="shared" si="24"/>
        <v/>
      </c>
      <c r="AV40" s="73" t="str">
        <f t="shared" si="24"/>
        <v/>
      </c>
      <c r="AW40" s="73" t="str">
        <f t="shared" si="24"/>
        <v/>
      </c>
      <c r="AX40" s="73" t="str">
        <f t="shared" si="24"/>
        <v/>
      </c>
      <c r="AY40" s="73" t="str">
        <f t="shared" si="24"/>
        <v/>
      </c>
      <c r="AZ40" s="73" t="str">
        <f t="shared" si="24"/>
        <v/>
      </c>
      <c r="BA40" s="73" t="str">
        <f t="shared" si="24"/>
        <v/>
      </c>
      <c r="BB40" s="73" t="str">
        <f t="shared" si="24"/>
        <v/>
      </c>
      <c r="BC40" s="73" t="str">
        <f t="shared" si="24"/>
        <v/>
      </c>
      <c r="BD40" s="73" t="str">
        <f t="shared" si="24"/>
        <v/>
      </c>
      <c r="BE40" s="73" t="str">
        <f t="shared" si="24"/>
        <v/>
      </c>
      <c r="BF40" s="73" t="str">
        <f t="shared" si="24"/>
        <v/>
      </c>
      <c r="BG40" s="73" t="str">
        <f t="shared" si="24"/>
        <v/>
      </c>
      <c r="BH40" s="73" t="str">
        <f t="shared" si="24"/>
        <v/>
      </c>
      <c r="BI40" s="73" t="str">
        <f t="shared" si="24"/>
        <v/>
      </c>
      <c r="BJ40" s="73" t="str">
        <f t="shared" si="24"/>
        <v/>
      </c>
      <c r="BK40" s="73" t="str">
        <f t="shared" si="24"/>
        <v/>
      </c>
      <c r="BL40" s="73" t="str">
        <f t="shared" si="24"/>
        <v/>
      </c>
      <c r="BM40" s="73" t="str">
        <f t="shared" si="24"/>
        <v/>
      </c>
      <c r="BN40" s="73" t="str">
        <f t="shared" si="24"/>
        <v/>
      </c>
      <c r="BO40" s="73" t="str">
        <f t="shared" si="24"/>
        <v/>
      </c>
      <c r="BP40" s="76" t="str">
        <f t="shared" si="24"/>
        <v/>
      </c>
      <c r="BQ40" s="76" t="str">
        <f t="shared" si="24"/>
        <v/>
      </c>
      <c r="BR40" s="76" t="str">
        <f t="shared" si="24"/>
        <v/>
      </c>
      <c r="BS40" s="76" t="str">
        <f t="shared" si="24"/>
        <v/>
      </c>
      <c r="BT40" s="76" t="str">
        <f t="shared" si="24"/>
        <v/>
      </c>
      <c r="BU40" s="76" t="str">
        <f t="shared" si="24"/>
        <v/>
      </c>
      <c r="BV40" s="76" t="str">
        <f t="shared" si="24"/>
        <v/>
      </c>
      <c r="BW40" s="76" t="str">
        <f t="shared" si="24"/>
        <v/>
      </c>
      <c r="BX40" s="76" t="str">
        <f t="shared" si="24"/>
        <v/>
      </c>
      <c r="BY40" s="76" t="str">
        <f t="shared" si="24"/>
        <v/>
      </c>
      <c r="BZ40" s="76" t="str">
        <f t="shared" si="24"/>
        <v/>
      </c>
      <c r="CA40" s="76" t="str">
        <f t="shared" si="24"/>
        <v/>
      </c>
      <c r="CB40" s="76" t="str">
        <f t="shared" si="24"/>
        <v/>
      </c>
      <c r="CC40" s="76" t="str">
        <f t="shared" si="24"/>
        <v/>
      </c>
      <c r="CD40" s="76" t="str">
        <f t="shared" si="24"/>
        <v/>
      </c>
      <c r="CE40" s="76" t="str">
        <f t="shared" si="24"/>
        <v/>
      </c>
      <c r="CF40" s="76" t="str">
        <f t="shared" si="24"/>
        <v/>
      </c>
      <c r="CG40" s="76" t="str">
        <f t="shared" si="24"/>
        <v/>
      </c>
      <c r="CH40" s="76" t="str">
        <f t="shared" si="24"/>
        <v/>
      </c>
      <c r="CI40" s="76" t="str">
        <f t="shared" si="24"/>
        <v/>
      </c>
      <c r="CJ40" s="76" t="str">
        <f t="shared" si="24"/>
        <v/>
      </c>
      <c r="CK40" s="76" t="str">
        <f t="shared" si="24"/>
        <v/>
      </c>
      <c r="CL40" s="76" t="str">
        <f t="shared" si="24"/>
        <v/>
      </c>
      <c r="CM40" s="76" t="str">
        <f t="shared" si="24"/>
        <v/>
      </c>
      <c r="CN40" s="76" t="str">
        <f t="shared" si="24"/>
        <v/>
      </c>
      <c r="CO40" s="76" t="str">
        <f t="shared" si="24"/>
        <v/>
      </c>
      <c r="CP40" s="76" t="str">
        <f t="shared" si="24"/>
        <v/>
      </c>
      <c r="CQ40" s="76" t="str">
        <f t="shared" si="24"/>
        <v/>
      </c>
      <c r="CR40" s="76" t="str">
        <f t="shared" si="24"/>
        <v/>
      </c>
      <c r="CS40" s="76" t="str">
        <f t="shared" si="24"/>
        <v/>
      </c>
      <c r="CT40" s="76" t="str">
        <f t="shared" si="24"/>
        <v/>
      </c>
      <c r="CU40" s="76" t="str">
        <f t="shared" si="24"/>
        <v/>
      </c>
      <c r="CV40" s="76" t="str">
        <f t="shared" si="24"/>
        <v/>
      </c>
      <c r="CW40" s="76" t="str">
        <f t="shared" si="24"/>
        <v/>
      </c>
      <c r="CX40" s="76" t="str">
        <f t="shared" si="24"/>
        <v/>
      </c>
      <c r="CY40" s="76" t="str">
        <f t="shared" si="24"/>
        <v/>
      </c>
      <c r="CZ40" s="76" t="str">
        <f t="shared" si="24"/>
        <v/>
      </c>
      <c r="DA40" s="76" t="str">
        <f t="shared" si="24"/>
        <v/>
      </c>
      <c r="DB40" s="76" t="str">
        <f t="shared" si="24"/>
        <v/>
      </c>
      <c r="DC40" s="76" t="str">
        <f t="shared" si="24"/>
        <v/>
      </c>
      <c r="DD40" s="76" t="str">
        <f t="shared" si="24"/>
        <v/>
      </c>
      <c r="DE40" s="76" t="str">
        <f t="shared" si="24"/>
        <v/>
      </c>
      <c r="DF40" s="76" t="str">
        <f t="shared" si="24"/>
        <v/>
      </c>
      <c r="DG40" s="76" t="str">
        <f t="shared" si="24"/>
        <v/>
      </c>
      <c r="DH40" s="76" t="str">
        <f t="shared" si="24"/>
        <v/>
      </c>
      <c r="DI40" s="76" t="str">
        <f t="shared" si="24"/>
        <v/>
      </c>
      <c r="DJ40" s="76" t="str">
        <f t="shared" si="24"/>
        <v/>
      </c>
      <c r="DK40" s="76" t="str">
        <f t="shared" si="24"/>
        <v/>
      </c>
      <c r="DL40" s="76" t="str">
        <f t="shared" si="24"/>
        <v/>
      </c>
      <c r="DM40" s="76" t="str">
        <f t="shared" si="24"/>
        <v/>
      </c>
      <c r="DN40" s="76" t="str">
        <f t="shared" si="24"/>
        <v/>
      </c>
      <c r="DO40" s="76" t="str">
        <f t="shared" si="24"/>
        <v/>
      </c>
      <c r="DP40" s="76" t="str">
        <f t="shared" si="24"/>
        <v/>
      </c>
      <c r="DQ40" s="76" t="str">
        <f t="shared" si="24"/>
        <v/>
      </c>
      <c r="DR40" s="76" t="str">
        <f t="shared" si="24"/>
        <v/>
      </c>
      <c r="DS40" s="76" t="str">
        <f t="shared" si="24"/>
        <v/>
      </c>
      <c r="DT40" s="76" t="str">
        <f t="shared" si="24"/>
        <v/>
      </c>
      <c r="DU40" s="76" t="str">
        <f t="shared" si="24"/>
        <v/>
      </c>
      <c r="DV40" s="76" t="str">
        <f t="shared" si="24"/>
        <v/>
      </c>
      <c r="DW40" s="76" t="str">
        <f t="shared" si="24"/>
        <v/>
      </c>
      <c r="DX40" s="76" t="str">
        <f t="shared" si="24"/>
        <v/>
      </c>
      <c r="DY40" s="76" t="str">
        <f t="shared" si="24"/>
        <v/>
      </c>
      <c r="DZ40" s="76" t="str">
        <f t="shared" si="24"/>
        <v/>
      </c>
      <c r="EA40" s="76" t="str">
        <f t="shared" si="24"/>
        <v/>
      </c>
      <c r="EB40" s="76" t="str">
        <f t="shared" si="24"/>
        <v/>
      </c>
      <c r="EC40" s="76" t="str">
        <f t="shared" si="24"/>
        <v/>
      </c>
      <c r="ED40" s="76" t="str">
        <f t="shared" si="24"/>
        <v/>
      </c>
      <c r="EE40" s="76" t="str">
        <f t="shared" si="24"/>
        <v/>
      </c>
      <c r="EF40" s="76" t="str">
        <f t="shared" si="24"/>
        <v/>
      </c>
      <c r="EG40" s="76" t="str">
        <f t="shared" si="24"/>
        <v/>
      </c>
      <c r="EH40" s="76" t="str">
        <f t="shared" si="24"/>
        <v/>
      </c>
      <c r="EI40" s="76" t="str">
        <f t="shared" si="24"/>
        <v/>
      </c>
      <c r="EJ40" s="76" t="str">
        <f t="shared" si="24"/>
        <v/>
      </c>
      <c r="EK40" s="76" t="str">
        <f t="shared" si="24"/>
        <v/>
      </c>
      <c r="EL40" s="76" t="str">
        <f t="shared" si="24"/>
        <v/>
      </c>
      <c r="EM40" s="76" t="str">
        <f t="shared" si="24"/>
        <v/>
      </c>
      <c r="EN40" s="76" t="str">
        <f t="shared" si="24"/>
        <v/>
      </c>
      <c r="EO40" s="76" t="str">
        <f t="shared" si="24"/>
        <v/>
      </c>
      <c r="EP40" s="76" t="str">
        <f t="shared" si="24"/>
        <v/>
      </c>
      <c r="EQ40" s="76" t="str">
        <f t="shared" si="24"/>
        <v/>
      </c>
      <c r="ER40" s="76" t="str">
        <f t="shared" si="24"/>
        <v/>
      </c>
      <c r="ES40" s="76" t="str">
        <f t="shared" si="24"/>
        <v/>
      </c>
    </row>
    <row r="41" outlineLevel="1">
      <c r="A41" s="33"/>
      <c r="B41" s="58">
        <v>17.0</v>
      </c>
      <c r="C41" s="68" t="s">
        <v>161</v>
      </c>
      <c r="D41" s="68"/>
      <c r="E41" s="70">
        <f>F39</f>
        <v>45634</v>
      </c>
      <c r="F41" s="70">
        <f t="shared" si="22"/>
        <v>45694</v>
      </c>
      <c r="G41" s="71">
        <v>60.0</v>
      </c>
      <c r="H41" s="72">
        <v>0.0</v>
      </c>
      <c r="I41" s="73" t="str">
        <f t="shared" ref="I41:ES41" si="25">IF(AND($E41&lt;=I$6,$F41&gt;=I$6),"X","")</f>
        <v/>
      </c>
      <c r="J41" s="73" t="str">
        <f t="shared" si="25"/>
        <v/>
      </c>
      <c r="K41" s="73" t="str">
        <f t="shared" si="25"/>
        <v/>
      </c>
      <c r="L41" s="73" t="str">
        <f t="shared" si="25"/>
        <v/>
      </c>
      <c r="M41" s="73" t="str">
        <f t="shared" si="25"/>
        <v/>
      </c>
      <c r="N41" s="73" t="str">
        <f t="shared" si="25"/>
        <v/>
      </c>
      <c r="O41" s="73" t="str">
        <f t="shared" si="25"/>
        <v/>
      </c>
      <c r="P41" s="73" t="str">
        <f t="shared" si="25"/>
        <v/>
      </c>
      <c r="Q41" s="73" t="str">
        <f t="shared" si="25"/>
        <v/>
      </c>
      <c r="R41" s="73" t="str">
        <f t="shared" si="25"/>
        <v/>
      </c>
      <c r="S41" s="73" t="str">
        <f t="shared" si="25"/>
        <v/>
      </c>
      <c r="T41" s="73" t="str">
        <f t="shared" si="25"/>
        <v/>
      </c>
      <c r="U41" s="73" t="str">
        <f t="shared" si="25"/>
        <v/>
      </c>
      <c r="V41" s="73" t="str">
        <f t="shared" si="25"/>
        <v/>
      </c>
      <c r="W41" s="73" t="str">
        <f t="shared" si="25"/>
        <v/>
      </c>
      <c r="X41" s="73" t="str">
        <f t="shared" si="25"/>
        <v/>
      </c>
      <c r="Y41" s="73" t="str">
        <f t="shared" si="25"/>
        <v/>
      </c>
      <c r="Z41" s="73" t="str">
        <f t="shared" si="25"/>
        <v/>
      </c>
      <c r="AA41" s="73" t="str">
        <f t="shared" si="25"/>
        <v/>
      </c>
      <c r="AB41" s="73" t="str">
        <f t="shared" si="25"/>
        <v/>
      </c>
      <c r="AC41" s="73" t="str">
        <f t="shared" si="25"/>
        <v/>
      </c>
      <c r="AD41" s="73" t="str">
        <f t="shared" si="25"/>
        <v/>
      </c>
      <c r="AE41" s="73" t="str">
        <f t="shared" si="25"/>
        <v/>
      </c>
      <c r="AF41" s="73" t="str">
        <f t="shared" si="25"/>
        <v/>
      </c>
      <c r="AG41" s="73" t="str">
        <f t="shared" si="25"/>
        <v/>
      </c>
      <c r="AH41" s="73" t="str">
        <f t="shared" si="25"/>
        <v/>
      </c>
      <c r="AI41" s="73" t="str">
        <f t="shared" si="25"/>
        <v/>
      </c>
      <c r="AJ41" s="73" t="str">
        <f t="shared" si="25"/>
        <v/>
      </c>
      <c r="AK41" s="73" t="str">
        <f t="shared" si="25"/>
        <v/>
      </c>
      <c r="AL41" s="73" t="str">
        <f t="shared" si="25"/>
        <v/>
      </c>
      <c r="AM41" s="73" t="str">
        <f t="shared" si="25"/>
        <v/>
      </c>
      <c r="AN41" s="73" t="str">
        <f t="shared" si="25"/>
        <v/>
      </c>
      <c r="AO41" s="73" t="str">
        <f t="shared" si="25"/>
        <v>X</v>
      </c>
      <c r="AP41" s="73" t="str">
        <f t="shared" si="25"/>
        <v>X</v>
      </c>
      <c r="AQ41" s="73" t="str">
        <f t="shared" si="25"/>
        <v>X</v>
      </c>
      <c r="AR41" s="73" t="str">
        <f t="shared" si="25"/>
        <v>X</v>
      </c>
      <c r="AS41" s="73" t="str">
        <f t="shared" si="25"/>
        <v>X</v>
      </c>
      <c r="AT41" s="73" t="str">
        <f t="shared" si="25"/>
        <v>X</v>
      </c>
      <c r="AU41" s="73" t="str">
        <f t="shared" si="25"/>
        <v>X</v>
      </c>
      <c r="AV41" s="73" t="str">
        <f t="shared" si="25"/>
        <v>X</v>
      </c>
      <c r="AW41" s="73" t="str">
        <f t="shared" si="25"/>
        <v>X</v>
      </c>
      <c r="AX41" s="73" t="str">
        <f t="shared" si="25"/>
        <v/>
      </c>
      <c r="AY41" s="73" t="str">
        <f t="shared" si="25"/>
        <v/>
      </c>
      <c r="AZ41" s="73" t="str">
        <f t="shared" si="25"/>
        <v/>
      </c>
      <c r="BA41" s="73" t="str">
        <f t="shared" si="25"/>
        <v/>
      </c>
      <c r="BB41" s="73" t="str">
        <f t="shared" si="25"/>
        <v/>
      </c>
      <c r="BC41" s="73" t="str">
        <f t="shared" si="25"/>
        <v/>
      </c>
      <c r="BD41" s="73" t="str">
        <f t="shared" si="25"/>
        <v/>
      </c>
      <c r="BE41" s="73" t="str">
        <f t="shared" si="25"/>
        <v/>
      </c>
      <c r="BF41" s="73" t="str">
        <f t="shared" si="25"/>
        <v/>
      </c>
      <c r="BG41" s="73" t="str">
        <f t="shared" si="25"/>
        <v/>
      </c>
      <c r="BH41" s="73" t="str">
        <f t="shared" si="25"/>
        <v/>
      </c>
      <c r="BI41" s="73" t="str">
        <f t="shared" si="25"/>
        <v/>
      </c>
      <c r="BJ41" s="73" t="str">
        <f t="shared" si="25"/>
        <v/>
      </c>
      <c r="BK41" s="73" t="str">
        <f t="shared" si="25"/>
        <v/>
      </c>
      <c r="BL41" s="73" t="str">
        <f t="shared" si="25"/>
        <v/>
      </c>
      <c r="BM41" s="73" t="str">
        <f t="shared" si="25"/>
        <v/>
      </c>
      <c r="BN41" s="73" t="str">
        <f t="shared" si="25"/>
        <v/>
      </c>
      <c r="BO41" s="73" t="str">
        <f t="shared" si="25"/>
        <v/>
      </c>
      <c r="BP41" s="76" t="str">
        <f t="shared" si="25"/>
        <v/>
      </c>
      <c r="BQ41" s="76" t="str">
        <f t="shared" si="25"/>
        <v/>
      </c>
      <c r="BR41" s="76" t="str">
        <f t="shared" si="25"/>
        <v/>
      </c>
      <c r="BS41" s="76" t="str">
        <f t="shared" si="25"/>
        <v/>
      </c>
      <c r="BT41" s="76" t="str">
        <f t="shared" si="25"/>
        <v/>
      </c>
      <c r="BU41" s="76" t="str">
        <f t="shared" si="25"/>
        <v/>
      </c>
      <c r="BV41" s="76" t="str">
        <f t="shared" si="25"/>
        <v/>
      </c>
      <c r="BW41" s="76" t="str">
        <f t="shared" si="25"/>
        <v/>
      </c>
      <c r="BX41" s="76" t="str">
        <f t="shared" si="25"/>
        <v/>
      </c>
      <c r="BY41" s="76" t="str">
        <f t="shared" si="25"/>
        <v/>
      </c>
      <c r="BZ41" s="76" t="str">
        <f t="shared" si="25"/>
        <v/>
      </c>
      <c r="CA41" s="76" t="str">
        <f t="shared" si="25"/>
        <v/>
      </c>
      <c r="CB41" s="76" t="str">
        <f t="shared" si="25"/>
        <v/>
      </c>
      <c r="CC41" s="76" t="str">
        <f t="shared" si="25"/>
        <v/>
      </c>
      <c r="CD41" s="76" t="str">
        <f t="shared" si="25"/>
        <v/>
      </c>
      <c r="CE41" s="76" t="str">
        <f t="shared" si="25"/>
        <v/>
      </c>
      <c r="CF41" s="76" t="str">
        <f t="shared" si="25"/>
        <v/>
      </c>
      <c r="CG41" s="76" t="str">
        <f t="shared" si="25"/>
        <v/>
      </c>
      <c r="CH41" s="76" t="str">
        <f t="shared" si="25"/>
        <v/>
      </c>
      <c r="CI41" s="76" t="str">
        <f t="shared" si="25"/>
        <v/>
      </c>
      <c r="CJ41" s="76" t="str">
        <f t="shared" si="25"/>
        <v/>
      </c>
      <c r="CK41" s="76" t="str">
        <f t="shared" si="25"/>
        <v/>
      </c>
      <c r="CL41" s="76" t="str">
        <f t="shared" si="25"/>
        <v/>
      </c>
      <c r="CM41" s="76" t="str">
        <f t="shared" si="25"/>
        <v/>
      </c>
      <c r="CN41" s="76" t="str">
        <f t="shared" si="25"/>
        <v/>
      </c>
      <c r="CO41" s="76" t="str">
        <f t="shared" si="25"/>
        <v/>
      </c>
      <c r="CP41" s="76" t="str">
        <f t="shared" si="25"/>
        <v/>
      </c>
      <c r="CQ41" s="76" t="str">
        <f t="shared" si="25"/>
        <v/>
      </c>
      <c r="CR41" s="76" t="str">
        <f t="shared" si="25"/>
        <v/>
      </c>
      <c r="CS41" s="76" t="str">
        <f t="shared" si="25"/>
        <v/>
      </c>
      <c r="CT41" s="76" t="str">
        <f t="shared" si="25"/>
        <v/>
      </c>
      <c r="CU41" s="76" t="str">
        <f t="shared" si="25"/>
        <v/>
      </c>
      <c r="CV41" s="76" t="str">
        <f t="shared" si="25"/>
        <v/>
      </c>
      <c r="CW41" s="76" t="str">
        <f t="shared" si="25"/>
        <v/>
      </c>
      <c r="CX41" s="76" t="str">
        <f t="shared" si="25"/>
        <v/>
      </c>
      <c r="CY41" s="76" t="str">
        <f t="shared" si="25"/>
        <v/>
      </c>
      <c r="CZ41" s="76" t="str">
        <f t="shared" si="25"/>
        <v/>
      </c>
      <c r="DA41" s="76" t="str">
        <f t="shared" si="25"/>
        <v/>
      </c>
      <c r="DB41" s="76" t="str">
        <f t="shared" si="25"/>
        <v/>
      </c>
      <c r="DC41" s="76" t="str">
        <f t="shared" si="25"/>
        <v/>
      </c>
      <c r="DD41" s="76" t="str">
        <f t="shared" si="25"/>
        <v/>
      </c>
      <c r="DE41" s="76" t="str">
        <f t="shared" si="25"/>
        <v/>
      </c>
      <c r="DF41" s="76" t="str">
        <f t="shared" si="25"/>
        <v/>
      </c>
      <c r="DG41" s="76" t="str">
        <f t="shared" si="25"/>
        <v/>
      </c>
      <c r="DH41" s="76" t="str">
        <f t="shared" si="25"/>
        <v/>
      </c>
      <c r="DI41" s="76" t="str">
        <f t="shared" si="25"/>
        <v/>
      </c>
      <c r="DJ41" s="76" t="str">
        <f t="shared" si="25"/>
        <v/>
      </c>
      <c r="DK41" s="76" t="str">
        <f t="shared" si="25"/>
        <v/>
      </c>
      <c r="DL41" s="76" t="str">
        <f t="shared" si="25"/>
        <v/>
      </c>
      <c r="DM41" s="76" t="str">
        <f t="shared" si="25"/>
        <v/>
      </c>
      <c r="DN41" s="76" t="str">
        <f t="shared" si="25"/>
        <v/>
      </c>
      <c r="DO41" s="76" t="str">
        <f t="shared" si="25"/>
        <v/>
      </c>
      <c r="DP41" s="76" t="str">
        <f t="shared" si="25"/>
        <v/>
      </c>
      <c r="DQ41" s="76" t="str">
        <f t="shared" si="25"/>
        <v/>
      </c>
      <c r="DR41" s="76" t="str">
        <f t="shared" si="25"/>
        <v/>
      </c>
      <c r="DS41" s="76" t="str">
        <f t="shared" si="25"/>
        <v/>
      </c>
      <c r="DT41" s="76" t="str">
        <f t="shared" si="25"/>
        <v/>
      </c>
      <c r="DU41" s="76" t="str">
        <f t="shared" si="25"/>
        <v/>
      </c>
      <c r="DV41" s="76" t="str">
        <f t="shared" si="25"/>
        <v/>
      </c>
      <c r="DW41" s="76" t="str">
        <f t="shared" si="25"/>
        <v/>
      </c>
      <c r="DX41" s="76" t="str">
        <f t="shared" si="25"/>
        <v/>
      </c>
      <c r="DY41" s="76" t="str">
        <f t="shared" si="25"/>
        <v/>
      </c>
      <c r="DZ41" s="76" t="str">
        <f t="shared" si="25"/>
        <v/>
      </c>
      <c r="EA41" s="76" t="str">
        <f t="shared" si="25"/>
        <v/>
      </c>
      <c r="EB41" s="76" t="str">
        <f t="shared" si="25"/>
        <v/>
      </c>
      <c r="EC41" s="76" t="str">
        <f t="shared" si="25"/>
        <v/>
      </c>
      <c r="ED41" s="76" t="str">
        <f t="shared" si="25"/>
        <v/>
      </c>
      <c r="EE41" s="76" t="str">
        <f t="shared" si="25"/>
        <v/>
      </c>
      <c r="EF41" s="76" t="str">
        <f t="shared" si="25"/>
        <v/>
      </c>
      <c r="EG41" s="76" t="str">
        <f t="shared" si="25"/>
        <v/>
      </c>
      <c r="EH41" s="76" t="str">
        <f t="shared" si="25"/>
        <v/>
      </c>
      <c r="EI41" s="76" t="str">
        <f t="shared" si="25"/>
        <v/>
      </c>
      <c r="EJ41" s="76" t="str">
        <f t="shared" si="25"/>
        <v/>
      </c>
      <c r="EK41" s="76" t="str">
        <f t="shared" si="25"/>
        <v/>
      </c>
      <c r="EL41" s="76" t="str">
        <f t="shared" si="25"/>
        <v/>
      </c>
      <c r="EM41" s="76" t="str">
        <f t="shared" si="25"/>
        <v/>
      </c>
      <c r="EN41" s="76" t="str">
        <f t="shared" si="25"/>
        <v/>
      </c>
      <c r="EO41" s="76" t="str">
        <f t="shared" si="25"/>
        <v/>
      </c>
      <c r="EP41" s="76" t="str">
        <f t="shared" si="25"/>
        <v/>
      </c>
      <c r="EQ41" s="76" t="str">
        <f t="shared" si="25"/>
        <v/>
      </c>
      <c r="ER41" s="76" t="str">
        <f t="shared" si="25"/>
        <v/>
      </c>
      <c r="ES41" s="76" t="str">
        <f t="shared" si="25"/>
        <v/>
      </c>
    </row>
    <row r="42" outlineLevel="1">
      <c r="A42" s="33"/>
      <c r="B42" s="58">
        <v>18.0</v>
      </c>
      <c r="C42" s="68" t="s">
        <v>162</v>
      </c>
      <c r="D42" s="68"/>
      <c r="E42" s="70">
        <f>E41+21</f>
        <v>45655</v>
      </c>
      <c r="F42" s="70">
        <f t="shared" si="22"/>
        <v>45745</v>
      </c>
      <c r="G42" s="71">
        <v>90.0</v>
      </c>
      <c r="H42" s="72">
        <v>0.0</v>
      </c>
      <c r="I42" s="73" t="str">
        <f t="shared" ref="I42:ES42" si="26">IF(AND($E42&lt;=I$6,$F42&gt;=I$6),"X","")</f>
        <v/>
      </c>
      <c r="J42" s="73" t="str">
        <f t="shared" si="26"/>
        <v/>
      </c>
      <c r="K42" s="73" t="str">
        <f t="shared" si="26"/>
        <v/>
      </c>
      <c r="L42" s="73" t="str">
        <f t="shared" si="26"/>
        <v/>
      </c>
      <c r="M42" s="73" t="str">
        <f t="shared" si="26"/>
        <v/>
      </c>
      <c r="N42" s="73" t="str">
        <f t="shared" si="26"/>
        <v/>
      </c>
      <c r="O42" s="73" t="str">
        <f t="shared" si="26"/>
        <v/>
      </c>
      <c r="P42" s="73" t="str">
        <f t="shared" si="26"/>
        <v/>
      </c>
      <c r="Q42" s="73" t="str">
        <f t="shared" si="26"/>
        <v/>
      </c>
      <c r="R42" s="73" t="str">
        <f t="shared" si="26"/>
        <v/>
      </c>
      <c r="S42" s="73" t="str">
        <f t="shared" si="26"/>
        <v/>
      </c>
      <c r="T42" s="73" t="str">
        <f t="shared" si="26"/>
        <v/>
      </c>
      <c r="U42" s="73" t="str">
        <f t="shared" si="26"/>
        <v/>
      </c>
      <c r="V42" s="73" t="str">
        <f t="shared" si="26"/>
        <v/>
      </c>
      <c r="W42" s="73" t="str">
        <f t="shared" si="26"/>
        <v/>
      </c>
      <c r="X42" s="73" t="str">
        <f t="shared" si="26"/>
        <v/>
      </c>
      <c r="Y42" s="73" t="str">
        <f t="shared" si="26"/>
        <v/>
      </c>
      <c r="Z42" s="73" t="str">
        <f t="shared" si="26"/>
        <v/>
      </c>
      <c r="AA42" s="73" t="str">
        <f t="shared" si="26"/>
        <v/>
      </c>
      <c r="AB42" s="73" t="str">
        <f t="shared" si="26"/>
        <v/>
      </c>
      <c r="AC42" s="73" t="str">
        <f t="shared" si="26"/>
        <v/>
      </c>
      <c r="AD42" s="73" t="str">
        <f t="shared" si="26"/>
        <v/>
      </c>
      <c r="AE42" s="73" t="str">
        <f t="shared" si="26"/>
        <v/>
      </c>
      <c r="AF42" s="73" t="str">
        <f t="shared" si="26"/>
        <v/>
      </c>
      <c r="AG42" s="73" t="str">
        <f t="shared" si="26"/>
        <v/>
      </c>
      <c r="AH42" s="73" t="str">
        <f t="shared" si="26"/>
        <v/>
      </c>
      <c r="AI42" s="73" t="str">
        <f t="shared" si="26"/>
        <v/>
      </c>
      <c r="AJ42" s="73" t="str">
        <f t="shared" si="26"/>
        <v/>
      </c>
      <c r="AK42" s="73" t="str">
        <f t="shared" si="26"/>
        <v/>
      </c>
      <c r="AL42" s="73" t="str">
        <f t="shared" si="26"/>
        <v/>
      </c>
      <c r="AM42" s="73" t="str">
        <f t="shared" si="26"/>
        <v/>
      </c>
      <c r="AN42" s="73" t="str">
        <f t="shared" si="26"/>
        <v/>
      </c>
      <c r="AO42" s="73" t="str">
        <f t="shared" si="26"/>
        <v/>
      </c>
      <c r="AP42" s="73" t="str">
        <f t="shared" si="26"/>
        <v/>
      </c>
      <c r="AQ42" s="73" t="str">
        <f t="shared" si="26"/>
        <v/>
      </c>
      <c r="AR42" s="73" t="str">
        <f t="shared" si="26"/>
        <v>X</v>
      </c>
      <c r="AS42" s="73" t="str">
        <f t="shared" si="26"/>
        <v>X</v>
      </c>
      <c r="AT42" s="73" t="str">
        <f t="shared" si="26"/>
        <v>X</v>
      </c>
      <c r="AU42" s="73" t="str">
        <f t="shared" si="26"/>
        <v>X</v>
      </c>
      <c r="AV42" s="73" t="str">
        <f t="shared" si="26"/>
        <v>X</v>
      </c>
      <c r="AW42" s="73" t="str">
        <f t="shared" si="26"/>
        <v>X</v>
      </c>
      <c r="AX42" s="73" t="str">
        <f t="shared" si="26"/>
        <v>X</v>
      </c>
      <c r="AY42" s="73" t="str">
        <f t="shared" si="26"/>
        <v>X</v>
      </c>
      <c r="AZ42" s="73" t="str">
        <f t="shared" si="26"/>
        <v>X</v>
      </c>
      <c r="BA42" s="73" t="str">
        <f t="shared" si="26"/>
        <v>X</v>
      </c>
      <c r="BB42" s="73" t="str">
        <f t="shared" si="26"/>
        <v>X</v>
      </c>
      <c r="BC42" s="73" t="str">
        <f t="shared" si="26"/>
        <v>X</v>
      </c>
      <c r="BD42" s="73" t="str">
        <f t="shared" si="26"/>
        <v>X</v>
      </c>
      <c r="BE42" s="73" t="str">
        <f t="shared" si="26"/>
        <v/>
      </c>
      <c r="BF42" s="73" t="str">
        <f t="shared" si="26"/>
        <v/>
      </c>
      <c r="BG42" s="73" t="str">
        <f t="shared" si="26"/>
        <v/>
      </c>
      <c r="BH42" s="73" t="str">
        <f t="shared" si="26"/>
        <v/>
      </c>
      <c r="BI42" s="73" t="str">
        <f t="shared" si="26"/>
        <v/>
      </c>
      <c r="BJ42" s="73" t="str">
        <f t="shared" si="26"/>
        <v/>
      </c>
      <c r="BK42" s="73" t="str">
        <f t="shared" si="26"/>
        <v/>
      </c>
      <c r="BL42" s="73" t="str">
        <f t="shared" si="26"/>
        <v/>
      </c>
      <c r="BM42" s="73" t="str">
        <f t="shared" si="26"/>
        <v/>
      </c>
      <c r="BN42" s="73" t="str">
        <f t="shared" si="26"/>
        <v/>
      </c>
      <c r="BO42" s="73" t="str">
        <f t="shared" si="26"/>
        <v/>
      </c>
      <c r="BP42" s="76" t="str">
        <f t="shared" si="26"/>
        <v/>
      </c>
      <c r="BQ42" s="76" t="str">
        <f t="shared" si="26"/>
        <v/>
      </c>
      <c r="BR42" s="76" t="str">
        <f t="shared" si="26"/>
        <v/>
      </c>
      <c r="BS42" s="76" t="str">
        <f t="shared" si="26"/>
        <v/>
      </c>
      <c r="BT42" s="76" t="str">
        <f t="shared" si="26"/>
        <v/>
      </c>
      <c r="BU42" s="76" t="str">
        <f t="shared" si="26"/>
        <v/>
      </c>
      <c r="BV42" s="76" t="str">
        <f t="shared" si="26"/>
        <v/>
      </c>
      <c r="BW42" s="76" t="str">
        <f t="shared" si="26"/>
        <v/>
      </c>
      <c r="BX42" s="76" t="str">
        <f t="shared" si="26"/>
        <v/>
      </c>
      <c r="BY42" s="76" t="str">
        <f t="shared" si="26"/>
        <v/>
      </c>
      <c r="BZ42" s="76" t="str">
        <f t="shared" si="26"/>
        <v/>
      </c>
      <c r="CA42" s="76" t="str">
        <f t="shared" si="26"/>
        <v/>
      </c>
      <c r="CB42" s="76" t="str">
        <f t="shared" si="26"/>
        <v/>
      </c>
      <c r="CC42" s="76" t="str">
        <f t="shared" si="26"/>
        <v/>
      </c>
      <c r="CD42" s="76" t="str">
        <f t="shared" si="26"/>
        <v/>
      </c>
      <c r="CE42" s="76" t="str">
        <f t="shared" si="26"/>
        <v/>
      </c>
      <c r="CF42" s="76" t="str">
        <f t="shared" si="26"/>
        <v/>
      </c>
      <c r="CG42" s="76" t="str">
        <f t="shared" si="26"/>
        <v/>
      </c>
      <c r="CH42" s="76" t="str">
        <f t="shared" si="26"/>
        <v/>
      </c>
      <c r="CI42" s="76" t="str">
        <f t="shared" si="26"/>
        <v/>
      </c>
      <c r="CJ42" s="76" t="str">
        <f t="shared" si="26"/>
        <v/>
      </c>
      <c r="CK42" s="76" t="str">
        <f t="shared" si="26"/>
        <v/>
      </c>
      <c r="CL42" s="76" t="str">
        <f t="shared" si="26"/>
        <v/>
      </c>
      <c r="CM42" s="76" t="str">
        <f t="shared" si="26"/>
        <v/>
      </c>
      <c r="CN42" s="76" t="str">
        <f t="shared" si="26"/>
        <v/>
      </c>
      <c r="CO42" s="76" t="str">
        <f t="shared" si="26"/>
        <v/>
      </c>
      <c r="CP42" s="76" t="str">
        <f t="shared" si="26"/>
        <v/>
      </c>
      <c r="CQ42" s="76" t="str">
        <f t="shared" si="26"/>
        <v/>
      </c>
      <c r="CR42" s="76" t="str">
        <f t="shared" si="26"/>
        <v/>
      </c>
      <c r="CS42" s="76" t="str">
        <f t="shared" si="26"/>
        <v/>
      </c>
      <c r="CT42" s="76" t="str">
        <f t="shared" si="26"/>
        <v/>
      </c>
      <c r="CU42" s="76" t="str">
        <f t="shared" si="26"/>
        <v/>
      </c>
      <c r="CV42" s="76" t="str">
        <f t="shared" si="26"/>
        <v/>
      </c>
      <c r="CW42" s="76" t="str">
        <f t="shared" si="26"/>
        <v/>
      </c>
      <c r="CX42" s="76" t="str">
        <f t="shared" si="26"/>
        <v/>
      </c>
      <c r="CY42" s="76" t="str">
        <f t="shared" si="26"/>
        <v/>
      </c>
      <c r="CZ42" s="76" t="str">
        <f t="shared" si="26"/>
        <v/>
      </c>
      <c r="DA42" s="76" t="str">
        <f t="shared" si="26"/>
        <v/>
      </c>
      <c r="DB42" s="76" t="str">
        <f t="shared" si="26"/>
        <v/>
      </c>
      <c r="DC42" s="76" t="str">
        <f t="shared" si="26"/>
        <v/>
      </c>
      <c r="DD42" s="76" t="str">
        <f t="shared" si="26"/>
        <v/>
      </c>
      <c r="DE42" s="76" t="str">
        <f t="shared" si="26"/>
        <v/>
      </c>
      <c r="DF42" s="76" t="str">
        <f t="shared" si="26"/>
        <v/>
      </c>
      <c r="DG42" s="76" t="str">
        <f t="shared" si="26"/>
        <v/>
      </c>
      <c r="DH42" s="76" t="str">
        <f t="shared" si="26"/>
        <v/>
      </c>
      <c r="DI42" s="76" t="str">
        <f t="shared" si="26"/>
        <v/>
      </c>
      <c r="DJ42" s="76" t="str">
        <f t="shared" si="26"/>
        <v/>
      </c>
      <c r="DK42" s="76" t="str">
        <f t="shared" si="26"/>
        <v/>
      </c>
      <c r="DL42" s="76" t="str">
        <f t="shared" si="26"/>
        <v/>
      </c>
      <c r="DM42" s="76" t="str">
        <f t="shared" si="26"/>
        <v/>
      </c>
      <c r="DN42" s="76" t="str">
        <f t="shared" si="26"/>
        <v/>
      </c>
      <c r="DO42" s="76" t="str">
        <f t="shared" si="26"/>
        <v/>
      </c>
      <c r="DP42" s="76" t="str">
        <f t="shared" si="26"/>
        <v/>
      </c>
      <c r="DQ42" s="76" t="str">
        <f t="shared" si="26"/>
        <v/>
      </c>
      <c r="DR42" s="76" t="str">
        <f t="shared" si="26"/>
        <v/>
      </c>
      <c r="DS42" s="76" t="str">
        <f t="shared" si="26"/>
        <v/>
      </c>
      <c r="DT42" s="76" t="str">
        <f t="shared" si="26"/>
        <v/>
      </c>
      <c r="DU42" s="76" t="str">
        <f t="shared" si="26"/>
        <v/>
      </c>
      <c r="DV42" s="76" t="str">
        <f t="shared" si="26"/>
        <v/>
      </c>
      <c r="DW42" s="76" t="str">
        <f t="shared" si="26"/>
        <v/>
      </c>
      <c r="DX42" s="76" t="str">
        <f t="shared" si="26"/>
        <v/>
      </c>
      <c r="DY42" s="76" t="str">
        <f t="shared" si="26"/>
        <v/>
      </c>
      <c r="DZ42" s="76" t="str">
        <f t="shared" si="26"/>
        <v/>
      </c>
      <c r="EA42" s="76" t="str">
        <f t="shared" si="26"/>
        <v/>
      </c>
      <c r="EB42" s="76" t="str">
        <f t="shared" si="26"/>
        <v/>
      </c>
      <c r="EC42" s="76" t="str">
        <f t="shared" si="26"/>
        <v/>
      </c>
      <c r="ED42" s="76" t="str">
        <f t="shared" si="26"/>
        <v/>
      </c>
      <c r="EE42" s="76" t="str">
        <f t="shared" si="26"/>
        <v/>
      </c>
      <c r="EF42" s="76" t="str">
        <f t="shared" si="26"/>
        <v/>
      </c>
      <c r="EG42" s="76" t="str">
        <f t="shared" si="26"/>
        <v/>
      </c>
      <c r="EH42" s="76" t="str">
        <f t="shared" si="26"/>
        <v/>
      </c>
      <c r="EI42" s="76" t="str">
        <f t="shared" si="26"/>
        <v/>
      </c>
      <c r="EJ42" s="76" t="str">
        <f t="shared" si="26"/>
        <v/>
      </c>
      <c r="EK42" s="76" t="str">
        <f t="shared" si="26"/>
        <v/>
      </c>
      <c r="EL42" s="76" t="str">
        <f t="shared" si="26"/>
        <v/>
      </c>
      <c r="EM42" s="76" t="str">
        <f t="shared" si="26"/>
        <v/>
      </c>
      <c r="EN42" s="76" t="str">
        <f t="shared" si="26"/>
        <v/>
      </c>
      <c r="EO42" s="76" t="str">
        <f t="shared" si="26"/>
        <v/>
      </c>
      <c r="EP42" s="76" t="str">
        <f t="shared" si="26"/>
        <v/>
      </c>
      <c r="EQ42" s="76" t="str">
        <f t="shared" si="26"/>
        <v/>
      </c>
      <c r="ER42" s="76" t="str">
        <f t="shared" si="26"/>
        <v/>
      </c>
      <c r="ES42" s="76" t="str">
        <f t="shared" si="26"/>
        <v/>
      </c>
    </row>
    <row r="43" outlineLevel="1">
      <c r="A43" s="33"/>
      <c r="B43" s="58">
        <v>19.0</v>
      </c>
      <c r="C43" s="68" t="s">
        <v>82</v>
      </c>
      <c r="D43" s="68"/>
      <c r="E43" s="70">
        <f>F42+30</f>
        <v>45775</v>
      </c>
      <c r="F43" s="70">
        <f t="shared" si="22"/>
        <v>45925</v>
      </c>
      <c r="G43" s="71">
        <v>150.0</v>
      </c>
      <c r="H43" s="72">
        <v>0.0</v>
      </c>
      <c r="I43" s="73" t="str">
        <f t="shared" ref="I43:ES43" si="27">IF(AND($E43&lt;=I$6,$F43&gt;=I$6),"X","")</f>
        <v/>
      </c>
      <c r="J43" s="73" t="str">
        <f t="shared" si="27"/>
        <v/>
      </c>
      <c r="K43" s="73" t="str">
        <f t="shared" si="27"/>
        <v/>
      </c>
      <c r="L43" s="73" t="str">
        <f t="shared" si="27"/>
        <v/>
      </c>
      <c r="M43" s="73" t="str">
        <f t="shared" si="27"/>
        <v/>
      </c>
      <c r="N43" s="73" t="str">
        <f t="shared" si="27"/>
        <v/>
      </c>
      <c r="O43" s="73" t="str">
        <f t="shared" si="27"/>
        <v/>
      </c>
      <c r="P43" s="73" t="str">
        <f t="shared" si="27"/>
        <v/>
      </c>
      <c r="Q43" s="73" t="str">
        <f t="shared" si="27"/>
        <v/>
      </c>
      <c r="R43" s="73" t="str">
        <f t="shared" si="27"/>
        <v/>
      </c>
      <c r="S43" s="73" t="str">
        <f t="shared" si="27"/>
        <v/>
      </c>
      <c r="T43" s="73" t="str">
        <f t="shared" si="27"/>
        <v/>
      </c>
      <c r="U43" s="73" t="str">
        <f t="shared" si="27"/>
        <v/>
      </c>
      <c r="V43" s="73" t="str">
        <f t="shared" si="27"/>
        <v/>
      </c>
      <c r="W43" s="73" t="str">
        <f t="shared" si="27"/>
        <v/>
      </c>
      <c r="X43" s="73" t="str">
        <f t="shared" si="27"/>
        <v/>
      </c>
      <c r="Y43" s="73" t="str">
        <f t="shared" si="27"/>
        <v/>
      </c>
      <c r="Z43" s="73" t="str">
        <f t="shared" si="27"/>
        <v/>
      </c>
      <c r="AA43" s="73" t="str">
        <f t="shared" si="27"/>
        <v/>
      </c>
      <c r="AB43" s="73" t="str">
        <f t="shared" si="27"/>
        <v/>
      </c>
      <c r="AC43" s="73" t="str">
        <f t="shared" si="27"/>
        <v/>
      </c>
      <c r="AD43" s="73" t="str">
        <f t="shared" si="27"/>
        <v/>
      </c>
      <c r="AE43" s="73" t="str">
        <f t="shared" si="27"/>
        <v/>
      </c>
      <c r="AF43" s="73" t="str">
        <f t="shared" si="27"/>
        <v/>
      </c>
      <c r="AG43" s="73" t="str">
        <f t="shared" si="27"/>
        <v/>
      </c>
      <c r="AH43" s="73" t="str">
        <f t="shared" si="27"/>
        <v/>
      </c>
      <c r="AI43" s="73" t="str">
        <f t="shared" si="27"/>
        <v/>
      </c>
      <c r="AJ43" s="73" t="str">
        <f t="shared" si="27"/>
        <v/>
      </c>
      <c r="AK43" s="73" t="str">
        <f t="shared" si="27"/>
        <v/>
      </c>
      <c r="AL43" s="73" t="str">
        <f t="shared" si="27"/>
        <v/>
      </c>
      <c r="AM43" s="73" t="str">
        <f t="shared" si="27"/>
        <v/>
      </c>
      <c r="AN43" s="73" t="str">
        <f t="shared" si="27"/>
        <v/>
      </c>
      <c r="AO43" s="73" t="str">
        <f t="shared" si="27"/>
        <v/>
      </c>
      <c r="AP43" s="73" t="str">
        <f t="shared" si="27"/>
        <v/>
      </c>
      <c r="AQ43" s="73" t="str">
        <f t="shared" si="27"/>
        <v/>
      </c>
      <c r="AR43" s="73" t="str">
        <f t="shared" si="27"/>
        <v/>
      </c>
      <c r="AS43" s="73" t="str">
        <f t="shared" si="27"/>
        <v/>
      </c>
      <c r="AT43" s="73" t="str">
        <f t="shared" si="27"/>
        <v/>
      </c>
      <c r="AU43" s="73" t="str">
        <f t="shared" si="27"/>
        <v/>
      </c>
      <c r="AV43" s="73" t="str">
        <f t="shared" si="27"/>
        <v/>
      </c>
      <c r="AW43" s="73" t="str">
        <f t="shared" si="27"/>
        <v/>
      </c>
      <c r="AX43" s="73" t="str">
        <f t="shared" si="27"/>
        <v/>
      </c>
      <c r="AY43" s="73" t="str">
        <f t="shared" si="27"/>
        <v/>
      </c>
      <c r="AZ43" s="73" t="str">
        <f t="shared" si="27"/>
        <v/>
      </c>
      <c r="BA43" s="73" t="str">
        <f t="shared" si="27"/>
        <v/>
      </c>
      <c r="BB43" s="73" t="str">
        <f t="shared" si="27"/>
        <v/>
      </c>
      <c r="BC43" s="73" t="str">
        <f t="shared" si="27"/>
        <v/>
      </c>
      <c r="BD43" s="73" t="str">
        <f t="shared" si="27"/>
        <v/>
      </c>
      <c r="BE43" s="73" t="str">
        <f t="shared" si="27"/>
        <v/>
      </c>
      <c r="BF43" s="73" t="str">
        <f t="shared" si="27"/>
        <v/>
      </c>
      <c r="BG43" s="73" t="str">
        <f t="shared" si="27"/>
        <v/>
      </c>
      <c r="BH43" s="73" t="str">
        <f t="shared" si="27"/>
        <v/>
      </c>
      <c r="BI43" s="73" t="str">
        <f t="shared" si="27"/>
        <v>X</v>
      </c>
      <c r="BJ43" s="73" t="str">
        <f t="shared" si="27"/>
        <v>X</v>
      </c>
      <c r="BK43" s="73" t="str">
        <f t="shared" si="27"/>
        <v>X</v>
      </c>
      <c r="BL43" s="73" t="str">
        <f t="shared" si="27"/>
        <v>X</v>
      </c>
      <c r="BM43" s="73" t="str">
        <f t="shared" si="27"/>
        <v>X</v>
      </c>
      <c r="BN43" s="73" t="str">
        <f t="shared" si="27"/>
        <v>X</v>
      </c>
      <c r="BO43" s="73" t="str">
        <f t="shared" si="27"/>
        <v>X</v>
      </c>
      <c r="BP43" s="76" t="str">
        <f t="shared" si="27"/>
        <v>X</v>
      </c>
      <c r="BQ43" s="76" t="str">
        <f t="shared" si="27"/>
        <v>X</v>
      </c>
      <c r="BR43" s="76" t="str">
        <f t="shared" si="27"/>
        <v>X</v>
      </c>
      <c r="BS43" s="76" t="str">
        <f t="shared" si="27"/>
        <v>X</v>
      </c>
      <c r="BT43" s="76" t="str">
        <f t="shared" si="27"/>
        <v>X</v>
      </c>
      <c r="BU43" s="76" t="str">
        <f t="shared" si="27"/>
        <v>X</v>
      </c>
      <c r="BV43" s="76" t="str">
        <f t="shared" si="27"/>
        <v>X</v>
      </c>
      <c r="BW43" s="76" t="str">
        <f t="shared" si="27"/>
        <v>X</v>
      </c>
      <c r="BX43" s="76" t="str">
        <f t="shared" si="27"/>
        <v>X</v>
      </c>
      <c r="BY43" s="76" t="str">
        <f t="shared" si="27"/>
        <v>X</v>
      </c>
      <c r="BZ43" s="76" t="str">
        <f t="shared" si="27"/>
        <v>X</v>
      </c>
      <c r="CA43" s="76" t="str">
        <f t="shared" si="27"/>
        <v>X</v>
      </c>
      <c r="CB43" s="76" t="str">
        <f t="shared" si="27"/>
        <v>X</v>
      </c>
      <c r="CC43" s="76" t="str">
        <f t="shared" si="27"/>
        <v>X</v>
      </c>
      <c r="CD43" s="76" t="str">
        <f t="shared" si="27"/>
        <v>X</v>
      </c>
      <c r="CE43" s="76" t="str">
        <f t="shared" si="27"/>
        <v/>
      </c>
      <c r="CF43" s="76" t="str">
        <f t="shared" si="27"/>
        <v/>
      </c>
      <c r="CG43" s="76" t="str">
        <f t="shared" si="27"/>
        <v/>
      </c>
      <c r="CH43" s="76" t="str">
        <f t="shared" si="27"/>
        <v/>
      </c>
      <c r="CI43" s="76" t="str">
        <f t="shared" si="27"/>
        <v/>
      </c>
      <c r="CJ43" s="76" t="str">
        <f t="shared" si="27"/>
        <v/>
      </c>
      <c r="CK43" s="76" t="str">
        <f t="shared" si="27"/>
        <v/>
      </c>
      <c r="CL43" s="76" t="str">
        <f t="shared" si="27"/>
        <v/>
      </c>
      <c r="CM43" s="76" t="str">
        <f t="shared" si="27"/>
        <v/>
      </c>
      <c r="CN43" s="76" t="str">
        <f t="shared" si="27"/>
        <v/>
      </c>
      <c r="CO43" s="76" t="str">
        <f t="shared" si="27"/>
        <v/>
      </c>
      <c r="CP43" s="76" t="str">
        <f t="shared" si="27"/>
        <v/>
      </c>
      <c r="CQ43" s="76" t="str">
        <f t="shared" si="27"/>
        <v/>
      </c>
      <c r="CR43" s="76" t="str">
        <f t="shared" si="27"/>
        <v/>
      </c>
      <c r="CS43" s="76" t="str">
        <f t="shared" si="27"/>
        <v/>
      </c>
      <c r="CT43" s="76" t="str">
        <f t="shared" si="27"/>
        <v/>
      </c>
      <c r="CU43" s="76" t="str">
        <f t="shared" si="27"/>
        <v/>
      </c>
      <c r="CV43" s="76" t="str">
        <f t="shared" si="27"/>
        <v/>
      </c>
      <c r="CW43" s="76" t="str">
        <f t="shared" si="27"/>
        <v/>
      </c>
      <c r="CX43" s="76" t="str">
        <f t="shared" si="27"/>
        <v/>
      </c>
      <c r="CY43" s="76" t="str">
        <f t="shared" si="27"/>
        <v/>
      </c>
      <c r="CZ43" s="76" t="str">
        <f t="shared" si="27"/>
        <v/>
      </c>
      <c r="DA43" s="76" t="str">
        <f t="shared" si="27"/>
        <v/>
      </c>
      <c r="DB43" s="76" t="str">
        <f t="shared" si="27"/>
        <v/>
      </c>
      <c r="DC43" s="76" t="str">
        <f t="shared" si="27"/>
        <v/>
      </c>
      <c r="DD43" s="76" t="str">
        <f t="shared" si="27"/>
        <v/>
      </c>
      <c r="DE43" s="76" t="str">
        <f t="shared" si="27"/>
        <v/>
      </c>
      <c r="DF43" s="76" t="str">
        <f t="shared" si="27"/>
        <v/>
      </c>
      <c r="DG43" s="76" t="str">
        <f t="shared" si="27"/>
        <v/>
      </c>
      <c r="DH43" s="76" t="str">
        <f t="shared" si="27"/>
        <v/>
      </c>
      <c r="DI43" s="76" t="str">
        <f t="shared" si="27"/>
        <v/>
      </c>
      <c r="DJ43" s="76" t="str">
        <f t="shared" si="27"/>
        <v/>
      </c>
      <c r="DK43" s="76" t="str">
        <f t="shared" si="27"/>
        <v/>
      </c>
      <c r="DL43" s="76" t="str">
        <f t="shared" si="27"/>
        <v/>
      </c>
      <c r="DM43" s="76" t="str">
        <f t="shared" si="27"/>
        <v/>
      </c>
      <c r="DN43" s="76" t="str">
        <f t="shared" si="27"/>
        <v/>
      </c>
      <c r="DO43" s="76" t="str">
        <f t="shared" si="27"/>
        <v/>
      </c>
      <c r="DP43" s="76" t="str">
        <f t="shared" si="27"/>
        <v/>
      </c>
      <c r="DQ43" s="76" t="str">
        <f t="shared" si="27"/>
        <v/>
      </c>
      <c r="DR43" s="76" t="str">
        <f t="shared" si="27"/>
        <v/>
      </c>
      <c r="DS43" s="76" t="str">
        <f t="shared" si="27"/>
        <v/>
      </c>
      <c r="DT43" s="76" t="str">
        <f t="shared" si="27"/>
        <v/>
      </c>
      <c r="DU43" s="76" t="str">
        <f t="shared" si="27"/>
        <v/>
      </c>
      <c r="DV43" s="76" t="str">
        <f t="shared" si="27"/>
        <v/>
      </c>
      <c r="DW43" s="76" t="str">
        <f t="shared" si="27"/>
        <v/>
      </c>
      <c r="DX43" s="76" t="str">
        <f t="shared" si="27"/>
        <v/>
      </c>
      <c r="DY43" s="76" t="str">
        <f t="shared" si="27"/>
        <v/>
      </c>
      <c r="DZ43" s="76" t="str">
        <f t="shared" si="27"/>
        <v/>
      </c>
      <c r="EA43" s="76" t="str">
        <f t="shared" si="27"/>
        <v/>
      </c>
      <c r="EB43" s="76" t="str">
        <f t="shared" si="27"/>
        <v/>
      </c>
      <c r="EC43" s="76" t="str">
        <f t="shared" si="27"/>
        <v/>
      </c>
      <c r="ED43" s="76" t="str">
        <f t="shared" si="27"/>
        <v/>
      </c>
      <c r="EE43" s="76" t="str">
        <f t="shared" si="27"/>
        <v/>
      </c>
      <c r="EF43" s="76" t="str">
        <f t="shared" si="27"/>
        <v/>
      </c>
      <c r="EG43" s="76" t="str">
        <f t="shared" si="27"/>
        <v/>
      </c>
      <c r="EH43" s="76" t="str">
        <f t="shared" si="27"/>
        <v/>
      </c>
      <c r="EI43" s="76" t="str">
        <f t="shared" si="27"/>
        <v/>
      </c>
      <c r="EJ43" s="76" t="str">
        <f t="shared" si="27"/>
        <v/>
      </c>
      <c r="EK43" s="76" t="str">
        <f t="shared" si="27"/>
        <v/>
      </c>
      <c r="EL43" s="76" t="str">
        <f t="shared" si="27"/>
        <v/>
      </c>
      <c r="EM43" s="76" t="str">
        <f t="shared" si="27"/>
        <v/>
      </c>
      <c r="EN43" s="76" t="str">
        <f t="shared" si="27"/>
        <v/>
      </c>
      <c r="EO43" s="76" t="str">
        <f t="shared" si="27"/>
        <v/>
      </c>
      <c r="EP43" s="76" t="str">
        <f t="shared" si="27"/>
        <v/>
      </c>
      <c r="EQ43" s="76" t="str">
        <f t="shared" si="27"/>
        <v/>
      </c>
      <c r="ER43" s="76" t="str">
        <f t="shared" si="27"/>
        <v/>
      </c>
      <c r="ES43" s="76" t="str">
        <f t="shared" si="27"/>
        <v/>
      </c>
    </row>
    <row r="44" outlineLevel="1">
      <c r="A44" s="33"/>
      <c r="B44" s="58">
        <v>20.0</v>
      </c>
      <c r="C44" s="68" t="s">
        <v>163</v>
      </c>
      <c r="D44" s="68"/>
      <c r="E44" s="70">
        <f>E41+30</f>
        <v>45664</v>
      </c>
      <c r="F44" s="70">
        <f t="shared" si="22"/>
        <v>45739</v>
      </c>
      <c r="G44" s="71">
        <v>75.0</v>
      </c>
      <c r="H44" s="72">
        <v>0.0</v>
      </c>
      <c r="I44" s="73" t="str">
        <f t="shared" ref="I44:ES44" si="28">IF(AND($E44&lt;=I$6,$F44&gt;=I$6),"X","")</f>
        <v/>
      </c>
      <c r="J44" s="73" t="str">
        <f t="shared" si="28"/>
        <v/>
      </c>
      <c r="K44" s="73" t="str">
        <f t="shared" si="28"/>
        <v/>
      </c>
      <c r="L44" s="73" t="str">
        <f t="shared" si="28"/>
        <v/>
      </c>
      <c r="M44" s="73" t="str">
        <f t="shared" si="28"/>
        <v/>
      </c>
      <c r="N44" s="73" t="str">
        <f t="shared" si="28"/>
        <v/>
      </c>
      <c r="O44" s="73" t="str">
        <f t="shared" si="28"/>
        <v/>
      </c>
      <c r="P44" s="73" t="str">
        <f t="shared" si="28"/>
        <v/>
      </c>
      <c r="Q44" s="73" t="str">
        <f t="shared" si="28"/>
        <v/>
      </c>
      <c r="R44" s="73" t="str">
        <f t="shared" si="28"/>
        <v/>
      </c>
      <c r="S44" s="73" t="str">
        <f t="shared" si="28"/>
        <v/>
      </c>
      <c r="T44" s="73" t="str">
        <f t="shared" si="28"/>
        <v/>
      </c>
      <c r="U44" s="73" t="str">
        <f t="shared" si="28"/>
        <v/>
      </c>
      <c r="V44" s="73" t="str">
        <f t="shared" si="28"/>
        <v/>
      </c>
      <c r="W44" s="73" t="str">
        <f t="shared" si="28"/>
        <v/>
      </c>
      <c r="X44" s="73" t="str">
        <f t="shared" si="28"/>
        <v/>
      </c>
      <c r="Y44" s="73" t="str">
        <f t="shared" si="28"/>
        <v/>
      </c>
      <c r="Z44" s="73" t="str">
        <f t="shared" si="28"/>
        <v/>
      </c>
      <c r="AA44" s="73" t="str">
        <f t="shared" si="28"/>
        <v/>
      </c>
      <c r="AB44" s="73" t="str">
        <f t="shared" si="28"/>
        <v/>
      </c>
      <c r="AC44" s="73" t="str">
        <f t="shared" si="28"/>
        <v/>
      </c>
      <c r="AD44" s="73" t="str">
        <f t="shared" si="28"/>
        <v/>
      </c>
      <c r="AE44" s="73" t="str">
        <f t="shared" si="28"/>
        <v/>
      </c>
      <c r="AF44" s="73" t="str">
        <f t="shared" si="28"/>
        <v/>
      </c>
      <c r="AG44" s="73" t="str">
        <f t="shared" si="28"/>
        <v/>
      </c>
      <c r="AH44" s="73" t="str">
        <f t="shared" si="28"/>
        <v/>
      </c>
      <c r="AI44" s="73" t="str">
        <f t="shared" si="28"/>
        <v/>
      </c>
      <c r="AJ44" s="73" t="str">
        <f t="shared" si="28"/>
        <v/>
      </c>
      <c r="AK44" s="73" t="str">
        <f t="shared" si="28"/>
        <v/>
      </c>
      <c r="AL44" s="73" t="str">
        <f t="shared" si="28"/>
        <v/>
      </c>
      <c r="AM44" s="73" t="str">
        <f t="shared" si="28"/>
        <v/>
      </c>
      <c r="AN44" s="73" t="str">
        <f t="shared" si="28"/>
        <v/>
      </c>
      <c r="AO44" s="73" t="str">
        <f t="shared" si="28"/>
        <v/>
      </c>
      <c r="AP44" s="73" t="str">
        <f t="shared" si="28"/>
        <v/>
      </c>
      <c r="AQ44" s="73" t="str">
        <f t="shared" si="28"/>
        <v/>
      </c>
      <c r="AR44" s="73" t="str">
        <f t="shared" si="28"/>
        <v/>
      </c>
      <c r="AS44" s="73" t="str">
        <f t="shared" si="28"/>
        <v>X</v>
      </c>
      <c r="AT44" s="73" t="str">
        <f t="shared" si="28"/>
        <v>X</v>
      </c>
      <c r="AU44" s="73" t="str">
        <f t="shared" si="28"/>
        <v>X</v>
      </c>
      <c r="AV44" s="73" t="str">
        <f t="shared" si="28"/>
        <v>X</v>
      </c>
      <c r="AW44" s="73" t="str">
        <f t="shared" si="28"/>
        <v>X</v>
      </c>
      <c r="AX44" s="73" t="str">
        <f t="shared" si="28"/>
        <v>X</v>
      </c>
      <c r="AY44" s="73" t="str">
        <f t="shared" si="28"/>
        <v>X</v>
      </c>
      <c r="AZ44" s="73" t="str">
        <f t="shared" si="28"/>
        <v>X</v>
      </c>
      <c r="BA44" s="73" t="str">
        <f t="shared" si="28"/>
        <v>X</v>
      </c>
      <c r="BB44" s="73" t="str">
        <f t="shared" si="28"/>
        <v>X</v>
      </c>
      <c r="BC44" s="73" t="str">
        <f t="shared" si="28"/>
        <v>X</v>
      </c>
      <c r="BD44" s="73" t="str">
        <f t="shared" si="28"/>
        <v/>
      </c>
      <c r="BE44" s="73" t="str">
        <f t="shared" si="28"/>
        <v/>
      </c>
      <c r="BF44" s="73" t="str">
        <f t="shared" si="28"/>
        <v/>
      </c>
      <c r="BG44" s="73" t="str">
        <f t="shared" si="28"/>
        <v/>
      </c>
      <c r="BH44" s="73" t="str">
        <f t="shared" si="28"/>
        <v/>
      </c>
      <c r="BI44" s="73" t="str">
        <f t="shared" si="28"/>
        <v/>
      </c>
      <c r="BJ44" s="73" t="str">
        <f t="shared" si="28"/>
        <v/>
      </c>
      <c r="BK44" s="73" t="str">
        <f t="shared" si="28"/>
        <v/>
      </c>
      <c r="BL44" s="73" t="str">
        <f t="shared" si="28"/>
        <v/>
      </c>
      <c r="BM44" s="73" t="str">
        <f t="shared" si="28"/>
        <v/>
      </c>
      <c r="BN44" s="73" t="str">
        <f t="shared" si="28"/>
        <v/>
      </c>
      <c r="BO44" s="73" t="str">
        <f t="shared" si="28"/>
        <v/>
      </c>
      <c r="BP44" s="76" t="str">
        <f t="shared" si="28"/>
        <v/>
      </c>
      <c r="BQ44" s="76" t="str">
        <f t="shared" si="28"/>
        <v/>
      </c>
      <c r="BR44" s="76" t="str">
        <f t="shared" si="28"/>
        <v/>
      </c>
      <c r="BS44" s="76" t="str">
        <f t="shared" si="28"/>
        <v/>
      </c>
      <c r="BT44" s="76" t="str">
        <f t="shared" si="28"/>
        <v/>
      </c>
      <c r="BU44" s="76" t="str">
        <f t="shared" si="28"/>
        <v/>
      </c>
      <c r="BV44" s="76" t="str">
        <f t="shared" si="28"/>
        <v/>
      </c>
      <c r="BW44" s="76" t="str">
        <f t="shared" si="28"/>
        <v/>
      </c>
      <c r="BX44" s="76" t="str">
        <f t="shared" si="28"/>
        <v/>
      </c>
      <c r="BY44" s="76" t="str">
        <f t="shared" si="28"/>
        <v/>
      </c>
      <c r="BZ44" s="76" t="str">
        <f t="shared" si="28"/>
        <v/>
      </c>
      <c r="CA44" s="76" t="str">
        <f t="shared" si="28"/>
        <v/>
      </c>
      <c r="CB44" s="76" t="str">
        <f t="shared" si="28"/>
        <v/>
      </c>
      <c r="CC44" s="76" t="str">
        <f t="shared" si="28"/>
        <v/>
      </c>
      <c r="CD44" s="76" t="str">
        <f t="shared" si="28"/>
        <v/>
      </c>
      <c r="CE44" s="76" t="str">
        <f t="shared" si="28"/>
        <v/>
      </c>
      <c r="CF44" s="76" t="str">
        <f t="shared" si="28"/>
        <v/>
      </c>
      <c r="CG44" s="76" t="str">
        <f t="shared" si="28"/>
        <v/>
      </c>
      <c r="CH44" s="76" t="str">
        <f t="shared" si="28"/>
        <v/>
      </c>
      <c r="CI44" s="76" t="str">
        <f t="shared" si="28"/>
        <v/>
      </c>
      <c r="CJ44" s="76" t="str">
        <f t="shared" si="28"/>
        <v/>
      </c>
      <c r="CK44" s="76" t="str">
        <f t="shared" si="28"/>
        <v/>
      </c>
      <c r="CL44" s="76" t="str">
        <f t="shared" si="28"/>
        <v/>
      </c>
      <c r="CM44" s="76" t="str">
        <f t="shared" si="28"/>
        <v/>
      </c>
      <c r="CN44" s="76" t="str">
        <f t="shared" si="28"/>
        <v/>
      </c>
      <c r="CO44" s="76" t="str">
        <f t="shared" si="28"/>
        <v/>
      </c>
      <c r="CP44" s="76" t="str">
        <f t="shared" si="28"/>
        <v/>
      </c>
      <c r="CQ44" s="76" t="str">
        <f t="shared" si="28"/>
        <v/>
      </c>
      <c r="CR44" s="76" t="str">
        <f t="shared" si="28"/>
        <v/>
      </c>
      <c r="CS44" s="76" t="str">
        <f t="shared" si="28"/>
        <v/>
      </c>
      <c r="CT44" s="76" t="str">
        <f t="shared" si="28"/>
        <v/>
      </c>
      <c r="CU44" s="76" t="str">
        <f t="shared" si="28"/>
        <v/>
      </c>
      <c r="CV44" s="76" t="str">
        <f t="shared" si="28"/>
        <v/>
      </c>
      <c r="CW44" s="76" t="str">
        <f t="shared" si="28"/>
        <v/>
      </c>
      <c r="CX44" s="76" t="str">
        <f t="shared" si="28"/>
        <v/>
      </c>
      <c r="CY44" s="76" t="str">
        <f t="shared" si="28"/>
        <v/>
      </c>
      <c r="CZ44" s="76" t="str">
        <f t="shared" si="28"/>
        <v/>
      </c>
      <c r="DA44" s="76" t="str">
        <f t="shared" si="28"/>
        <v/>
      </c>
      <c r="DB44" s="76" t="str">
        <f t="shared" si="28"/>
        <v/>
      </c>
      <c r="DC44" s="76" t="str">
        <f t="shared" si="28"/>
        <v/>
      </c>
      <c r="DD44" s="76" t="str">
        <f t="shared" si="28"/>
        <v/>
      </c>
      <c r="DE44" s="76" t="str">
        <f t="shared" si="28"/>
        <v/>
      </c>
      <c r="DF44" s="76" t="str">
        <f t="shared" si="28"/>
        <v/>
      </c>
      <c r="DG44" s="76" t="str">
        <f t="shared" si="28"/>
        <v/>
      </c>
      <c r="DH44" s="76" t="str">
        <f t="shared" si="28"/>
        <v/>
      </c>
      <c r="DI44" s="76" t="str">
        <f t="shared" si="28"/>
        <v/>
      </c>
      <c r="DJ44" s="76" t="str">
        <f t="shared" si="28"/>
        <v/>
      </c>
      <c r="DK44" s="76" t="str">
        <f t="shared" si="28"/>
        <v/>
      </c>
      <c r="DL44" s="76" t="str">
        <f t="shared" si="28"/>
        <v/>
      </c>
      <c r="DM44" s="76" t="str">
        <f t="shared" si="28"/>
        <v/>
      </c>
      <c r="DN44" s="76" t="str">
        <f t="shared" si="28"/>
        <v/>
      </c>
      <c r="DO44" s="76" t="str">
        <f t="shared" si="28"/>
        <v/>
      </c>
      <c r="DP44" s="76" t="str">
        <f t="shared" si="28"/>
        <v/>
      </c>
      <c r="DQ44" s="76" t="str">
        <f t="shared" si="28"/>
        <v/>
      </c>
      <c r="DR44" s="76" t="str">
        <f t="shared" si="28"/>
        <v/>
      </c>
      <c r="DS44" s="76" t="str">
        <f t="shared" si="28"/>
        <v/>
      </c>
      <c r="DT44" s="76" t="str">
        <f t="shared" si="28"/>
        <v/>
      </c>
      <c r="DU44" s="76" t="str">
        <f t="shared" si="28"/>
        <v/>
      </c>
      <c r="DV44" s="76" t="str">
        <f t="shared" si="28"/>
        <v/>
      </c>
      <c r="DW44" s="76" t="str">
        <f t="shared" si="28"/>
        <v/>
      </c>
      <c r="DX44" s="76" t="str">
        <f t="shared" si="28"/>
        <v/>
      </c>
      <c r="DY44" s="76" t="str">
        <f t="shared" si="28"/>
        <v/>
      </c>
      <c r="DZ44" s="76" t="str">
        <f t="shared" si="28"/>
        <v/>
      </c>
      <c r="EA44" s="76" t="str">
        <f t="shared" si="28"/>
        <v/>
      </c>
      <c r="EB44" s="76" t="str">
        <f t="shared" si="28"/>
        <v/>
      </c>
      <c r="EC44" s="76" t="str">
        <f t="shared" si="28"/>
        <v/>
      </c>
      <c r="ED44" s="76" t="str">
        <f t="shared" si="28"/>
        <v/>
      </c>
      <c r="EE44" s="76" t="str">
        <f t="shared" si="28"/>
        <v/>
      </c>
      <c r="EF44" s="76" t="str">
        <f t="shared" si="28"/>
        <v/>
      </c>
      <c r="EG44" s="76" t="str">
        <f t="shared" si="28"/>
        <v/>
      </c>
      <c r="EH44" s="76" t="str">
        <f t="shared" si="28"/>
        <v/>
      </c>
      <c r="EI44" s="76" t="str">
        <f t="shared" si="28"/>
        <v/>
      </c>
      <c r="EJ44" s="76" t="str">
        <f t="shared" si="28"/>
        <v/>
      </c>
      <c r="EK44" s="76" t="str">
        <f t="shared" si="28"/>
        <v/>
      </c>
      <c r="EL44" s="76" t="str">
        <f t="shared" si="28"/>
        <v/>
      </c>
      <c r="EM44" s="76" t="str">
        <f t="shared" si="28"/>
        <v/>
      </c>
      <c r="EN44" s="76" t="str">
        <f t="shared" si="28"/>
        <v/>
      </c>
      <c r="EO44" s="76" t="str">
        <f t="shared" si="28"/>
        <v/>
      </c>
      <c r="EP44" s="76" t="str">
        <f t="shared" si="28"/>
        <v/>
      </c>
      <c r="EQ44" s="76" t="str">
        <f t="shared" si="28"/>
        <v/>
      </c>
      <c r="ER44" s="76" t="str">
        <f t="shared" si="28"/>
        <v/>
      </c>
      <c r="ES44" s="76" t="str">
        <f t="shared" si="28"/>
        <v/>
      </c>
    </row>
    <row r="45" outlineLevel="1">
      <c r="A45" s="33"/>
      <c r="B45" s="58">
        <v>21.0</v>
      </c>
      <c r="C45" s="68" t="s">
        <v>164</v>
      </c>
      <c r="D45" s="68"/>
      <c r="E45" s="70">
        <f t="shared" ref="E45:E48" si="30">F44</f>
        <v>45739</v>
      </c>
      <c r="F45" s="70">
        <f t="shared" si="22"/>
        <v>45753</v>
      </c>
      <c r="G45" s="71">
        <v>14.0</v>
      </c>
      <c r="H45" s="72">
        <v>0.0</v>
      </c>
      <c r="I45" s="73" t="str">
        <f t="shared" ref="I45:ES45" si="29">IF(AND($E45&lt;=I$6,$F45&gt;=I$6),"X","")</f>
        <v/>
      </c>
      <c r="J45" s="73" t="str">
        <f t="shared" si="29"/>
        <v/>
      </c>
      <c r="K45" s="73" t="str">
        <f t="shared" si="29"/>
        <v/>
      </c>
      <c r="L45" s="73" t="str">
        <f t="shared" si="29"/>
        <v/>
      </c>
      <c r="M45" s="73" t="str">
        <f t="shared" si="29"/>
        <v/>
      </c>
      <c r="N45" s="73" t="str">
        <f t="shared" si="29"/>
        <v/>
      </c>
      <c r="O45" s="73" t="str">
        <f t="shared" si="29"/>
        <v/>
      </c>
      <c r="P45" s="73" t="str">
        <f t="shared" si="29"/>
        <v/>
      </c>
      <c r="Q45" s="73" t="str">
        <f t="shared" si="29"/>
        <v/>
      </c>
      <c r="R45" s="73" t="str">
        <f t="shared" si="29"/>
        <v/>
      </c>
      <c r="S45" s="73" t="str">
        <f t="shared" si="29"/>
        <v/>
      </c>
      <c r="T45" s="73" t="str">
        <f t="shared" si="29"/>
        <v/>
      </c>
      <c r="U45" s="73" t="str">
        <f t="shared" si="29"/>
        <v/>
      </c>
      <c r="V45" s="73" t="str">
        <f t="shared" si="29"/>
        <v/>
      </c>
      <c r="W45" s="73" t="str">
        <f t="shared" si="29"/>
        <v/>
      </c>
      <c r="X45" s="73" t="str">
        <f t="shared" si="29"/>
        <v/>
      </c>
      <c r="Y45" s="73" t="str">
        <f t="shared" si="29"/>
        <v/>
      </c>
      <c r="Z45" s="73" t="str">
        <f t="shared" si="29"/>
        <v/>
      </c>
      <c r="AA45" s="73" t="str">
        <f t="shared" si="29"/>
        <v/>
      </c>
      <c r="AB45" s="73" t="str">
        <f t="shared" si="29"/>
        <v/>
      </c>
      <c r="AC45" s="73" t="str">
        <f t="shared" si="29"/>
        <v/>
      </c>
      <c r="AD45" s="73" t="str">
        <f t="shared" si="29"/>
        <v/>
      </c>
      <c r="AE45" s="73" t="str">
        <f t="shared" si="29"/>
        <v/>
      </c>
      <c r="AF45" s="73" t="str">
        <f t="shared" si="29"/>
        <v/>
      </c>
      <c r="AG45" s="73" t="str">
        <f t="shared" si="29"/>
        <v/>
      </c>
      <c r="AH45" s="73" t="str">
        <f t="shared" si="29"/>
        <v/>
      </c>
      <c r="AI45" s="73" t="str">
        <f t="shared" si="29"/>
        <v/>
      </c>
      <c r="AJ45" s="73" t="str">
        <f t="shared" si="29"/>
        <v/>
      </c>
      <c r="AK45" s="73" t="str">
        <f t="shared" si="29"/>
        <v/>
      </c>
      <c r="AL45" s="73" t="str">
        <f t="shared" si="29"/>
        <v/>
      </c>
      <c r="AM45" s="73" t="str">
        <f t="shared" si="29"/>
        <v/>
      </c>
      <c r="AN45" s="73" t="str">
        <f t="shared" si="29"/>
        <v/>
      </c>
      <c r="AO45" s="73" t="str">
        <f t="shared" si="29"/>
        <v/>
      </c>
      <c r="AP45" s="73" t="str">
        <f t="shared" si="29"/>
        <v/>
      </c>
      <c r="AQ45" s="73" t="str">
        <f t="shared" si="29"/>
        <v/>
      </c>
      <c r="AR45" s="73" t="str">
        <f t="shared" si="29"/>
        <v/>
      </c>
      <c r="AS45" s="73" t="str">
        <f t="shared" si="29"/>
        <v/>
      </c>
      <c r="AT45" s="73" t="str">
        <f t="shared" si="29"/>
        <v/>
      </c>
      <c r="AU45" s="73" t="str">
        <f t="shared" si="29"/>
        <v/>
      </c>
      <c r="AV45" s="73" t="str">
        <f t="shared" si="29"/>
        <v/>
      </c>
      <c r="AW45" s="73" t="str">
        <f t="shared" si="29"/>
        <v/>
      </c>
      <c r="AX45" s="73" t="str">
        <f t="shared" si="29"/>
        <v/>
      </c>
      <c r="AY45" s="73" t="str">
        <f t="shared" si="29"/>
        <v/>
      </c>
      <c r="AZ45" s="73" t="str">
        <f t="shared" si="29"/>
        <v/>
      </c>
      <c r="BA45" s="73" t="str">
        <f t="shared" si="29"/>
        <v/>
      </c>
      <c r="BB45" s="73" t="str">
        <f t="shared" si="29"/>
        <v/>
      </c>
      <c r="BC45" s="73" t="str">
        <f t="shared" si="29"/>
        <v/>
      </c>
      <c r="BD45" s="73" t="str">
        <f t="shared" si="29"/>
        <v>X</v>
      </c>
      <c r="BE45" s="73" t="str">
        <f t="shared" si="29"/>
        <v>X</v>
      </c>
      <c r="BF45" s="73" t="str">
        <f t="shared" si="29"/>
        <v/>
      </c>
      <c r="BG45" s="73" t="str">
        <f t="shared" si="29"/>
        <v/>
      </c>
      <c r="BH45" s="73" t="str">
        <f t="shared" si="29"/>
        <v/>
      </c>
      <c r="BI45" s="73" t="str">
        <f t="shared" si="29"/>
        <v/>
      </c>
      <c r="BJ45" s="73" t="str">
        <f t="shared" si="29"/>
        <v/>
      </c>
      <c r="BK45" s="73" t="str">
        <f t="shared" si="29"/>
        <v/>
      </c>
      <c r="BL45" s="73" t="str">
        <f t="shared" si="29"/>
        <v/>
      </c>
      <c r="BM45" s="73" t="str">
        <f t="shared" si="29"/>
        <v/>
      </c>
      <c r="BN45" s="73" t="str">
        <f t="shared" si="29"/>
        <v/>
      </c>
      <c r="BO45" s="73" t="str">
        <f t="shared" si="29"/>
        <v/>
      </c>
      <c r="BP45" s="76" t="str">
        <f t="shared" si="29"/>
        <v/>
      </c>
      <c r="BQ45" s="76" t="str">
        <f t="shared" si="29"/>
        <v/>
      </c>
      <c r="BR45" s="76" t="str">
        <f t="shared" si="29"/>
        <v/>
      </c>
      <c r="BS45" s="76" t="str">
        <f t="shared" si="29"/>
        <v/>
      </c>
      <c r="BT45" s="76" t="str">
        <f t="shared" si="29"/>
        <v/>
      </c>
      <c r="BU45" s="76" t="str">
        <f t="shared" si="29"/>
        <v/>
      </c>
      <c r="BV45" s="76" t="str">
        <f t="shared" si="29"/>
        <v/>
      </c>
      <c r="BW45" s="76" t="str">
        <f t="shared" si="29"/>
        <v/>
      </c>
      <c r="BX45" s="76" t="str">
        <f t="shared" si="29"/>
        <v/>
      </c>
      <c r="BY45" s="76" t="str">
        <f t="shared" si="29"/>
        <v/>
      </c>
      <c r="BZ45" s="76" t="str">
        <f t="shared" si="29"/>
        <v/>
      </c>
      <c r="CA45" s="76" t="str">
        <f t="shared" si="29"/>
        <v/>
      </c>
      <c r="CB45" s="76" t="str">
        <f t="shared" si="29"/>
        <v/>
      </c>
      <c r="CC45" s="76" t="str">
        <f t="shared" si="29"/>
        <v/>
      </c>
      <c r="CD45" s="76" t="str">
        <f t="shared" si="29"/>
        <v/>
      </c>
      <c r="CE45" s="76" t="str">
        <f t="shared" si="29"/>
        <v/>
      </c>
      <c r="CF45" s="76" t="str">
        <f t="shared" si="29"/>
        <v/>
      </c>
      <c r="CG45" s="76" t="str">
        <f t="shared" si="29"/>
        <v/>
      </c>
      <c r="CH45" s="76" t="str">
        <f t="shared" si="29"/>
        <v/>
      </c>
      <c r="CI45" s="76" t="str">
        <f t="shared" si="29"/>
        <v/>
      </c>
      <c r="CJ45" s="76" t="str">
        <f t="shared" si="29"/>
        <v/>
      </c>
      <c r="CK45" s="76" t="str">
        <f t="shared" si="29"/>
        <v/>
      </c>
      <c r="CL45" s="76" t="str">
        <f t="shared" si="29"/>
        <v/>
      </c>
      <c r="CM45" s="76" t="str">
        <f t="shared" si="29"/>
        <v/>
      </c>
      <c r="CN45" s="76" t="str">
        <f t="shared" si="29"/>
        <v/>
      </c>
      <c r="CO45" s="76" t="str">
        <f t="shared" si="29"/>
        <v/>
      </c>
      <c r="CP45" s="76" t="str">
        <f t="shared" si="29"/>
        <v/>
      </c>
      <c r="CQ45" s="76" t="str">
        <f t="shared" si="29"/>
        <v/>
      </c>
      <c r="CR45" s="76" t="str">
        <f t="shared" si="29"/>
        <v/>
      </c>
      <c r="CS45" s="76" t="str">
        <f t="shared" si="29"/>
        <v/>
      </c>
      <c r="CT45" s="76" t="str">
        <f t="shared" si="29"/>
        <v/>
      </c>
      <c r="CU45" s="76" t="str">
        <f t="shared" si="29"/>
        <v/>
      </c>
      <c r="CV45" s="76" t="str">
        <f t="shared" si="29"/>
        <v/>
      </c>
      <c r="CW45" s="76" t="str">
        <f t="shared" si="29"/>
        <v/>
      </c>
      <c r="CX45" s="76" t="str">
        <f t="shared" si="29"/>
        <v/>
      </c>
      <c r="CY45" s="76" t="str">
        <f t="shared" si="29"/>
        <v/>
      </c>
      <c r="CZ45" s="76" t="str">
        <f t="shared" si="29"/>
        <v/>
      </c>
      <c r="DA45" s="76" t="str">
        <f t="shared" si="29"/>
        <v/>
      </c>
      <c r="DB45" s="76" t="str">
        <f t="shared" si="29"/>
        <v/>
      </c>
      <c r="DC45" s="76" t="str">
        <f t="shared" si="29"/>
        <v/>
      </c>
      <c r="DD45" s="76" t="str">
        <f t="shared" si="29"/>
        <v/>
      </c>
      <c r="DE45" s="76" t="str">
        <f t="shared" si="29"/>
        <v/>
      </c>
      <c r="DF45" s="76" t="str">
        <f t="shared" si="29"/>
        <v/>
      </c>
      <c r="DG45" s="76" t="str">
        <f t="shared" si="29"/>
        <v/>
      </c>
      <c r="DH45" s="76" t="str">
        <f t="shared" si="29"/>
        <v/>
      </c>
      <c r="DI45" s="76" t="str">
        <f t="shared" si="29"/>
        <v/>
      </c>
      <c r="DJ45" s="76" t="str">
        <f t="shared" si="29"/>
        <v/>
      </c>
      <c r="DK45" s="76" t="str">
        <f t="shared" si="29"/>
        <v/>
      </c>
      <c r="DL45" s="76" t="str">
        <f t="shared" si="29"/>
        <v/>
      </c>
      <c r="DM45" s="76" t="str">
        <f t="shared" si="29"/>
        <v/>
      </c>
      <c r="DN45" s="76" t="str">
        <f t="shared" si="29"/>
        <v/>
      </c>
      <c r="DO45" s="76" t="str">
        <f t="shared" si="29"/>
        <v/>
      </c>
      <c r="DP45" s="76" t="str">
        <f t="shared" si="29"/>
        <v/>
      </c>
      <c r="DQ45" s="76" t="str">
        <f t="shared" si="29"/>
        <v/>
      </c>
      <c r="DR45" s="76" t="str">
        <f t="shared" si="29"/>
        <v/>
      </c>
      <c r="DS45" s="76" t="str">
        <f t="shared" si="29"/>
        <v/>
      </c>
      <c r="DT45" s="76" t="str">
        <f t="shared" si="29"/>
        <v/>
      </c>
      <c r="DU45" s="76" t="str">
        <f t="shared" si="29"/>
        <v/>
      </c>
      <c r="DV45" s="76" t="str">
        <f t="shared" si="29"/>
        <v/>
      </c>
      <c r="DW45" s="76" t="str">
        <f t="shared" si="29"/>
        <v/>
      </c>
      <c r="DX45" s="76" t="str">
        <f t="shared" si="29"/>
        <v/>
      </c>
      <c r="DY45" s="76" t="str">
        <f t="shared" si="29"/>
        <v/>
      </c>
      <c r="DZ45" s="76" t="str">
        <f t="shared" si="29"/>
        <v/>
      </c>
      <c r="EA45" s="76" t="str">
        <f t="shared" si="29"/>
        <v/>
      </c>
      <c r="EB45" s="76" t="str">
        <f t="shared" si="29"/>
        <v/>
      </c>
      <c r="EC45" s="76" t="str">
        <f t="shared" si="29"/>
        <v/>
      </c>
      <c r="ED45" s="76" t="str">
        <f t="shared" si="29"/>
        <v/>
      </c>
      <c r="EE45" s="76" t="str">
        <f t="shared" si="29"/>
        <v/>
      </c>
      <c r="EF45" s="76" t="str">
        <f t="shared" si="29"/>
        <v/>
      </c>
      <c r="EG45" s="76" t="str">
        <f t="shared" si="29"/>
        <v/>
      </c>
      <c r="EH45" s="76" t="str">
        <f t="shared" si="29"/>
        <v/>
      </c>
      <c r="EI45" s="76" t="str">
        <f t="shared" si="29"/>
        <v/>
      </c>
      <c r="EJ45" s="76" t="str">
        <f t="shared" si="29"/>
        <v/>
      </c>
      <c r="EK45" s="76" t="str">
        <f t="shared" si="29"/>
        <v/>
      </c>
      <c r="EL45" s="76" t="str">
        <f t="shared" si="29"/>
        <v/>
      </c>
      <c r="EM45" s="76" t="str">
        <f t="shared" si="29"/>
        <v/>
      </c>
      <c r="EN45" s="76" t="str">
        <f t="shared" si="29"/>
        <v/>
      </c>
      <c r="EO45" s="76" t="str">
        <f t="shared" si="29"/>
        <v/>
      </c>
      <c r="EP45" s="76" t="str">
        <f t="shared" si="29"/>
        <v/>
      </c>
      <c r="EQ45" s="76" t="str">
        <f t="shared" si="29"/>
        <v/>
      </c>
      <c r="ER45" s="76" t="str">
        <f t="shared" si="29"/>
        <v/>
      </c>
      <c r="ES45" s="76" t="str">
        <f t="shared" si="29"/>
        <v/>
      </c>
    </row>
    <row r="46" outlineLevel="1">
      <c r="A46" s="33"/>
      <c r="B46" s="58">
        <v>22.0</v>
      </c>
      <c r="C46" s="68" t="s">
        <v>165</v>
      </c>
      <c r="D46" s="68"/>
      <c r="E46" s="70">
        <f t="shared" si="30"/>
        <v>45753</v>
      </c>
      <c r="F46" s="70">
        <f t="shared" si="22"/>
        <v>45767</v>
      </c>
      <c r="G46" s="71">
        <v>14.0</v>
      </c>
      <c r="H46" s="72">
        <v>0.0</v>
      </c>
      <c r="I46" s="73" t="str">
        <f t="shared" ref="I46:ES46" si="31">IF(AND($E46&lt;=I$6,$F46&gt;=I$6),"X","")</f>
        <v/>
      </c>
      <c r="J46" s="73" t="str">
        <f t="shared" si="31"/>
        <v/>
      </c>
      <c r="K46" s="73" t="str">
        <f t="shared" si="31"/>
        <v/>
      </c>
      <c r="L46" s="73" t="str">
        <f t="shared" si="31"/>
        <v/>
      </c>
      <c r="M46" s="73" t="str">
        <f t="shared" si="31"/>
        <v/>
      </c>
      <c r="N46" s="73" t="str">
        <f t="shared" si="31"/>
        <v/>
      </c>
      <c r="O46" s="73" t="str">
        <f t="shared" si="31"/>
        <v/>
      </c>
      <c r="P46" s="73" t="str">
        <f t="shared" si="31"/>
        <v/>
      </c>
      <c r="Q46" s="73" t="str">
        <f t="shared" si="31"/>
        <v/>
      </c>
      <c r="R46" s="73" t="str">
        <f t="shared" si="31"/>
        <v/>
      </c>
      <c r="S46" s="73" t="str">
        <f t="shared" si="31"/>
        <v/>
      </c>
      <c r="T46" s="73" t="str">
        <f t="shared" si="31"/>
        <v/>
      </c>
      <c r="U46" s="73" t="str">
        <f t="shared" si="31"/>
        <v/>
      </c>
      <c r="V46" s="73" t="str">
        <f t="shared" si="31"/>
        <v/>
      </c>
      <c r="W46" s="73" t="str">
        <f t="shared" si="31"/>
        <v/>
      </c>
      <c r="X46" s="73" t="str">
        <f t="shared" si="31"/>
        <v/>
      </c>
      <c r="Y46" s="73" t="str">
        <f t="shared" si="31"/>
        <v/>
      </c>
      <c r="Z46" s="73" t="str">
        <f t="shared" si="31"/>
        <v/>
      </c>
      <c r="AA46" s="73" t="str">
        <f t="shared" si="31"/>
        <v/>
      </c>
      <c r="AB46" s="73" t="str">
        <f t="shared" si="31"/>
        <v/>
      </c>
      <c r="AC46" s="73" t="str">
        <f t="shared" si="31"/>
        <v/>
      </c>
      <c r="AD46" s="73" t="str">
        <f t="shared" si="31"/>
        <v/>
      </c>
      <c r="AE46" s="73" t="str">
        <f t="shared" si="31"/>
        <v/>
      </c>
      <c r="AF46" s="73" t="str">
        <f t="shared" si="31"/>
        <v/>
      </c>
      <c r="AG46" s="73" t="str">
        <f t="shared" si="31"/>
        <v/>
      </c>
      <c r="AH46" s="73" t="str">
        <f t="shared" si="31"/>
        <v/>
      </c>
      <c r="AI46" s="73" t="str">
        <f t="shared" si="31"/>
        <v/>
      </c>
      <c r="AJ46" s="73" t="str">
        <f t="shared" si="31"/>
        <v/>
      </c>
      <c r="AK46" s="73" t="str">
        <f t="shared" si="31"/>
        <v/>
      </c>
      <c r="AL46" s="73" t="str">
        <f t="shared" si="31"/>
        <v/>
      </c>
      <c r="AM46" s="73" t="str">
        <f t="shared" si="31"/>
        <v/>
      </c>
      <c r="AN46" s="73" t="str">
        <f t="shared" si="31"/>
        <v/>
      </c>
      <c r="AO46" s="73" t="str">
        <f t="shared" si="31"/>
        <v/>
      </c>
      <c r="AP46" s="73" t="str">
        <f t="shared" si="31"/>
        <v/>
      </c>
      <c r="AQ46" s="73" t="str">
        <f t="shared" si="31"/>
        <v/>
      </c>
      <c r="AR46" s="73" t="str">
        <f t="shared" si="31"/>
        <v/>
      </c>
      <c r="AS46" s="73" t="str">
        <f t="shared" si="31"/>
        <v/>
      </c>
      <c r="AT46" s="73" t="str">
        <f t="shared" si="31"/>
        <v/>
      </c>
      <c r="AU46" s="73" t="str">
        <f t="shared" si="31"/>
        <v/>
      </c>
      <c r="AV46" s="73" t="str">
        <f t="shared" si="31"/>
        <v/>
      </c>
      <c r="AW46" s="73" t="str">
        <f t="shared" si="31"/>
        <v/>
      </c>
      <c r="AX46" s="73" t="str">
        <f t="shared" si="31"/>
        <v/>
      </c>
      <c r="AY46" s="73" t="str">
        <f t="shared" si="31"/>
        <v/>
      </c>
      <c r="AZ46" s="73" t="str">
        <f t="shared" si="31"/>
        <v/>
      </c>
      <c r="BA46" s="73" t="str">
        <f t="shared" si="31"/>
        <v/>
      </c>
      <c r="BB46" s="73" t="str">
        <f t="shared" si="31"/>
        <v/>
      </c>
      <c r="BC46" s="73" t="str">
        <f t="shared" si="31"/>
        <v/>
      </c>
      <c r="BD46" s="73" t="str">
        <f t="shared" si="31"/>
        <v/>
      </c>
      <c r="BE46" s="73" t="str">
        <f t="shared" si="31"/>
        <v/>
      </c>
      <c r="BF46" s="73" t="str">
        <f t="shared" si="31"/>
        <v>X</v>
      </c>
      <c r="BG46" s="73" t="str">
        <f t="shared" si="31"/>
        <v>X</v>
      </c>
      <c r="BH46" s="73" t="str">
        <f t="shared" si="31"/>
        <v/>
      </c>
      <c r="BI46" s="73" t="str">
        <f t="shared" si="31"/>
        <v/>
      </c>
      <c r="BJ46" s="73" t="str">
        <f t="shared" si="31"/>
        <v/>
      </c>
      <c r="BK46" s="73" t="str">
        <f t="shared" si="31"/>
        <v/>
      </c>
      <c r="BL46" s="73" t="str">
        <f t="shared" si="31"/>
        <v/>
      </c>
      <c r="BM46" s="73" t="str">
        <f t="shared" si="31"/>
        <v/>
      </c>
      <c r="BN46" s="73" t="str">
        <f t="shared" si="31"/>
        <v/>
      </c>
      <c r="BO46" s="73" t="str">
        <f t="shared" si="31"/>
        <v/>
      </c>
      <c r="BP46" s="76" t="str">
        <f t="shared" si="31"/>
        <v/>
      </c>
      <c r="BQ46" s="76" t="str">
        <f t="shared" si="31"/>
        <v/>
      </c>
      <c r="BR46" s="76" t="str">
        <f t="shared" si="31"/>
        <v/>
      </c>
      <c r="BS46" s="76" t="str">
        <f t="shared" si="31"/>
        <v/>
      </c>
      <c r="BT46" s="76" t="str">
        <f t="shared" si="31"/>
        <v/>
      </c>
      <c r="BU46" s="76" t="str">
        <f t="shared" si="31"/>
        <v/>
      </c>
      <c r="BV46" s="76" t="str">
        <f t="shared" si="31"/>
        <v/>
      </c>
      <c r="BW46" s="76" t="str">
        <f t="shared" si="31"/>
        <v/>
      </c>
      <c r="BX46" s="76" t="str">
        <f t="shared" si="31"/>
        <v/>
      </c>
      <c r="BY46" s="76" t="str">
        <f t="shared" si="31"/>
        <v/>
      </c>
      <c r="BZ46" s="76" t="str">
        <f t="shared" si="31"/>
        <v/>
      </c>
      <c r="CA46" s="76" t="str">
        <f t="shared" si="31"/>
        <v/>
      </c>
      <c r="CB46" s="76" t="str">
        <f t="shared" si="31"/>
        <v/>
      </c>
      <c r="CC46" s="76" t="str">
        <f t="shared" si="31"/>
        <v/>
      </c>
      <c r="CD46" s="76" t="str">
        <f t="shared" si="31"/>
        <v/>
      </c>
      <c r="CE46" s="76" t="str">
        <f t="shared" si="31"/>
        <v/>
      </c>
      <c r="CF46" s="76" t="str">
        <f t="shared" si="31"/>
        <v/>
      </c>
      <c r="CG46" s="76" t="str">
        <f t="shared" si="31"/>
        <v/>
      </c>
      <c r="CH46" s="76" t="str">
        <f t="shared" si="31"/>
        <v/>
      </c>
      <c r="CI46" s="76" t="str">
        <f t="shared" si="31"/>
        <v/>
      </c>
      <c r="CJ46" s="76" t="str">
        <f t="shared" si="31"/>
        <v/>
      </c>
      <c r="CK46" s="76" t="str">
        <f t="shared" si="31"/>
        <v/>
      </c>
      <c r="CL46" s="76" t="str">
        <f t="shared" si="31"/>
        <v/>
      </c>
      <c r="CM46" s="76" t="str">
        <f t="shared" si="31"/>
        <v/>
      </c>
      <c r="CN46" s="76" t="str">
        <f t="shared" si="31"/>
        <v/>
      </c>
      <c r="CO46" s="76" t="str">
        <f t="shared" si="31"/>
        <v/>
      </c>
      <c r="CP46" s="76" t="str">
        <f t="shared" si="31"/>
        <v/>
      </c>
      <c r="CQ46" s="76" t="str">
        <f t="shared" si="31"/>
        <v/>
      </c>
      <c r="CR46" s="76" t="str">
        <f t="shared" si="31"/>
        <v/>
      </c>
      <c r="CS46" s="76" t="str">
        <f t="shared" si="31"/>
        <v/>
      </c>
      <c r="CT46" s="76" t="str">
        <f t="shared" si="31"/>
        <v/>
      </c>
      <c r="CU46" s="76" t="str">
        <f t="shared" si="31"/>
        <v/>
      </c>
      <c r="CV46" s="76" t="str">
        <f t="shared" si="31"/>
        <v/>
      </c>
      <c r="CW46" s="76" t="str">
        <f t="shared" si="31"/>
        <v/>
      </c>
      <c r="CX46" s="76" t="str">
        <f t="shared" si="31"/>
        <v/>
      </c>
      <c r="CY46" s="76" t="str">
        <f t="shared" si="31"/>
        <v/>
      </c>
      <c r="CZ46" s="76" t="str">
        <f t="shared" si="31"/>
        <v/>
      </c>
      <c r="DA46" s="76" t="str">
        <f t="shared" si="31"/>
        <v/>
      </c>
      <c r="DB46" s="76" t="str">
        <f t="shared" si="31"/>
        <v/>
      </c>
      <c r="DC46" s="76" t="str">
        <f t="shared" si="31"/>
        <v/>
      </c>
      <c r="DD46" s="76" t="str">
        <f t="shared" si="31"/>
        <v/>
      </c>
      <c r="DE46" s="76" t="str">
        <f t="shared" si="31"/>
        <v/>
      </c>
      <c r="DF46" s="76" t="str">
        <f t="shared" si="31"/>
        <v/>
      </c>
      <c r="DG46" s="76" t="str">
        <f t="shared" si="31"/>
        <v/>
      </c>
      <c r="DH46" s="76" t="str">
        <f t="shared" si="31"/>
        <v/>
      </c>
      <c r="DI46" s="76" t="str">
        <f t="shared" si="31"/>
        <v/>
      </c>
      <c r="DJ46" s="76" t="str">
        <f t="shared" si="31"/>
        <v/>
      </c>
      <c r="DK46" s="76" t="str">
        <f t="shared" si="31"/>
        <v/>
      </c>
      <c r="DL46" s="76" t="str">
        <f t="shared" si="31"/>
        <v/>
      </c>
      <c r="DM46" s="76" t="str">
        <f t="shared" si="31"/>
        <v/>
      </c>
      <c r="DN46" s="76" t="str">
        <f t="shared" si="31"/>
        <v/>
      </c>
      <c r="DO46" s="76" t="str">
        <f t="shared" si="31"/>
        <v/>
      </c>
      <c r="DP46" s="76" t="str">
        <f t="shared" si="31"/>
        <v/>
      </c>
      <c r="DQ46" s="76" t="str">
        <f t="shared" si="31"/>
        <v/>
      </c>
      <c r="DR46" s="76" t="str">
        <f t="shared" si="31"/>
        <v/>
      </c>
      <c r="DS46" s="76" t="str">
        <f t="shared" si="31"/>
        <v/>
      </c>
      <c r="DT46" s="76" t="str">
        <f t="shared" si="31"/>
        <v/>
      </c>
      <c r="DU46" s="76" t="str">
        <f t="shared" si="31"/>
        <v/>
      </c>
      <c r="DV46" s="76" t="str">
        <f t="shared" si="31"/>
        <v/>
      </c>
      <c r="DW46" s="76" t="str">
        <f t="shared" si="31"/>
        <v/>
      </c>
      <c r="DX46" s="76" t="str">
        <f t="shared" si="31"/>
        <v/>
      </c>
      <c r="DY46" s="76" t="str">
        <f t="shared" si="31"/>
        <v/>
      </c>
      <c r="DZ46" s="76" t="str">
        <f t="shared" si="31"/>
        <v/>
      </c>
      <c r="EA46" s="76" t="str">
        <f t="shared" si="31"/>
        <v/>
      </c>
      <c r="EB46" s="76" t="str">
        <f t="shared" si="31"/>
        <v/>
      </c>
      <c r="EC46" s="76" t="str">
        <f t="shared" si="31"/>
        <v/>
      </c>
      <c r="ED46" s="76" t="str">
        <f t="shared" si="31"/>
        <v/>
      </c>
      <c r="EE46" s="76" t="str">
        <f t="shared" si="31"/>
        <v/>
      </c>
      <c r="EF46" s="76" t="str">
        <f t="shared" si="31"/>
        <v/>
      </c>
      <c r="EG46" s="76" t="str">
        <f t="shared" si="31"/>
        <v/>
      </c>
      <c r="EH46" s="76" t="str">
        <f t="shared" si="31"/>
        <v/>
      </c>
      <c r="EI46" s="76" t="str">
        <f t="shared" si="31"/>
        <v/>
      </c>
      <c r="EJ46" s="76" t="str">
        <f t="shared" si="31"/>
        <v/>
      </c>
      <c r="EK46" s="76" t="str">
        <f t="shared" si="31"/>
        <v/>
      </c>
      <c r="EL46" s="76" t="str">
        <f t="shared" si="31"/>
        <v/>
      </c>
      <c r="EM46" s="76" t="str">
        <f t="shared" si="31"/>
        <v/>
      </c>
      <c r="EN46" s="76" t="str">
        <f t="shared" si="31"/>
        <v/>
      </c>
      <c r="EO46" s="76" t="str">
        <f t="shared" si="31"/>
        <v/>
      </c>
      <c r="EP46" s="76" t="str">
        <f t="shared" si="31"/>
        <v/>
      </c>
      <c r="EQ46" s="76" t="str">
        <f t="shared" si="31"/>
        <v/>
      </c>
      <c r="ER46" s="76" t="str">
        <f t="shared" si="31"/>
        <v/>
      </c>
      <c r="ES46" s="76" t="str">
        <f t="shared" si="31"/>
        <v/>
      </c>
    </row>
    <row r="47" outlineLevel="1">
      <c r="A47" s="33"/>
      <c r="B47" s="58">
        <v>23.0</v>
      </c>
      <c r="C47" s="68" t="s">
        <v>166</v>
      </c>
      <c r="D47" s="68"/>
      <c r="E47" s="70">
        <f t="shared" si="30"/>
        <v>45767</v>
      </c>
      <c r="F47" s="70">
        <f t="shared" si="22"/>
        <v>45857</v>
      </c>
      <c r="G47" s="71">
        <v>90.0</v>
      </c>
      <c r="H47" s="72">
        <v>0.0</v>
      </c>
      <c r="I47" s="73" t="str">
        <f t="shared" ref="I47:ES47" si="32">IF(AND($E47&lt;=I$6,$F47&gt;=I$6),"X","")</f>
        <v/>
      </c>
      <c r="J47" s="73" t="str">
        <f t="shared" si="32"/>
        <v/>
      </c>
      <c r="K47" s="73" t="str">
        <f t="shared" si="32"/>
        <v/>
      </c>
      <c r="L47" s="73" t="str">
        <f t="shared" si="32"/>
        <v/>
      </c>
      <c r="M47" s="73" t="str">
        <f t="shared" si="32"/>
        <v/>
      </c>
      <c r="N47" s="73" t="str">
        <f t="shared" si="32"/>
        <v/>
      </c>
      <c r="O47" s="73" t="str">
        <f t="shared" si="32"/>
        <v/>
      </c>
      <c r="P47" s="73" t="str">
        <f t="shared" si="32"/>
        <v/>
      </c>
      <c r="Q47" s="73" t="str">
        <f t="shared" si="32"/>
        <v/>
      </c>
      <c r="R47" s="73" t="str">
        <f t="shared" si="32"/>
        <v/>
      </c>
      <c r="S47" s="73" t="str">
        <f t="shared" si="32"/>
        <v/>
      </c>
      <c r="T47" s="73" t="str">
        <f t="shared" si="32"/>
        <v/>
      </c>
      <c r="U47" s="73" t="str">
        <f t="shared" si="32"/>
        <v/>
      </c>
      <c r="V47" s="73" t="str">
        <f t="shared" si="32"/>
        <v/>
      </c>
      <c r="W47" s="73" t="str">
        <f t="shared" si="32"/>
        <v/>
      </c>
      <c r="X47" s="73" t="str">
        <f t="shared" si="32"/>
        <v/>
      </c>
      <c r="Y47" s="73" t="str">
        <f t="shared" si="32"/>
        <v/>
      </c>
      <c r="Z47" s="73" t="str">
        <f t="shared" si="32"/>
        <v/>
      </c>
      <c r="AA47" s="73" t="str">
        <f t="shared" si="32"/>
        <v/>
      </c>
      <c r="AB47" s="73" t="str">
        <f t="shared" si="32"/>
        <v/>
      </c>
      <c r="AC47" s="73" t="str">
        <f t="shared" si="32"/>
        <v/>
      </c>
      <c r="AD47" s="73" t="str">
        <f t="shared" si="32"/>
        <v/>
      </c>
      <c r="AE47" s="73" t="str">
        <f t="shared" si="32"/>
        <v/>
      </c>
      <c r="AF47" s="73" t="str">
        <f t="shared" si="32"/>
        <v/>
      </c>
      <c r="AG47" s="73" t="str">
        <f t="shared" si="32"/>
        <v/>
      </c>
      <c r="AH47" s="73" t="str">
        <f t="shared" si="32"/>
        <v/>
      </c>
      <c r="AI47" s="73" t="str">
        <f t="shared" si="32"/>
        <v/>
      </c>
      <c r="AJ47" s="73" t="str">
        <f t="shared" si="32"/>
        <v/>
      </c>
      <c r="AK47" s="73" t="str">
        <f t="shared" si="32"/>
        <v/>
      </c>
      <c r="AL47" s="73" t="str">
        <f t="shared" si="32"/>
        <v/>
      </c>
      <c r="AM47" s="73" t="str">
        <f t="shared" si="32"/>
        <v/>
      </c>
      <c r="AN47" s="73" t="str">
        <f t="shared" si="32"/>
        <v/>
      </c>
      <c r="AO47" s="73" t="str">
        <f t="shared" si="32"/>
        <v/>
      </c>
      <c r="AP47" s="73" t="str">
        <f t="shared" si="32"/>
        <v/>
      </c>
      <c r="AQ47" s="73" t="str">
        <f t="shared" si="32"/>
        <v/>
      </c>
      <c r="AR47" s="73" t="str">
        <f t="shared" si="32"/>
        <v/>
      </c>
      <c r="AS47" s="73" t="str">
        <f t="shared" si="32"/>
        <v/>
      </c>
      <c r="AT47" s="73" t="str">
        <f t="shared" si="32"/>
        <v/>
      </c>
      <c r="AU47" s="73" t="str">
        <f t="shared" si="32"/>
        <v/>
      </c>
      <c r="AV47" s="73" t="str">
        <f t="shared" si="32"/>
        <v/>
      </c>
      <c r="AW47" s="73" t="str">
        <f t="shared" si="32"/>
        <v/>
      </c>
      <c r="AX47" s="73" t="str">
        <f t="shared" si="32"/>
        <v/>
      </c>
      <c r="AY47" s="73" t="str">
        <f t="shared" si="32"/>
        <v/>
      </c>
      <c r="AZ47" s="73" t="str">
        <f t="shared" si="32"/>
        <v/>
      </c>
      <c r="BA47" s="73" t="str">
        <f t="shared" si="32"/>
        <v/>
      </c>
      <c r="BB47" s="73" t="str">
        <f t="shared" si="32"/>
        <v/>
      </c>
      <c r="BC47" s="73" t="str">
        <f t="shared" si="32"/>
        <v/>
      </c>
      <c r="BD47" s="73" t="str">
        <f t="shared" si="32"/>
        <v/>
      </c>
      <c r="BE47" s="73" t="str">
        <f t="shared" si="32"/>
        <v/>
      </c>
      <c r="BF47" s="73" t="str">
        <f t="shared" si="32"/>
        <v/>
      </c>
      <c r="BG47" s="73" t="str">
        <f t="shared" si="32"/>
        <v/>
      </c>
      <c r="BH47" s="73" t="str">
        <f t="shared" si="32"/>
        <v>X</v>
      </c>
      <c r="BI47" s="73" t="str">
        <f t="shared" si="32"/>
        <v>X</v>
      </c>
      <c r="BJ47" s="73" t="str">
        <f t="shared" si="32"/>
        <v>X</v>
      </c>
      <c r="BK47" s="73" t="str">
        <f t="shared" si="32"/>
        <v>X</v>
      </c>
      <c r="BL47" s="73" t="str">
        <f t="shared" si="32"/>
        <v>X</v>
      </c>
      <c r="BM47" s="73" t="str">
        <f t="shared" si="32"/>
        <v>X</v>
      </c>
      <c r="BN47" s="73" t="str">
        <f t="shared" si="32"/>
        <v>X</v>
      </c>
      <c r="BO47" s="73" t="str">
        <f t="shared" si="32"/>
        <v>X</v>
      </c>
      <c r="BP47" s="76" t="str">
        <f t="shared" si="32"/>
        <v>X</v>
      </c>
      <c r="BQ47" s="76" t="str">
        <f t="shared" si="32"/>
        <v>X</v>
      </c>
      <c r="BR47" s="76" t="str">
        <f t="shared" si="32"/>
        <v>X</v>
      </c>
      <c r="BS47" s="76" t="str">
        <f t="shared" si="32"/>
        <v>X</v>
      </c>
      <c r="BT47" s="76" t="str">
        <f t="shared" si="32"/>
        <v>X</v>
      </c>
      <c r="BU47" s="76" t="str">
        <f t="shared" si="32"/>
        <v/>
      </c>
      <c r="BV47" s="76" t="str">
        <f t="shared" si="32"/>
        <v/>
      </c>
      <c r="BW47" s="76" t="str">
        <f t="shared" si="32"/>
        <v/>
      </c>
      <c r="BX47" s="76" t="str">
        <f t="shared" si="32"/>
        <v/>
      </c>
      <c r="BY47" s="76" t="str">
        <f t="shared" si="32"/>
        <v/>
      </c>
      <c r="BZ47" s="76" t="str">
        <f t="shared" si="32"/>
        <v/>
      </c>
      <c r="CA47" s="76" t="str">
        <f t="shared" si="32"/>
        <v/>
      </c>
      <c r="CB47" s="76" t="str">
        <f t="shared" si="32"/>
        <v/>
      </c>
      <c r="CC47" s="76" t="str">
        <f t="shared" si="32"/>
        <v/>
      </c>
      <c r="CD47" s="76" t="str">
        <f t="shared" si="32"/>
        <v/>
      </c>
      <c r="CE47" s="76" t="str">
        <f t="shared" si="32"/>
        <v/>
      </c>
      <c r="CF47" s="76" t="str">
        <f t="shared" si="32"/>
        <v/>
      </c>
      <c r="CG47" s="76" t="str">
        <f t="shared" si="32"/>
        <v/>
      </c>
      <c r="CH47" s="76" t="str">
        <f t="shared" si="32"/>
        <v/>
      </c>
      <c r="CI47" s="76" t="str">
        <f t="shared" si="32"/>
        <v/>
      </c>
      <c r="CJ47" s="76" t="str">
        <f t="shared" si="32"/>
        <v/>
      </c>
      <c r="CK47" s="76" t="str">
        <f t="shared" si="32"/>
        <v/>
      </c>
      <c r="CL47" s="76" t="str">
        <f t="shared" si="32"/>
        <v/>
      </c>
      <c r="CM47" s="76" t="str">
        <f t="shared" si="32"/>
        <v/>
      </c>
      <c r="CN47" s="76" t="str">
        <f t="shared" si="32"/>
        <v/>
      </c>
      <c r="CO47" s="76" t="str">
        <f t="shared" si="32"/>
        <v/>
      </c>
      <c r="CP47" s="76" t="str">
        <f t="shared" si="32"/>
        <v/>
      </c>
      <c r="CQ47" s="76" t="str">
        <f t="shared" si="32"/>
        <v/>
      </c>
      <c r="CR47" s="76" t="str">
        <f t="shared" si="32"/>
        <v/>
      </c>
      <c r="CS47" s="76" t="str">
        <f t="shared" si="32"/>
        <v/>
      </c>
      <c r="CT47" s="76" t="str">
        <f t="shared" si="32"/>
        <v/>
      </c>
      <c r="CU47" s="76" t="str">
        <f t="shared" si="32"/>
        <v/>
      </c>
      <c r="CV47" s="76" t="str">
        <f t="shared" si="32"/>
        <v/>
      </c>
      <c r="CW47" s="76" t="str">
        <f t="shared" si="32"/>
        <v/>
      </c>
      <c r="CX47" s="76" t="str">
        <f t="shared" si="32"/>
        <v/>
      </c>
      <c r="CY47" s="76" t="str">
        <f t="shared" si="32"/>
        <v/>
      </c>
      <c r="CZ47" s="76" t="str">
        <f t="shared" si="32"/>
        <v/>
      </c>
      <c r="DA47" s="76" t="str">
        <f t="shared" si="32"/>
        <v/>
      </c>
      <c r="DB47" s="76" t="str">
        <f t="shared" si="32"/>
        <v/>
      </c>
      <c r="DC47" s="76" t="str">
        <f t="shared" si="32"/>
        <v/>
      </c>
      <c r="DD47" s="76" t="str">
        <f t="shared" si="32"/>
        <v/>
      </c>
      <c r="DE47" s="76" t="str">
        <f t="shared" si="32"/>
        <v/>
      </c>
      <c r="DF47" s="76" t="str">
        <f t="shared" si="32"/>
        <v/>
      </c>
      <c r="DG47" s="76" t="str">
        <f t="shared" si="32"/>
        <v/>
      </c>
      <c r="DH47" s="76" t="str">
        <f t="shared" si="32"/>
        <v/>
      </c>
      <c r="DI47" s="76" t="str">
        <f t="shared" si="32"/>
        <v/>
      </c>
      <c r="DJ47" s="76" t="str">
        <f t="shared" si="32"/>
        <v/>
      </c>
      <c r="DK47" s="76" t="str">
        <f t="shared" si="32"/>
        <v/>
      </c>
      <c r="DL47" s="76" t="str">
        <f t="shared" si="32"/>
        <v/>
      </c>
      <c r="DM47" s="76" t="str">
        <f t="shared" si="32"/>
        <v/>
      </c>
      <c r="DN47" s="76" t="str">
        <f t="shared" si="32"/>
        <v/>
      </c>
      <c r="DO47" s="76" t="str">
        <f t="shared" si="32"/>
        <v/>
      </c>
      <c r="DP47" s="76" t="str">
        <f t="shared" si="32"/>
        <v/>
      </c>
      <c r="DQ47" s="76" t="str">
        <f t="shared" si="32"/>
        <v/>
      </c>
      <c r="DR47" s="76" t="str">
        <f t="shared" si="32"/>
        <v/>
      </c>
      <c r="DS47" s="76" t="str">
        <f t="shared" si="32"/>
        <v/>
      </c>
      <c r="DT47" s="76" t="str">
        <f t="shared" si="32"/>
        <v/>
      </c>
      <c r="DU47" s="76" t="str">
        <f t="shared" si="32"/>
        <v/>
      </c>
      <c r="DV47" s="76" t="str">
        <f t="shared" si="32"/>
        <v/>
      </c>
      <c r="DW47" s="76" t="str">
        <f t="shared" si="32"/>
        <v/>
      </c>
      <c r="DX47" s="76" t="str">
        <f t="shared" si="32"/>
        <v/>
      </c>
      <c r="DY47" s="76" t="str">
        <f t="shared" si="32"/>
        <v/>
      </c>
      <c r="DZ47" s="76" t="str">
        <f t="shared" si="32"/>
        <v/>
      </c>
      <c r="EA47" s="76" t="str">
        <f t="shared" si="32"/>
        <v/>
      </c>
      <c r="EB47" s="76" t="str">
        <f t="shared" si="32"/>
        <v/>
      </c>
      <c r="EC47" s="76" t="str">
        <f t="shared" si="32"/>
        <v/>
      </c>
      <c r="ED47" s="76" t="str">
        <f t="shared" si="32"/>
        <v/>
      </c>
      <c r="EE47" s="76" t="str">
        <f t="shared" si="32"/>
        <v/>
      </c>
      <c r="EF47" s="76" t="str">
        <f t="shared" si="32"/>
        <v/>
      </c>
      <c r="EG47" s="76" t="str">
        <f t="shared" si="32"/>
        <v/>
      </c>
      <c r="EH47" s="76" t="str">
        <f t="shared" si="32"/>
        <v/>
      </c>
      <c r="EI47" s="76" t="str">
        <f t="shared" si="32"/>
        <v/>
      </c>
      <c r="EJ47" s="76" t="str">
        <f t="shared" si="32"/>
        <v/>
      </c>
      <c r="EK47" s="76" t="str">
        <f t="shared" si="32"/>
        <v/>
      </c>
      <c r="EL47" s="76" t="str">
        <f t="shared" si="32"/>
        <v/>
      </c>
      <c r="EM47" s="76" t="str">
        <f t="shared" si="32"/>
        <v/>
      </c>
      <c r="EN47" s="76" t="str">
        <f t="shared" si="32"/>
        <v/>
      </c>
      <c r="EO47" s="76" t="str">
        <f t="shared" si="32"/>
        <v/>
      </c>
      <c r="EP47" s="76" t="str">
        <f t="shared" si="32"/>
        <v/>
      </c>
      <c r="EQ47" s="76" t="str">
        <f t="shared" si="32"/>
        <v/>
      </c>
      <c r="ER47" s="76" t="str">
        <f t="shared" si="32"/>
        <v/>
      </c>
      <c r="ES47" s="76" t="str">
        <f t="shared" si="32"/>
        <v/>
      </c>
    </row>
    <row r="48" outlineLevel="1">
      <c r="A48" s="33"/>
      <c r="B48" s="58">
        <v>24.0</v>
      </c>
      <c r="C48" s="68" t="s">
        <v>167</v>
      </c>
      <c r="D48" s="68"/>
      <c r="E48" s="70">
        <f t="shared" si="30"/>
        <v>45857</v>
      </c>
      <c r="F48" s="70">
        <f t="shared" si="22"/>
        <v>45977</v>
      </c>
      <c r="G48" s="71">
        <v>120.0</v>
      </c>
      <c r="H48" s="72">
        <v>0.0</v>
      </c>
      <c r="I48" s="73" t="str">
        <f t="shared" ref="I48:ES48" si="33">IF(AND($E48&lt;=I$6,$F48&gt;=I$6),"X","")</f>
        <v/>
      </c>
      <c r="J48" s="73" t="str">
        <f t="shared" si="33"/>
        <v/>
      </c>
      <c r="K48" s="73" t="str">
        <f t="shared" si="33"/>
        <v/>
      </c>
      <c r="L48" s="73" t="str">
        <f t="shared" si="33"/>
        <v/>
      </c>
      <c r="M48" s="73" t="str">
        <f t="shared" si="33"/>
        <v/>
      </c>
      <c r="N48" s="73" t="str">
        <f t="shared" si="33"/>
        <v/>
      </c>
      <c r="O48" s="73" t="str">
        <f t="shared" si="33"/>
        <v/>
      </c>
      <c r="P48" s="73" t="str">
        <f t="shared" si="33"/>
        <v/>
      </c>
      <c r="Q48" s="73" t="str">
        <f t="shared" si="33"/>
        <v/>
      </c>
      <c r="R48" s="73" t="str">
        <f t="shared" si="33"/>
        <v/>
      </c>
      <c r="S48" s="73" t="str">
        <f t="shared" si="33"/>
        <v/>
      </c>
      <c r="T48" s="73" t="str">
        <f t="shared" si="33"/>
        <v/>
      </c>
      <c r="U48" s="73" t="str">
        <f t="shared" si="33"/>
        <v/>
      </c>
      <c r="V48" s="73" t="str">
        <f t="shared" si="33"/>
        <v/>
      </c>
      <c r="W48" s="73" t="str">
        <f t="shared" si="33"/>
        <v/>
      </c>
      <c r="X48" s="73" t="str">
        <f t="shared" si="33"/>
        <v/>
      </c>
      <c r="Y48" s="73" t="str">
        <f t="shared" si="33"/>
        <v/>
      </c>
      <c r="Z48" s="73" t="str">
        <f t="shared" si="33"/>
        <v/>
      </c>
      <c r="AA48" s="73" t="str">
        <f t="shared" si="33"/>
        <v/>
      </c>
      <c r="AB48" s="73" t="str">
        <f t="shared" si="33"/>
        <v/>
      </c>
      <c r="AC48" s="73" t="str">
        <f t="shared" si="33"/>
        <v/>
      </c>
      <c r="AD48" s="73" t="str">
        <f t="shared" si="33"/>
        <v/>
      </c>
      <c r="AE48" s="73" t="str">
        <f t="shared" si="33"/>
        <v/>
      </c>
      <c r="AF48" s="73" t="str">
        <f t="shared" si="33"/>
        <v/>
      </c>
      <c r="AG48" s="73" t="str">
        <f t="shared" si="33"/>
        <v/>
      </c>
      <c r="AH48" s="73" t="str">
        <f t="shared" si="33"/>
        <v/>
      </c>
      <c r="AI48" s="73" t="str">
        <f t="shared" si="33"/>
        <v/>
      </c>
      <c r="AJ48" s="73" t="str">
        <f t="shared" si="33"/>
        <v/>
      </c>
      <c r="AK48" s="73" t="str">
        <f t="shared" si="33"/>
        <v/>
      </c>
      <c r="AL48" s="73" t="str">
        <f t="shared" si="33"/>
        <v/>
      </c>
      <c r="AM48" s="73" t="str">
        <f t="shared" si="33"/>
        <v/>
      </c>
      <c r="AN48" s="73" t="str">
        <f t="shared" si="33"/>
        <v/>
      </c>
      <c r="AO48" s="73" t="str">
        <f t="shared" si="33"/>
        <v/>
      </c>
      <c r="AP48" s="73" t="str">
        <f t="shared" si="33"/>
        <v/>
      </c>
      <c r="AQ48" s="73" t="str">
        <f t="shared" si="33"/>
        <v/>
      </c>
      <c r="AR48" s="73" t="str">
        <f t="shared" si="33"/>
        <v/>
      </c>
      <c r="AS48" s="73" t="str">
        <f t="shared" si="33"/>
        <v/>
      </c>
      <c r="AT48" s="73" t="str">
        <f t="shared" si="33"/>
        <v/>
      </c>
      <c r="AU48" s="73" t="str">
        <f t="shared" si="33"/>
        <v/>
      </c>
      <c r="AV48" s="73" t="str">
        <f t="shared" si="33"/>
        <v/>
      </c>
      <c r="AW48" s="73" t="str">
        <f t="shared" si="33"/>
        <v/>
      </c>
      <c r="AX48" s="73" t="str">
        <f t="shared" si="33"/>
        <v/>
      </c>
      <c r="AY48" s="73" t="str">
        <f t="shared" si="33"/>
        <v/>
      </c>
      <c r="AZ48" s="73" t="str">
        <f t="shared" si="33"/>
        <v/>
      </c>
      <c r="BA48" s="73" t="str">
        <f t="shared" si="33"/>
        <v/>
      </c>
      <c r="BB48" s="73" t="str">
        <f t="shared" si="33"/>
        <v/>
      </c>
      <c r="BC48" s="73" t="str">
        <f t="shared" si="33"/>
        <v/>
      </c>
      <c r="BD48" s="73" t="str">
        <f t="shared" si="33"/>
        <v/>
      </c>
      <c r="BE48" s="73" t="str">
        <f t="shared" si="33"/>
        <v/>
      </c>
      <c r="BF48" s="73" t="str">
        <f t="shared" si="33"/>
        <v/>
      </c>
      <c r="BG48" s="73" t="str">
        <f t="shared" si="33"/>
        <v/>
      </c>
      <c r="BH48" s="73" t="str">
        <f t="shared" si="33"/>
        <v/>
      </c>
      <c r="BI48" s="73" t="str">
        <f t="shared" si="33"/>
        <v/>
      </c>
      <c r="BJ48" s="73" t="str">
        <f t="shared" si="33"/>
        <v/>
      </c>
      <c r="BK48" s="73" t="str">
        <f t="shared" si="33"/>
        <v/>
      </c>
      <c r="BL48" s="73" t="str">
        <f t="shared" si="33"/>
        <v/>
      </c>
      <c r="BM48" s="73" t="str">
        <f t="shared" si="33"/>
        <v/>
      </c>
      <c r="BN48" s="73" t="str">
        <f t="shared" si="33"/>
        <v/>
      </c>
      <c r="BO48" s="73" t="str">
        <f t="shared" si="33"/>
        <v/>
      </c>
      <c r="BP48" s="76" t="str">
        <f t="shared" si="33"/>
        <v/>
      </c>
      <c r="BQ48" s="76" t="str">
        <f t="shared" si="33"/>
        <v/>
      </c>
      <c r="BR48" s="76" t="str">
        <f t="shared" si="33"/>
        <v/>
      </c>
      <c r="BS48" s="76" t="str">
        <f t="shared" si="33"/>
        <v/>
      </c>
      <c r="BT48" s="76" t="str">
        <f t="shared" si="33"/>
        <v/>
      </c>
      <c r="BU48" s="76" t="str">
        <f t="shared" si="33"/>
        <v>X</v>
      </c>
      <c r="BV48" s="76" t="str">
        <f t="shared" si="33"/>
        <v>X</v>
      </c>
      <c r="BW48" s="76" t="str">
        <f t="shared" si="33"/>
        <v>X</v>
      </c>
      <c r="BX48" s="76" t="str">
        <f t="shared" si="33"/>
        <v>X</v>
      </c>
      <c r="BY48" s="76" t="str">
        <f t="shared" si="33"/>
        <v>X</v>
      </c>
      <c r="BZ48" s="76" t="str">
        <f t="shared" si="33"/>
        <v>X</v>
      </c>
      <c r="CA48" s="76" t="str">
        <f t="shared" si="33"/>
        <v>X</v>
      </c>
      <c r="CB48" s="76" t="str">
        <f t="shared" si="33"/>
        <v>X</v>
      </c>
      <c r="CC48" s="76" t="str">
        <f t="shared" si="33"/>
        <v>X</v>
      </c>
      <c r="CD48" s="76" t="str">
        <f t="shared" si="33"/>
        <v>X</v>
      </c>
      <c r="CE48" s="76" t="str">
        <f t="shared" si="33"/>
        <v>X</v>
      </c>
      <c r="CF48" s="76" t="str">
        <f t="shared" si="33"/>
        <v>X</v>
      </c>
      <c r="CG48" s="76" t="str">
        <f t="shared" si="33"/>
        <v>X</v>
      </c>
      <c r="CH48" s="76" t="str">
        <f t="shared" si="33"/>
        <v>X</v>
      </c>
      <c r="CI48" s="76" t="str">
        <f t="shared" si="33"/>
        <v>X</v>
      </c>
      <c r="CJ48" s="76" t="str">
        <f t="shared" si="33"/>
        <v>X</v>
      </c>
      <c r="CK48" s="76" t="str">
        <f t="shared" si="33"/>
        <v>X</v>
      </c>
      <c r="CL48" s="76" t="str">
        <f t="shared" si="33"/>
        <v/>
      </c>
      <c r="CM48" s="76" t="str">
        <f t="shared" si="33"/>
        <v/>
      </c>
      <c r="CN48" s="76" t="str">
        <f t="shared" si="33"/>
        <v/>
      </c>
      <c r="CO48" s="76" t="str">
        <f t="shared" si="33"/>
        <v/>
      </c>
      <c r="CP48" s="76" t="str">
        <f t="shared" si="33"/>
        <v/>
      </c>
      <c r="CQ48" s="76" t="str">
        <f t="shared" si="33"/>
        <v/>
      </c>
      <c r="CR48" s="76" t="str">
        <f t="shared" si="33"/>
        <v/>
      </c>
      <c r="CS48" s="76" t="str">
        <f t="shared" si="33"/>
        <v/>
      </c>
      <c r="CT48" s="76" t="str">
        <f t="shared" si="33"/>
        <v/>
      </c>
      <c r="CU48" s="76" t="str">
        <f t="shared" si="33"/>
        <v/>
      </c>
      <c r="CV48" s="76" t="str">
        <f t="shared" si="33"/>
        <v/>
      </c>
      <c r="CW48" s="76" t="str">
        <f t="shared" si="33"/>
        <v/>
      </c>
      <c r="CX48" s="76" t="str">
        <f t="shared" si="33"/>
        <v/>
      </c>
      <c r="CY48" s="76" t="str">
        <f t="shared" si="33"/>
        <v/>
      </c>
      <c r="CZ48" s="76" t="str">
        <f t="shared" si="33"/>
        <v/>
      </c>
      <c r="DA48" s="76" t="str">
        <f t="shared" si="33"/>
        <v/>
      </c>
      <c r="DB48" s="76" t="str">
        <f t="shared" si="33"/>
        <v/>
      </c>
      <c r="DC48" s="76" t="str">
        <f t="shared" si="33"/>
        <v/>
      </c>
      <c r="DD48" s="76" t="str">
        <f t="shared" si="33"/>
        <v/>
      </c>
      <c r="DE48" s="76" t="str">
        <f t="shared" si="33"/>
        <v/>
      </c>
      <c r="DF48" s="76" t="str">
        <f t="shared" si="33"/>
        <v/>
      </c>
      <c r="DG48" s="76" t="str">
        <f t="shared" si="33"/>
        <v/>
      </c>
      <c r="DH48" s="76" t="str">
        <f t="shared" si="33"/>
        <v/>
      </c>
      <c r="DI48" s="76" t="str">
        <f t="shared" si="33"/>
        <v/>
      </c>
      <c r="DJ48" s="76" t="str">
        <f t="shared" si="33"/>
        <v/>
      </c>
      <c r="DK48" s="76" t="str">
        <f t="shared" si="33"/>
        <v/>
      </c>
      <c r="DL48" s="76" t="str">
        <f t="shared" si="33"/>
        <v/>
      </c>
      <c r="DM48" s="76" t="str">
        <f t="shared" si="33"/>
        <v/>
      </c>
      <c r="DN48" s="76" t="str">
        <f t="shared" si="33"/>
        <v/>
      </c>
      <c r="DO48" s="76" t="str">
        <f t="shared" si="33"/>
        <v/>
      </c>
      <c r="DP48" s="76" t="str">
        <f t="shared" si="33"/>
        <v/>
      </c>
      <c r="DQ48" s="76" t="str">
        <f t="shared" si="33"/>
        <v/>
      </c>
      <c r="DR48" s="76" t="str">
        <f t="shared" si="33"/>
        <v/>
      </c>
      <c r="DS48" s="76" t="str">
        <f t="shared" si="33"/>
        <v/>
      </c>
      <c r="DT48" s="76" t="str">
        <f t="shared" si="33"/>
        <v/>
      </c>
      <c r="DU48" s="76" t="str">
        <f t="shared" si="33"/>
        <v/>
      </c>
      <c r="DV48" s="76" t="str">
        <f t="shared" si="33"/>
        <v/>
      </c>
      <c r="DW48" s="76" t="str">
        <f t="shared" si="33"/>
        <v/>
      </c>
      <c r="DX48" s="76" t="str">
        <f t="shared" si="33"/>
        <v/>
      </c>
      <c r="DY48" s="76" t="str">
        <f t="shared" si="33"/>
        <v/>
      </c>
      <c r="DZ48" s="76" t="str">
        <f t="shared" si="33"/>
        <v/>
      </c>
      <c r="EA48" s="76" t="str">
        <f t="shared" si="33"/>
        <v/>
      </c>
      <c r="EB48" s="76" t="str">
        <f t="shared" si="33"/>
        <v/>
      </c>
      <c r="EC48" s="76" t="str">
        <f t="shared" si="33"/>
        <v/>
      </c>
      <c r="ED48" s="76" t="str">
        <f t="shared" si="33"/>
        <v/>
      </c>
      <c r="EE48" s="76" t="str">
        <f t="shared" si="33"/>
        <v/>
      </c>
      <c r="EF48" s="76" t="str">
        <f t="shared" si="33"/>
        <v/>
      </c>
      <c r="EG48" s="76" t="str">
        <f t="shared" si="33"/>
        <v/>
      </c>
      <c r="EH48" s="76" t="str">
        <f t="shared" si="33"/>
        <v/>
      </c>
      <c r="EI48" s="76" t="str">
        <f t="shared" si="33"/>
        <v/>
      </c>
      <c r="EJ48" s="76" t="str">
        <f t="shared" si="33"/>
        <v/>
      </c>
      <c r="EK48" s="76" t="str">
        <f t="shared" si="33"/>
        <v/>
      </c>
      <c r="EL48" s="76" t="str">
        <f t="shared" si="33"/>
        <v/>
      </c>
      <c r="EM48" s="76" t="str">
        <f t="shared" si="33"/>
        <v/>
      </c>
      <c r="EN48" s="76" t="str">
        <f t="shared" si="33"/>
        <v/>
      </c>
      <c r="EO48" s="76" t="str">
        <f t="shared" si="33"/>
        <v/>
      </c>
      <c r="EP48" s="76" t="str">
        <f t="shared" si="33"/>
        <v/>
      </c>
      <c r="EQ48" s="76" t="str">
        <f t="shared" si="33"/>
        <v/>
      </c>
      <c r="ER48" s="76" t="str">
        <f t="shared" si="33"/>
        <v/>
      </c>
      <c r="ES48" s="76" t="str">
        <f t="shared" si="33"/>
        <v/>
      </c>
    </row>
    <row r="49" outlineLevel="1">
      <c r="A49" s="33"/>
      <c r="B49" s="58">
        <v>25.0</v>
      </c>
      <c r="C49" s="68" t="s">
        <v>168</v>
      </c>
      <c r="D49" s="68"/>
      <c r="E49" s="70">
        <f>F44</f>
        <v>45739</v>
      </c>
      <c r="F49" s="70">
        <f t="shared" si="22"/>
        <v>45799</v>
      </c>
      <c r="G49" s="71">
        <v>60.0</v>
      </c>
      <c r="H49" s="72">
        <v>0.0</v>
      </c>
      <c r="I49" s="73" t="str">
        <f t="shared" ref="I49:ES49" si="34">IF(AND($E49&lt;=I$6,$F49&gt;=I$6),"X","")</f>
        <v/>
      </c>
      <c r="J49" s="73" t="str">
        <f t="shared" si="34"/>
        <v/>
      </c>
      <c r="K49" s="73" t="str">
        <f t="shared" si="34"/>
        <v/>
      </c>
      <c r="L49" s="73" t="str">
        <f t="shared" si="34"/>
        <v/>
      </c>
      <c r="M49" s="73" t="str">
        <f t="shared" si="34"/>
        <v/>
      </c>
      <c r="N49" s="73" t="str">
        <f t="shared" si="34"/>
        <v/>
      </c>
      <c r="O49" s="73" t="str">
        <f t="shared" si="34"/>
        <v/>
      </c>
      <c r="P49" s="73" t="str">
        <f t="shared" si="34"/>
        <v/>
      </c>
      <c r="Q49" s="73" t="str">
        <f t="shared" si="34"/>
        <v/>
      </c>
      <c r="R49" s="73" t="str">
        <f t="shared" si="34"/>
        <v/>
      </c>
      <c r="S49" s="73" t="str">
        <f t="shared" si="34"/>
        <v/>
      </c>
      <c r="T49" s="73" t="str">
        <f t="shared" si="34"/>
        <v/>
      </c>
      <c r="U49" s="73" t="str">
        <f t="shared" si="34"/>
        <v/>
      </c>
      <c r="V49" s="73" t="str">
        <f t="shared" si="34"/>
        <v/>
      </c>
      <c r="W49" s="73" t="str">
        <f t="shared" si="34"/>
        <v/>
      </c>
      <c r="X49" s="73" t="str">
        <f t="shared" si="34"/>
        <v/>
      </c>
      <c r="Y49" s="73" t="str">
        <f t="shared" si="34"/>
        <v/>
      </c>
      <c r="Z49" s="73" t="str">
        <f t="shared" si="34"/>
        <v/>
      </c>
      <c r="AA49" s="73" t="str">
        <f t="shared" si="34"/>
        <v/>
      </c>
      <c r="AB49" s="73" t="str">
        <f t="shared" si="34"/>
        <v/>
      </c>
      <c r="AC49" s="73" t="str">
        <f t="shared" si="34"/>
        <v/>
      </c>
      <c r="AD49" s="73" t="str">
        <f t="shared" si="34"/>
        <v/>
      </c>
      <c r="AE49" s="73" t="str">
        <f t="shared" si="34"/>
        <v/>
      </c>
      <c r="AF49" s="73" t="str">
        <f t="shared" si="34"/>
        <v/>
      </c>
      <c r="AG49" s="73" t="str">
        <f t="shared" si="34"/>
        <v/>
      </c>
      <c r="AH49" s="73" t="str">
        <f t="shared" si="34"/>
        <v/>
      </c>
      <c r="AI49" s="73" t="str">
        <f t="shared" si="34"/>
        <v/>
      </c>
      <c r="AJ49" s="73" t="str">
        <f t="shared" si="34"/>
        <v/>
      </c>
      <c r="AK49" s="73" t="str">
        <f t="shared" si="34"/>
        <v/>
      </c>
      <c r="AL49" s="73" t="str">
        <f t="shared" si="34"/>
        <v/>
      </c>
      <c r="AM49" s="73" t="str">
        <f t="shared" si="34"/>
        <v/>
      </c>
      <c r="AN49" s="73" t="str">
        <f t="shared" si="34"/>
        <v/>
      </c>
      <c r="AO49" s="73" t="str">
        <f t="shared" si="34"/>
        <v/>
      </c>
      <c r="AP49" s="73" t="str">
        <f t="shared" si="34"/>
        <v/>
      </c>
      <c r="AQ49" s="73" t="str">
        <f t="shared" si="34"/>
        <v/>
      </c>
      <c r="AR49" s="73" t="str">
        <f t="shared" si="34"/>
        <v/>
      </c>
      <c r="AS49" s="73" t="str">
        <f t="shared" si="34"/>
        <v/>
      </c>
      <c r="AT49" s="73" t="str">
        <f t="shared" si="34"/>
        <v/>
      </c>
      <c r="AU49" s="73" t="str">
        <f t="shared" si="34"/>
        <v/>
      </c>
      <c r="AV49" s="73" t="str">
        <f t="shared" si="34"/>
        <v/>
      </c>
      <c r="AW49" s="73" t="str">
        <f t="shared" si="34"/>
        <v/>
      </c>
      <c r="AX49" s="73" t="str">
        <f t="shared" si="34"/>
        <v/>
      </c>
      <c r="AY49" s="73" t="str">
        <f t="shared" si="34"/>
        <v/>
      </c>
      <c r="AZ49" s="73" t="str">
        <f t="shared" si="34"/>
        <v/>
      </c>
      <c r="BA49" s="73" t="str">
        <f t="shared" si="34"/>
        <v/>
      </c>
      <c r="BB49" s="73" t="str">
        <f t="shared" si="34"/>
        <v/>
      </c>
      <c r="BC49" s="73" t="str">
        <f t="shared" si="34"/>
        <v/>
      </c>
      <c r="BD49" s="73" t="str">
        <f t="shared" si="34"/>
        <v>X</v>
      </c>
      <c r="BE49" s="73" t="str">
        <f t="shared" si="34"/>
        <v>X</v>
      </c>
      <c r="BF49" s="73" t="str">
        <f t="shared" si="34"/>
        <v>X</v>
      </c>
      <c r="BG49" s="73" t="str">
        <f t="shared" si="34"/>
        <v>X</v>
      </c>
      <c r="BH49" s="73" t="str">
        <f t="shared" si="34"/>
        <v>X</v>
      </c>
      <c r="BI49" s="73" t="str">
        <f t="shared" si="34"/>
        <v>X</v>
      </c>
      <c r="BJ49" s="73" t="str">
        <f t="shared" si="34"/>
        <v>X</v>
      </c>
      <c r="BK49" s="73" t="str">
        <f t="shared" si="34"/>
        <v>X</v>
      </c>
      <c r="BL49" s="73" t="str">
        <f t="shared" si="34"/>
        <v>X</v>
      </c>
      <c r="BM49" s="73" t="str">
        <f t="shared" si="34"/>
        <v/>
      </c>
      <c r="BN49" s="73" t="str">
        <f t="shared" si="34"/>
        <v/>
      </c>
      <c r="BO49" s="73" t="str">
        <f t="shared" si="34"/>
        <v/>
      </c>
      <c r="BP49" s="76" t="str">
        <f t="shared" si="34"/>
        <v/>
      </c>
      <c r="BQ49" s="76" t="str">
        <f t="shared" si="34"/>
        <v/>
      </c>
      <c r="BR49" s="76" t="str">
        <f t="shared" si="34"/>
        <v/>
      </c>
      <c r="BS49" s="76" t="str">
        <f t="shared" si="34"/>
        <v/>
      </c>
      <c r="BT49" s="76" t="str">
        <f t="shared" si="34"/>
        <v/>
      </c>
      <c r="BU49" s="76" t="str">
        <f t="shared" si="34"/>
        <v/>
      </c>
      <c r="BV49" s="76" t="str">
        <f t="shared" si="34"/>
        <v/>
      </c>
      <c r="BW49" s="76" t="str">
        <f t="shared" si="34"/>
        <v/>
      </c>
      <c r="BX49" s="76" t="str">
        <f t="shared" si="34"/>
        <v/>
      </c>
      <c r="BY49" s="76" t="str">
        <f t="shared" si="34"/>
        <v/>
      </c>
      <c r="BZ49" s="76" t="str">
        <f t="shared" si="34"/>
        <v/>
      </c>
      <c r="CA49" s="76" t="str">
        <f t="shared" si="34"/>
        <v/>
      </c>
      <c r="CB49" s="76" t="str">
        <f t="shared" si="34"/>
        <v/>
      </c>
      <c r="CC49" s="76" t="str">
        <f t="shared" si="34"/>
        <v/>
      </c>
      <c r="CD49" s="76" t="str">
        <f t="shared" si="34"/>
        <v/>
      </c>
      <c r="CE49" s="76" t="str">
        <f t="shared" si="34"/>
        <v/>
      </c>
      <c r="CF49" s="76" t="str">
        <f t="shared" si="34"/>
        <v/>
      </c>
      <c r="CG49" s="76" t="str">
        <f t="shared" si="34"/>
        <v/>
      </c>
      <c r="CH49" s="76" t="str">
        <f t="shared" si="34"/>
        <v/>
      </c>
      <c r="CI49" s="76" t="str">
        <f t="shared" si="34"/>
        <v/>
      </c>
      <c r="CJ49" s="76" t="str">
        <f t="shared" si="34"/>
        <v/>
      </c>
      <c r="CK49" s="76" t="str">
        <f t="shared" si="34"/>
        <v/>
      </c>
      <c r="CL49" s="76" t="str">
        <f t="shared" si="34"/>
        <v/>
      </c>
      <c r="CM49" s="76" t="str">
        <f t="shared" si="34"/>
        <v/>
      </c>
      <c r="CN49" s="76" t="str">
        <f t="shared" si="34"/>
        <v/>
      </c>
      <c r="CO49" s="76" t="str">
        <f t="shared" si="34"/>
        <v/>
      </c>
      <c r="CP49" s="76" t="str">
        <f t="shared" si="34"/>
        <v/>
      </c>
      <c r="CQ49" s="76" t="str">
        <f t="shared" si="34"/>
        <v/>
      </c>
      <c r="CR49" s="76" t="str">
        <f t="shared" si="34"/>
        <v/>
      </c>
      <c r="CS49" s="76" t="str">
        <f t="shared" si="34"/>
        <v/>
      </c>
      <c r="CT49" s="76" t="str">
        <f t="shared" si="34"/>
        <v/>
      </c>
      <c r="CU49" s="76" t="str">
        <f t="shared" si="34"/>
        <v/>
      </c>
      <c r="CV49" s="76" t="str">
        <f t="shared" si="34"/>
        <v/>
      </c>
      <c r="CW49" s="76" t="str">
        <f t="shared" si="34"/>
        <v/>
      </c>
      <c r="CX49" s="76" t="str">
        <f t="shared" si="34"/>
        <v/>
      </c>
      <c r="CY49" s="76" t="str">
        <f t="shared" si="34"/>
        <v/>
      </c>
      <c r="CZ49" s="76" t="str">
        <f t="shared" si="34"/>
        <v/>
      </c>
      <c r="DA49" s="76" t="str">
        <f t="shared" si="34"/>
        <v/>
      </c>
      <c r="DB49" s="76" t="str">
        <f t="shared" si="34"/>
        <v/>
      </c>
      <c r="DC49" s="76" t="str">
        <f t="shared" si="34"/>
        <v/>
      </c>
      <c r="DD49" s="76" t="str">
        <f t="shared" si="34"/>
        <v/>
      </c>
      <c r="DE49" s="76" t="str">
        <f t="shared" si="34"/>
        <v/>
      </c>
      <c r="DF49" s="76" t="str">
        <f t="shared" si="34"/>
        <v/>
      </c>
      <c r="DG49" s="76" t="str">
        <f t="shared" si="34"/>
        <v/>
      </c>
      <c r="DH49" s="76" t="str">
        <f t="shared" si="34"/>
        <v/>
      </c>
      <c r="DI49" s="76" t="str">
        <f t="shared" si="34"/>
        <v/>
      </c>
      <c r="DJ49" s="76" t="str">
        <f t="shared" si="34"/>
        <v/>
      </c>
      <c r="DK49" s="76" t="str">
        <f t="shared" si="34"/>
        <v/>
      </c>
      <c r="DL49" s="76" t="str">
        <f t="shared" si="34"/>
        <v/>
      </c>
      <c r="DM49" s="76" t="str">
        <f t="shared" si="34"/>
        <v/>
      </c>
      <c r="DN49" s="76" t="str">
        <f t="shared" si="34"/>
        <v/>
      </c>
      <c r="DO49" s="76" t="str">
        <f t="shared" si="34"/>
        <v/>
      </c>
      <c r="DP49" s="76" t="str">
        <f t="shared" si="34"/>
        <v/>
      </c>
      <c r="DQ49" s="76" t="str">
        <f t="shared" si="34"/>
        <v/>
      </c>
      <c r="DR49" s="76" t="str">
        <f t="shared" si="34"/>
        <v/>
      </c>
      <c r="DS49" s="76" t="str">
        <f t="shared" si="34"/>
        <v/>
      </c>
      <c r="DT49" s="76" t="str">
        <f t="shared" si="34"/>
        <v/>
      </c>
      <c r="DU49" s="76" t="str">
        <f t="shared" si="34"/>
        <v/>
      </c>
      <c r="DV49" s="76" t="str">
        <f t="shared" si="34"/>
        <v/>
      </c>
      <c r="DW49" s="76" t="str">
        <f t="shared" si="34"/>
        <v/>
      </c>
      <c r="DX49" s="76" t="str">
        <f t="shared" si="34"/>
        <v/>
      </c>
      <c r="DY49" s="76" t="str">
        <f t="shared" si="34"/>
        <v/>
      </c>
      <c r="DZ49" s="76" t="str">
        <f t="shared" si="34"/>
        <v/>
      </c>
      <c r="EA49" s="76" t="str">
        <f t="shared" si="34"/>
        <v/>
      </c>
      <c r="EB49" s="76" t="str">
        <f t="shared" si="34"/>
        <v/>
      </c>
      <c r="EC49" s="76" t="str">
        <f t="shared" si="34"/>
        <v/>
      </c>
      <c r="ED49" s="76" t="str">
        <f t="shared" si="34"/>
        <v/>
      </c>
      <c r="EE49" s="76" t="str">
        <f t="shared" si="34"/>
        <v/>
      </c>
      <c r="EF49" s="76" t="str">
        <f t="shared" si="34"/>
        <v/>
      </c>
      <c r="EG49" s="76" t="str">
        <f t="shared" si="34"/>
        <v/>
      </c>
      <c r="EH49" s="76" t="str">
        <f t="shared" si="34"/>
        <v/>
      </c>
      <c r="EI49" s="76" t="str">
        <f t="shared" si="34"/>
        <v/>
      </c>
      <c r="EJ49" s="76" t="str">
        <f t="shared" si="34"/>
        <v/>
      </c>
      <c r="EK49" s="76" t="str">
        <f t="shared" si="34"/>
        <v/>
      </c>
      <c r="EL49" s="76" t="str">
        <f t="shared" si="34"/>
        <v/>
      </c>
      <c r="EM49" s="76" t="str">
        <f t="shared" si="34"/>
        <v/>
      </c>
      <c r="EN49" s="76" t="str">
        <f t="shared" si="34"/>
        <v/>
      </c>
      <c r="EO49" s="76" t="str">
        <f t="shared" si="34"/>
        <v/>
      </c>
      <c r="EP49" s="76" t="str">
        <f t="shared" si="34"/>
        <v/>
      </c>
      <c r="EQ49" s="76" t="str">
        <f t="shared" si="34"/>
        <v/>
      </c>
      <c r="ER49" s="76" t="str">
        <f t="shared" si="34"/>
        <v/>
      </c>
      <c r="ES49" s="76" t="str">
        <f t="shared" si="34"/>
        <v/>
      </c>
    </row>
    <row r="50" outlineLevel="1">
      <c r="A50" s="33"/>
      <c r="B50" s="58">
        <v>26.0</v>
      </c>
      <c r="C50" s="68" t="s">
        <v>76</v>
      </c>
      <c r="D50" s="68"/>
      <c r="E50" s="70">
        <f>F49</f>
        <v>45799</v>
      </c>
      <c r="F50" s="70">
        <f t="shared" si="22"/>
        <v>45814</v>
      </c>
      <c r="G50" s="71">
        <v>15.0</v>
      </c>
      <c r="H50" s="72">
        <v>0.0</v>
      </c>
      <c r="I50" s="73" t="str">
        <f t="shared" ref="I50:ES50" si="35">IF(AND($E50&lt;=I$6,$F50&gt;=I$6),"X","")</f>
        <v/>
      </c>
      <c r="J50" s="73" t="str">
        <f t="shared" si="35"/>
        <v/>
      </c>
      <c r="K50" s="73" t="str">
        <f t="shared" si="35"/>
        <v/>
      </c>
      <c r="L50" s="73" t="str">
        <f t="shared" si="35"/>
        <v/>
      </c>
      <c r="M50" s="73" t="str">
        <f t="shared" si="35"/>
        <v/>
      </c>
      <c r="N50" s="73" t="str">
        <f t="shared" si="35"/>
        <v/>
      </c>
      <c r="O50" s="73" t="str">
        <f t="shared" si="35"/>
        <v/>
      </c>
      <c r="P50" s="73" t="str">
        <f t="shared" si="35"/>
        <v/>
      </c>
      <c r="Q50" s="73" t="str">
        <f t="shared" si="35"/>
        <v/>
      </c>
      <c r="R50" s="73" t="str">
        <f t="shared" si="35"/>
        <v/>
      </c>
      <c r="S50" s="73" t="str">
        <f t="shared" si="35"/>
        <v/>
      </c>
      <c r="T50" s="73" t="str">
        <f t="shared" si="35"/>
        <v/>
      </c>
      <c r="U50" s="73" t="str">
        <f t="shared" si="35"/>
        <v/>
      </c>
      <c r="V50" s="73" t="str">
        <f t="shared" si="35"/>
        <v/>
      </c>
      <c r="W50" s="73" t="str">
        <f t="shared" si="35"/>
        <v/>
      </c>
      <c r="X50" s="73" t="str">
        <f t="shared" si="35"/>
        <v/>
      </c>
      <c r="Y50" s="73" t="str">
        <f t="shared" si="35"/>
        <v/>
      </c>
      <c r="Z50" s="73" t="str">
        <f t="shared" si="35"/>
        <v/>
      </c>
      <c r="AA50" s="73" t="str">
        <f t="shared" si="35"/>
        <v/>
      </c>
      <c r="AB50" s="73" t="str">
        <f t="shared" si="35"/>
        <v/>
      </c>
      <c r="AC50" s="73" t="str">
        <f t="shared" si="35"/>
        <v/>
      </c>
      <c r="AD50" s="73" t="str">
        <f t="shared" si="35"/>
        <v/>
      </c>
      <c r="AE50" s="73" t="str">
        <f t="shared" si="35"/>
        <v/>
      </c>
      <c r="AF50" s="73" t="str">
        <f t="shared" si="35"/>
        <v/>
      </c>
      <c r="AG50" s="73" t="str">
        <f t="shared" si="35"/>
        <v/>
      </c>
      <c r="AH50" s="73" t="str">
        <f t="shared" si="35"/>
        <v/>
      </c>
      <c r="AI50" s="73" t="str">
        <f t="shared" si="35"/>
        <v/>
      </c>
      <c r="AJ50" s="73" t="str">
        <f t="shared" si="35"/>
        <v/>
      </c>
      <c r="AK50" s="73" t="str">
        <f t="shared" si="35"/>
        <v/>
      </c>
      <c r="AL50" s="73" t="str">
        <f t="shared" si="35"/>
        <v/>
      </c>
      <c r="AM50" s="73" t="str">
        <f t="shared" si="35"/>
        <v/>
      </c>
      <c r="AN50" s="73" t="str">
        <f t="shared" si="35"/>
        <v/>
      </c>
      <c r="AO50" s="73" t="str">
        <f t="shared" si="35"/>
        <v/>
      </c>
      <c r="AP50" s="73" t="str">
        <f t="shared" si="35"/>
        <v/>
      </c>
      <c r="AQ50" s="73" t="str">
        <f t="shared" si="35"/>
        <v/>
      </c>
      <c r="AR50" s="73" t="str">
        <f t="shared" si="35"/>
        <v/>
      </c>
      <c r="AS50" s="73" t="str">
        <f t="shared" si="35"/>
        <v/>
      </c>
      <c r="AT50" s="73" t="str">
        <f t="shared" si="35"/>
        <v/>
      </c>
      <c r="AU50" s="73" t="str">
        <f t="shared" si="35"/>
        <v/>
      </c>
      <c r="AV50" s="73" t="str">
        <f t="shared" si="35"/>
        <v/>
      </c>
      <c r="AW50" s="73" t="str">
        <f t="shared" si="35"/>
        <v/>
      </c>
      <c r="AX50" s="73" t="str">
        <f t="shared" si="35"/>
        <v/>
      </c>
      <c r="AY50" s="73" t="str">
        <f t="shared" si="35"/>
        <v/>
      </c>
      <c r="AZ50" s="73" t="str">
        <f t="shared" si="35"/>
        <v/>
      </c>
      <c r="BA50" s="73" t="str">
        <f t="shared" si="35"/>
        <v/>
      </c>
      <c r="BB50" s="73" t="str">
        <f t="shared" si="35"/>
        <v/>
      </c>
      <c r="BC50" s="73" t="str">
        <f t="shared" si="35"/>
        <v/>
      </c>
      <c r="BD50" s="73" t="str">
        <f t="shared" si="35"/>
        <v/>
      </c>
      <c r="BE50" s="73" t="str">
        <f t="shared" si="35"/>
        <v/>
      </c>
      <c r="BF50" s="73" t="str">
        <f t="shared" si="35"/>
        <v/>
      </c>
      <c r="BG50" s="73" t="str">
        <f t="shared" si="35"/>
        <v/>
      </c>
      <c r="BH50" s="73" t="str">
        <f t="shared" si="35"/>
        <v/>
      </c>
      <c r="BI50" s="73" t="str">
        <f t="shared" si="35"/>
        <v/>
      </c>
      <c r="BJ50" s="73" t="str">
        <f t="shared" si="35"/>
        <v/>
      </c>
      <c r="BK50" s="73" t="str">
        <f t="shared" si="35"/>
        <v/>
      </c>
      <c r="BL50" s="73" t="str">
        <f t="shared" si="35"/>
        <v/>
      </c>
      <c r="BM50" s="73" t="str">
        <f t="shared" si="35"/>
        <v>X</v>
      </c>
      <c r="BN50" s="73" t="str">
        <f t="shared" si="35"/>
        <v>X</v>
      </c>
      <c r="BO50" s="73" t="str">
        <f t="shared" si="35"/>
        <v/>
      </c>
      <c r="BP50" s="76" t="str">
        <f t="shared" si="35"/>
        <v/>
      </c>
      <c r="BQ50" s="76" t="str">
        <f t="shared" si="35"/>
        <v/>
      </c>
      <c r="BR50" s="76" t="str">
        <f t="shared" si="35"/>
        <v/>
      </c>
      <c r="BS50" s="76" t="str">
        <f t="shared" si="35"/>
        <v/>
      </c>
      <c r="BT50" s="76" t="str">
        <f t="shared" si="35"/>
        <v/>
      </c>
      <c r="BU50" s="76" t="str">
        <f t="shared" si="35"/>
        <v/>
      </c>
      <c r="BV50" s="76" t="str">
        <f t="shared" si="35"/>
        <v/>
      </c>
      <c r="BW50" s="76" t="str">
        <f t="shared" si="35"/>
        <v/>
      </c>
      <c r="BX50" s="76" t="str">
        <f t="shared" si="35"/>
        <v/>
      </c>
      <c r="BY50" s="76" t="str">
        <f t="shared" si="35"/>
        <v/>
      </c>
      <c r="BZ50" s="76" t="str">
        <f t="shared" si="35"/>
        <v/>
      </c>
      <c r="CA50" s="76" t="str">
        <f t="shared" si="35"/>
        <v/>
      </c>
      <c r="CB50" s="76" t="str">
        <f t="shared" si="35"/>
        <v/>
      </c>
      <c r="CC50" s="76" t="str">
        <f t="shared" si="35"/>
        <v/>
      </c>
      <c r="CD50" s="76" t="str">
        <f t="shared" si="35"/>
        <v/>
      </c>
      <c r="CE50" s="76" t="str">
        <f t="shared" si="35"/>
        <v/>
      </c>
      <c r="CF50" s="76" t="str">
        <f t="shared" si="35"/>
        <v/>
      </c>
      <c r="CG50" s="76" t="str">
        <f t="shared" si="35"/>
        <v/>
      </c>
      <c r="CH50" s="76" t="str">
        <f t="shared" si="35"/>
        <v/>
      </c>
      <c r="CI50" s="76" t="str">
        <f t="shared" si="35"/>
        <v/>
      </c>
      <c r="CJ50" s="76" t="str">
        <f t="shared" si="35"/>
        <v/>
      </c>
      <c r="CK50" s="76" t="str">
        <f t="shared" si="35"/>
        <v/>
      </c>
      <c r="CL50" s="76" t="str">
        <f t="shared" si="35"/>
        <v/>
      </c>
      <c r="CM50" s="76" t="str">
        <f t="shared" si="35"/>
        <v/>
      </c>
      <c r="CN50" s="76" t="str">
        <f t="shared" si="35"/>
        <v/>
      </c>
      <c r="CO50" s="76" t="str">
        <f t="shared" si="35"/>
        <v/>
      </c>
      <c r="CP50" s="76" t="str">
        <f t="shared" si="35"/>
        <v/>
      </c>
      <c r="CQ50" s="76" t="str">
        <f t="shared" si="35"/>
        <v/>
      </c>
      <c r="CR50" s="76" t="str">
        <f t="shared" si="35"/>
        <v/>
      </c>
      <c r="CS50" s="76" t="str">
        <f t="shared" si="35"/>
        <v/>
      </c>
      <c r="CT50" s="76" t="str">
        <f t="shared" si="35"/>
        <v/>
      </c>
      <c r="CU50" s="76" t="str">
        <f t="shared" si="35"/>
        <v/>
      </c>
      <c r="CV50" s="76" t="str">
        <f t="shared" si="35"/>
        <v/>
      </c>
      <c r="CW50" s="76" t="str">
        <f t="shared" si="35"/>
        <v/>
      </c>
      <c r="CX50" s="76" t="str">
        <f t="shared" si="35"/>
        <v/>
      </c>
      <c r="CY50" s="76" t="str">
        <f t="shared" si="35"/>
        <v/>
      </c>
      <c r="CZ50" s="76" t="str">
        <f t="shared" si="35"/>
        <v/>
      </c>
      <c r="DA50" s="76" t="str">
        <f t="shared" si="35"/>
        <v/>
      </c>
      <c r="DB50" s="76" t="str">
        <f t="shared" si="35"/>
        <v/>
      </c>
      <c r="DC50" s="76" t="str">
        <f t="shared" si="35"/>
        <v/>
      </c>
      <c r="DD50" s="76" t="str">
        <f t="shared" si="35"/>
        <v/>
      </c>
      <c r="DE50" s="76" t="str">
        <f t="shared" si="35"/>
        <v/>
      </c>
      <c r="DF50" s="76" t="str">
        <f t="shared" si="35"/>
        <v/>
      </c>
      <c r="DG50" s="76" t="str">
        <f t="shared" si="35"/>
        <v/>
      </c>
      <c r="DH50" s="76" t="str">
        <f t="shared" si="35"/>
        <v/>
      </c>
      <c r="DI50" s="76" t="str">
        <f t="shared" si="35"/>
        <v/>
      </c>
      <c r="DJ50" s="76" t="str">
        <f t="shared" si="35"/>
        <v/>
      </c>
      <c r="DK50" s="76" t="str">
        <f t="shared" si="35"/>
        <v/>
      </c>
      <c r="DL50" s="76" t="str">
        <f t="shared" si="35"/>
        <v/>
      </c>
      <c r="DM50" s="76" t="str">
        <f t="shared" si="35"/>
        <v/>
      </c>
      <c r="DN50" s="76" t="str">
        <f t="shared" si="35"/>
        <v/>
      </c>
      <c r="DO50" s="76" t="str">
        <f t="shared" si="35"/>
        <v/>
      </c>
      <c r="DP50" s="76" t="str">
        <f t="shared" si="35"/>
        <v/>
      </c>
      <c r="DQ50" s="76" t="str">
        <f t="shared" si="35"/>
        <v/>
      </c>
      <c r="DR50" s="76" t="str">
        <f t="shared" si="35"/>
        <v/>
      </c>
      <c r="DS50" s="76" t="str">
        <f t="shared" si="35"/>
        <v/>
      </c>
      <c r="DT50" s="76" t="str">
        <f t="shared" si="35"/>
        <v/>
      </c>
      <c r="DU50" s="76" t="str">
        <f t="shared" si="35"/>
        <v/>
      </c>
      <c r="DV50" s="76" t="str">
        <f t="shared" si="35"/>
        <v/>
      </c>
      <c r="DW50" s="76" t="str">
        <f t="shared" si="35"/>
        <v/>
      </c>
      <c r="DX50" s="76" t="str">
        <f t="shared" si="35"/>
        <v/>
      </c>
      <c r="DY50" s="76" t="str">
        <f t="shared" si="35"/>
        <v/>
      </c>
      <c r="DZ50" s="76" t="str">
        <f t="shared" si="35"/>
        <v/>
      </c>
      <c r="EA50" s="76" t="str">
        <f t="shared" si="35"/>
        <v/>
      </c>
      <c r="EB50" s="76" t="str">
        <f t="shared" si="35"/>
        <v/>
      </c>
      <c r="EC50" s="76" t="str">
        <f t="shared" si="35"/>
        <v/>
      </c>
      <c r="ED50" s="76" t="str">
        <f t="shared" si="35"/>
        <v/>
      </c>
      <c r="EE50" s="76" t="str">
        <f t="shared" si="35"/>
        <v/>
      </c>
      <c r="EF50" s="76" t="str">
        <f t="shared" si="35"/>
        <v/>
      </c>
      <c r="EG50" s="76" t="str">
        <f t="shared" si="35"/>
        <v/>
      </c>
      <c r="EH50" s="76" t="str">
        <f t="shared" si="35"/>
        <v/>
      </c>
      <c r="EI50" s="76" t="str">
        <f t="shared" si="35"/>
        <v/>
      </c>
      <c r="EJ50" s="76" t="str">
        <f t="shared" si="35"/>
        <v/>
      </c>
      <c r="EK50" s="76" t="str">
        <f t="shared" si="35"/>
        <v/>
      </c>
      <c r="EL50" s="76" t="str">
        <f t="shared" si="35"/>
        <v/>
      </c>
      <c r="EM50" s="76" t="str">
        <f t="shared" si="35"/>
        <v/>
      </c>
      <c r="EN50" s="76" t="str">
        <f t="shared" si="35"/>
        <v/>
      </c>
      <c r="EO50" s="76" t="str">
        <f t="shared" si="35"/>
        <v/>
      </c>
      <c r="EP50" s="76" t="str">
        <f t="shared" si="35"/>
        <v/>
      </c>
      <c r="EQ50" s="76" t="str">
        <f t="shared" si="35"/>
        <v/>
      </c>
      <c r="ER50" s="76" t="str">
        <f t="shared" si="35"/>
        <v/>
      </c>
      <c r="ES50" s="76" t="str">
        <f t="shared" si="35"/>
        <v/>
      </c>
    </row>
    <row r="51" outlineLevel="1">
      <c r="A51" s="33"/>
      <c r="B51" s="58">
        <v>27.0</v>
      </c>
      <c r="C51" s="68" t="s">
        <v>169</v>
      </c>
      <c r="D51" s="68"/>
      <c r="E51" s="70">
        <f>E49+10</f>
        <v>45749</v>
      </c>
      <c r="F51" s="70">
        <f t="shared" si="22"/>
        <v>45899</v>
      </c>
      <c r="G51" s="71">
        <v>150.0</v>
      </c>
      <c r="H51" s="72">
        <v>0.0</v>
      </c>
      <c r="I51" s="73" t="str">
        <f t="shared" ref="I51:ES51" si="36">IF(AND($E51&lt;=I$6,$F51&gt;=I$6),"X","")</f>
        <v/>
      </c>
      <c r="J51" s="73" t="str">
        <f t="shared" si="36"/>
        <v/>
      </c>
      <c r="K51" s="73" t="str">
        <f t="shared" si="36"/>
        <v/>
      </c>
      <c r="L51" s="73" t="str">
        <f t="shared" si="36"/>
        <v/>
      </c>
      <c r="M51" s="73" t="str">
        <f t="shared" si="36"/>
        <v/>
      </c>
      <c r="N51" s="73" t="str">
        <f t="shared" si="36"/>
        <v/>
      </c>
      <c r="O51" s="73" t="str">
        <f t="shared" si="36"/>
        <v/>
      </c>
      <c r="P51" s="73" t="str">
        <f t="shared" si="36"/>
        <v/>
      </c>
      <c r="Q51" s="73" t="str">
        <f t="shared" si="36"/>
        <v/>
      </c>
      <c r="R51" s="73" t="str">
        <f t="shared" si="36"/>
        <v/>
      </c>
      <c r="S51" s="73" t="str">
        <f t="shared" si="36"/>
        <v/>
      </c>
      <c r="T51" s="73" t="str">
        <f t="shared" si="36"/>
        <v/>
      </c>
      <c r="U51" s="73" t="str">
        <f t="shared" si="36"/>
        <v/>
      </c>
      <c r="V51" s="73" t="str">
        <f t="shared" si="36"/>
        <v/>
      </c>
      <c r="W51" s="73" t="str">
        <f t="shared" si="36"/>
        <v/>
      </c>
      <c r="X51" s="73" t="str">
        <f t="shared" si="36"/>
        <v/>
      </c>
      <c r="Y51" s="73" t="str">
        <f t="shared" si="36"/>
        <v/>
      </c>
      <c r="Z51" s="73" t="str">
        <f t="shared" si="36"/>
        <v/>
      </c>
      <c r="AA51" s="73" t="str">
        <f t="shared" si="36"/>
        <v/>
      </c>
      <c r="AB51" s="73" t="str">
        <f t="shared" si="36"/>
        <v/>
      </c>
      <c r="AC51" s="73" t="str">
        <f t="shared" si="36"/>
        <v/>
      </c>
      <c r="AD51" s="73" t="str">
        <f t="shared" si="36"/>
        <v/>
      </c>
      <c r="AE51" s="73" t="str">
        <f t="shared" si="36"/>
        <v/>
      </c>
      <c r="AF51" s="73" t="str">
        <f t="shared" si="36"/>
        <v/>
      </c>
      <c r="AG51" s="73" t="str">
        <f t="shared" si="36"/>
        <v/>
      </c>
      <c r="AH51" s="73" t="str">
        <f t="shared" si="36"/>
        <v/>
      </c>
      <c r="AI51" s="73" t="str">
        <f t="shared" si="36"/>
        <v/>
      </c>
      <c r="AJ51" s="73" t="str">
        <f t="shared" si="36"/>
        <v/>
      </c>
      <c r="AK51" s="73" t="str">
        <f t="shared" si="36"/>
        <v/>
      </c>
      <c r="AL51" s="73" t="str">
        <f t="shared" si="36"/>
        <v/>
      </c>
      <c r="AM51" s="73" t="str">
        <f t="shared" si="36"/>
        <v/>
      </c>
      <c r="AN51" s="73" t="str">
        <f t="shared" si="36"/>
        <v/>
      </c>
      <c r="AO51" s="73" t="str">
        <f t="shared" si="36"/>
        <v/>
      </c>
      <c r="AP51" s="73" t="str">
        <f t="shared" si="36"/>
        <v/>
      </c>
      <c r="AQ51" s="73" t="str">
        <f t="shared" si="36"/>
        <v/>
      </c>
      <c r="AR51" s="73" t="str">
        <f t="shared" si="36"/>
        <v/>
      </c>
      <c r="AS51" s="73" t="str">
        <f t="shared" si="36"/>
        <v/>
      </c>
      <c r="AT51" s="73" t="str">
        <f t="shared" si="36"/>
        <v/>
      </c>
      <c r="AU51" s="73" t="str">
        <f t="shared" si="36"/>
        <v/>
      </c>
      <c r="AV51" s="73" t="str">
        <f t="shared" si="36"/>
        <v/>
      </c>
      <c r="AW51" s="73" t="str">
        <f t="shared" si="36"/>
        <v/>
      </c>
      <c r="AX51" s="73" t="str">
        <f t="shared" si="36"/>
        <v/>
      </c>
      <c r="AY51" s="73" t="str">
        <f t="shared" si="36"/>
        <v/>
      </c>
      <c r="AZ51" s="73" t="str">
        <f t="shared" si="36"/>
        <v/>
      </c>
      <c r="BA51" s="73" t="str">
        <f t="shared" si="36"/>
        <v/>
      </c>
      <c r="BB51" s="73" t="str">
        <f t="shared" si="36"/>
        <v/>
      </c>
      <c r="BC51" s="73" t="str">
        <f t="shared" si="36"/>
        <v/>
      </c>
      <c r="BD51" s="73" t="str">
        <f t="shared" si="36"/>
        <v/>
      </c>
      <c r="BE51" s="73" t="str">
        <f t="shared" si="36"/>
        <v>X</v>
      </c>
      <c r="BF51" s="73" t="str">
        <f t="shared" si="36"/>
        <v>X</v>
      </c>
      <c r="BG51" s="73" t="str">
        <f t="shared" si="36"/>
        <v>X</v>
      </c>
      <c r="BH51" s="73" t="str">
        <f t="shared" si="36"/>
        <v>X</v>
      </c>
      <c r="BI51" s="73" t="str">
        <f t="shared" si="36"/>
        <v>X</v>
      </c>
      <c r="BJ51" s="73" t="str">
        <f t="shared" si="36"/>
        <v>X</v>
      </c>
      <c r="BK51" s="73" t="str">
        <f t="shared" si="36"/>
        <v>X</v>
      </c>
      <c r="BL51" s="73" t="str">
        <f t="shared" si="36"/>
        <v>X</v>
      </c>
      <c r="BM51" s="73" t="str">
        <f t="shared" si="36"/>
        <v>X</v>
      </c>
      <c r="BN51" s="73" t="str">
        <f t="shared" si="36"/>
        <v>X</v>
      </c>
      <c r="BO51" s="73" t="str">
        <f t="shared" si="36"/>
        <v>X</v>
      </c>
      <c r="BP51" s="76" t="str">
        <f t="shared" si="36"/>
        <v>X</v>
      </c>
      <c r="BQ51" s="76" t="str">
        <f t="shared" si="36"/>
        <v>X</v>
      </c>
      <c r="BR51" s="76" t="str">
        <f t="shared" si="36"/>
        <v>X</v>
      </c>
      <c r="BS51" s="76" t="str">
        <f t="shared" si="36"/>
        <v>X</v>
      </c>
      <c r="BT51" s="76" t="str">
        <f t="shared" si="36"/>
        <v>X</v>
      </c>
      <c r="BU51" s="76" t="str">
        <f t="shared" si="36"/>
        <v>X</v>
      </c>
      <c r="BV51" s="76" t="str">
        <f t="shared" si="36"/>
        <v>X</v>
      </c>
      <c r="BW51" s="76" t="str">
        <f t="shared" si="36"/>
        <v>X</v>
      </c>
      <c r="BX51" s="76" t="str">
        <f t="shared" si="36"/>
        <v>X</v>
      </c>
      <c r="BY51" s="76" t="str">
        <f t="shared" si="36"/>
        <v>X</v>
      </c>
      <c r="BZ51" s="76" t="str">
        <f t="shared" si="36"/>
        <v>X</v>
      </c>
      <c r="CA51" s="76" t="str">
        <f t="shared" si="36"/>
        <v/>
      </c>
      <c r="CB51" s="76" t="str">
        <f t="shared" si="36"/>
        <v/>
      </c>
      <c r="CC51" s="76" t="str">
        <f t="shared" si="36"/>
        <v/>
      </c>
      <c r="CD51" s="76" t="str">
        <f t="shared" si="36"/>
        <v/>
      </c>
      <c r="CE51" s="76" t="str">
        <f t="shared" si="36"/>
        <v/>
      </c>
      <c r="CF51" s="76" t="str">
        <f t="shared" si="36"/>
        <v/>
      </c>
      <c r="CG51" s="76" t="str">
        <f t="shared" si="36"/>
        <v/>
      </c>
      <c r="CH51" s="76" t="str">
        <f t="shared" si="36"/>
        <v/>
      </c>
      <c r="CI51" s="76" t="str">
        <f t="shared" si="36"/>
        <v/>
      </c>
      <c r="CJ51" s="76" t="str">
        <f t="shared" si="36"/>
        <v/>
      </c>
      <c r="CK51" s="76" t="str">
        <f t="shared" si="36"/>
        <v/>
      </c>
      <c r="CL51" s="76" t="str">
        <f t="shared" si="36"/>
        <v/>
      </c>
      <c r="CM51" s="76" t="str">
        <f t="shared" si="36"/>
        <v/>
      </c>
      <c r="CN51" s="76" t="str">
        <f t="shared" si="36"/>
        <v/>
      </c>
      <c r="CO51" s="76" t="str">
        <f t="shared" si="36"/>
        <v/>
      </c>
      <c r="CP51" s="76" t="str">
        <f t="shared" si="36"/>
        <v/>
      </c>
      <c r="CQ51" s="76" t="str">
        <f t="shared" si="36"/>
        <v/>
      </c>
      <c r="CR51" s="76" t="str">
        <f t="shared" si="36"/>
        <v/>
      </c>
      <c r="CS51" s="76" t="str">
        <f t="shared" si="36"/>
        <v/>
      </c>
      <c r="CT51" s="76" t="str">
        <f t="shared" si="36"/>
        <v/>
      </c>
      <c r="CU51" s="76" t="str">
        <f t="shared" si="36"/>
        <v/>
      </c>
      <c r="CV51" s="76" t="str">
        <f t="shared" si="36"/>
        <v/>
      </c>
      <c r="CW51" s="76" t="str">
        <f t="shared" si="36"/>
        <v/>
      </c>
      <c r="CX51" s="76" t="str">
        <f t="shared" si="36"/>
        <v/>
      </c>
      <c r="CY51" s="76" t="str">
        <f t="shared" si="36"/>
        <v/>
      </c>
      <c r="CZ51" s="76" t="str">
        <f t="shared" si="36"/>
        <v/>
      </c>
      <c r="DA51" s="76" t="str">
        <f t="shared" si="36"/>
        <v/>
      </c>
      <c r="DB51" s="76" t="str">
        <f t="shared" si="36"/>
        <v/>
      </c>
      <c r="DC51" s="76" t="str">
        <f t="shared" si="36"/>
        <v/>
      </c>
      <c r="DD51" s="76" t="str">
        <f t="shared" si="36"/>
        <v/>
      </c>
      <c r="DE51" s="76" t="str">
        <f t="shared" si="36"/>
        <v/>
      </c>
      <c r="DF51" s="76" t="str">
        <f t="shared" si="36"/>
        <v/>
      </c>
      <c r="DG51" s="76" t="str">
        <f t="shared" si="36"/>
        <v/>
      </c>
      <c r="DH51" s="76" t="str">
        <f t="shared" si="36"/>
        <v/>
      </c>
      <c r="DI51" s="76" t="str">
        <f t="shared" si="36"/>
        <v/>
      </c>
      <c r="DJ51" s="76" t="str">
        <f t="shared" si="36"/>
        <v/>
      </c>
      <c r="DK51" s="76" t="str">
        <f t="shared" si="36"/>
        <v/>
      </c>
      <c r="DL51" s="76" t="str">
        <f t="shared" si="36"/>
        <v/>
      </c>
      <c r="DM51" s="76" t="str">
        <f t="shared" si="36"/>
        <v/>
      </c>
      <c r="DN51" s="76" t="str">
        <f t="shared" si="36"/>
        <v/>
      </c>
      <c r="DO51" s="76" t="str">
        <f t="shared" si="36"/>
        <v/>
      </c>
      <c r="DP51" s="76" t="str">
        <f t="shared" si="36"/>
        <v/>
      </c>
      <c r="DQ51" s="76" t="str">
        <f t="shared" si="36"/>
        <v/>
      </c>
      <c r="DR51" s="76" t="str">
        <f t="shared" si="36"/>
        <v/>
      </c>
      <c r="DS51" s="76" t="str">
        <f t="shared" si="36"/>
        <v/>
      </c>
      <c r="DT51" s="76" t="str">
        <f t="shared" si="36"/>
        <v/>
      </c>
      <c r="DU51" s="76" t="str">
        <f t="shared" si="36"/>
        <v/>
      </c>
      <c r="DV51" s="76" t="str">
        <f t="shared" si="36"/>
        <v/>
      </c>
      <c r="DW51" s="76" t="str">
        <f t="shared" si="36"/>
        <v/>
      </c>
      <c r="DX51" s="76" t="str">
        <f t="shared" si="36"/>
        <v/>
      </c>
      <c r="DY51" s="76" t="str">
        <f t="shared" si="36"/>
        <v/>
      </c>
      <c r="DZ51" s="76" t="str">
        <f t="shared" si="36"/>
        <v/>
      </c>
      <c r="EA51" s="76" t="str">
        <f t="shared" si="36"/>
        <v/>
      </c>
      <c r="EB51" s="76" t="str">
        <f t="shared" si="36"/>
        <v/>
      </c>
      <c r="EC51" s="76" t="str">
        <f t="shared" si="36"/>
        <v/>
      </c>
      <c r="ED51" s="76" t="str">
        <f t="shared" si="36"/>
        <v/>
      </c>
      <c r="EE51" s="76" t="str">
        <f t="shared" si="36"/>
        <v/>
      </c>
      <c r="EF51" s="76" t="str">
        <f t="shared" si="36"/>
        <v/>
      </c>
      <c r="EG51" s="76" t="str">
        <f t="shared" si="36"/>
        <v/>
      </c>
      <c r="EH51" s="76" t="str">
        <f t="shared" si="36"/>
        <v/>
      </c>
      <c r="EI51" s="76" t="str">
        <f t="shared" si="36"/>
        <v/>
      </c>
      <c r="EJ51" s="76" t="str">
        <f t="shared" si="36"/>
        <v/>
      </c>
      <c r="EK51" s="76" t="str">
        <f t="shared" si="36"/>
        <v/>
      </c>
      <c r="EL51" s="76" t="str">
        <f t="shared" si="36"/>
        <v/>
      </c>
      <c r="EM51" s="76" t="str">
        <f t="shared" si="36"/>
        <v/>
      </c>
      <c r="EN51" s="76" t="str">
        <f t="shared" si="36"/>
        <v/>
      </c>
      <c r="EO51" s="76" t="str">
        <f t="shared" si="36"/>
        <v/>
      </c>
      <c r="EP51" s="76" t="str">
        <f t="shared" si="36"/>
        <v/>
      </c>
      <c r="EQ51" s="76" t="str">
        <f t="shared" si="36"/>
        <v/>
      </c>
      <c r="ER51" s="76" t="str">
        <f t="shared" si="36"/>
        <v/>
      </c>
      <c r="ES51" s="76" t="str">
        <f t="shared" si="36"/>
        <v/>
      </c>
    </row>
    <row r="52" outlineLevel="1">
      <c r="A52" s="33"/>
      <c r="B52" s="58">
        <v>28.0</v>
      </c>
      <c r="C52" s="68" t="s">
        <v>92</v>
      </c>
      <c r="D52" s="68"/>
      <c r="E52" s="70">
        <f>F49</f>
        <v>45799</v>
      </c>
      <c r="F52" s="70">
        <f t="shared" si="22"/>
        <v>45848</v>
      </c>
      <c r="G52" s="71">
        <v>49.0</v>
      </c>
      <c r="H52" s="72">
        <v>0.0</v>
      </c>
      <c r="I52" s="73" t="str">
        <f t="shared" ref="I52:ES52" si="37">IF(AND($E52&lt;=I$6,$F52&gt;=I$6),"X","")</f>
        <v/>
      </c>
      <c r="J52" s="73" t="str">
        <f t="shared" si="37"/>
        <v/>
      </c>
      <c r="K52" s="73" t="str">
        <f t="shared" si="37"/>
        <v/>
      </c>
      <c r="L52" s="73" t="str">
        <f t="shared" si="37"/>
        <v/>
      </c>
      <c r="M52" s="73" t="str">
        <f t="shared" si="37"/>
        <v/>
      </c>
      <c r="N52" s="73" t="str">
        <f t="shared" si="37"/>
        <v/>
      </c>
      <c r="O52" s="73" t="str">
        <f t="shared" si="37"/>
        <v/>
      </c>
      <c r="P52" s="73" t="str">
        <f t="shared" si="37"/>
        <v/>
      </c>
      <c r="Q52" s="73" t="str">
        <f t="shared" si="37"/>
        <v/>
      </c>
      <c r="R52" s="73" t="str">
        <f t="shared" si="37"/>
        <v/>
      </c>
      <c r="S52" s="73" t="str">
        <f t="shared" si="37"/>
        <v/>
      </c>
      <c r="T52" s="73" t="str">
        <f t="shared" si="37"/>
        <v/>
      </c>
      <c r="U52" s="73" t="str">
        <f t="shared" si="37"/>
        <v/>
      </c>
      <c r="V52" s="73" t="str">
        <f t="shared" si="37"/>
        <v/>
      </c>
      <c r="W52" s="73" t="str">
        <f t="shared" si="37"/>
        <v/>
      </c>
      <c r="X52" s="73" t="str">
        <f t="shared" si="37"/>
        <v/>
      </c>
      <c r="Y52" s="73" t="str">
        <f t="shared" si="37"/>
        <v/>
      </c>
      <c r="Z52" s="73" t="str">
        <f t="shared" si="37"/>
        <v/>
      </c>
      <c r="AA52" s="73" t="str">
        <f t="shared" si="37"/>
        <v/>
      </c>
      <c r="AB52" s="73" t="str">
        <f t="shared" si="37"/>
        <v/>
      </c>
      <c r="AC52" s="73" t="str">
        <f t="shared" si="37"/>
        <v/>
      </c>
      <c r="AD52" s="73" t="str">
        <f t="shared" si="37"/>
        <v/>
      </c>
      <c r="AE52" s="73" t="str">
        <f t="shared" si="37"/>
        <v/>
      </c>
      <c r="AF52" s="73" t="str">
        <f t="shared" si="37"/>
        <v/>
      </c>
      <c r="AG52" s="73" t="str">
        <f t="shared" si="37"/>
        <v/>
      </c>
      <c r="AH52" s="73" t="str">
        <f t="shared" si="37"/>
        <v/>
      </c>
      <c r="AI52" s="73" t="str">
        <f t="shared" si="37"/>
        <v/>
      </c>
      <c r="AJ52" s="73" t="str">
        <f t="shared" si="37"/>
        <v/>
      </c>
      <c r="AK52" s="73" t="str">
        <f t="shared" si="37"/>
        <v/>
      </c>
      <c r="AL52" s="73" t="str">
        <f t="shared" si="37"/>
        <v/>
      </c>
      <c r="AM52" s="73" t="str">
        <f t="shared" si="37"/>
        <v/>
      </c>
      <c r="AN52" s="73" t="str">
        <f t="shared" si="37"/>
        <v/>
      </c>
      <c r="AO52" s="73" t="str">
        <f t="shared" si="37"/>
        <v/>
      </c>
      <c r="AP52" s="73" t="str">
        <f t="shared" si="37"/>
        <v/>
      </c>
      <c r="AQ52" s="73" t="str">
        <f t="shared" si="37"/>
        <v/>
      </c>
      <c r="AR52" s="73" t="str">
        <f t="shared" si="37"/>
        <v/>
      </c>
      <c r="AS52" s="73" t="str">
        <f t="shared" si="37"/>
        <v/>
      </c>
      <c r="AT52" s="73" t="str">
        <f t="shared" si="37"/>
        <v/>
      </c>
      <c r="AU52" s="73" t="str">
        <f t="shared" si="37"/>
        <v/>
      </c>
      <c r="AV52" s="73" t="str">
        <f t="shared" si="37"/>
        <v/>
      </c>
      <c r="AW52" s="73" t="str">
        <f t="shared" si="37"/>
        <v/>
      </c>
      <c r="AX52" s="73" t="str">
        <f t="shared" si="37"/>
        <v/>
      </c>
      <c r="AY52" s="73" t="str">
        <f t="shared" si="37"/>
        <v/>
      </c>
      <c r="AZ52" s="73" t="str">
        <f t="shared" si="37"/>
        <v/>
      </c>
      <c r="BA52" s="73" t="str">
        <f t="shared" si="37"/>
        <v/>
      </c>
      <c r="BB52" s="73" t="str">
        <f t="shared" si="37"/>
        <v/>
      </c>
      <c r="BC52" s="73" t="str">
        <f t="shared" si="37"/>
        <v/>
      </c>
      <c r="BD52" s="73" t="str">
        <f t="shared" si="37"/>
        <v/>
      </c>
      <c r="BE52" s="73" t="str">
        <f t="shared" si="37"/>
        <v/>
      </c>
      <c r="BF52" s="73" t="str">
        <f t="shared" si="37"/>
        <v/>
      </c>
      <c r="BG52" s="73" t="str">
        <f t="shared" si="37"/>
        <v/>
      </c>
      <c r="BH52" s="73" t="str">
        <f t="shared" si="37"/>
        <v/>
      </c>
      <c r="BI52" s="73" t="str">
        <f t="shared" si="37"/>
        <v/>
      </c>
      <c r="BJ52" s="73" t="str">
        <f t="shared" si="37"/>
        <v/>
      </c>
      <c r="BK52" s="73" t="str">
        <f t="shared" si="37"/>
        <v/>
      </c>
      <c r="BL52" s="73" t="str">
        <f t="shared" si="37"/>
        <v/>
      </c>
      <c r="BM52" s="73" t="str">
        <f t="shared" si="37"/>
        <v>X</v>
      </c>
      <c r="BN52" s="73" t="str">
        <f t="shared" si="37"/>
        <v>X</v>
      </c>
      <c r="BO52" s="73" t="str">
        <f t="shared" si="37"/>
        <v>X</v>
      </c>
      <c r="BP52" s="76" t="str">
        <f t="shared" si="37"/>
        <v>X</v>
      </c>
      <c r="BQ52" s="76" t="str">
        <f t="shared" si="37"/>
        <v>X</v>
      </c>
      <c r="BR52" s="76" t="str">
        <f t="shared" si="37"/>
        <v>X</v>
      </c>
      <c r="BS52" s="76" t="str">
        <f t="shared" si="37"/>
        <v>X</v>
      </c>
      <c r="BT52" s="76" t="str">
        <f t="shared" si="37"/>
        <v/>
      </c>
      <c r="BU52" s="76" t="str">
        <f t="shared" si="37"/>
        <v/>
      </c>
      <c r="BV52" s="76" t="str">
        <f t="shared" si="37"/>
        <v/>
      </c>
      <c r="BW52" s="76" t="str">
        <f t="shared" si="37"/>
        <v/>
      </c>
      <c r="BX52" s="76" t="str">
        <f t="shared" si="37"/>
        <v/>
      </c>
      <c r="BY52" s="76" t="str">
        <f t="shared" si="37"/>
        <v/>
      </c>
      <c r="BZ52" s="76" t="str">
        <f t="shared" si="37"/>
        <v/>
      </c>
      <c r="CA52" s="76" t="str">
        <f t="shared" si="37"/>
        <v/>
      </c>
      <c r="CB52" s="76" t="str">
        <f t="shared" si="37"/>
        <v/>
      </c>
      <c r="CC52" s="76" t="str">
        <f t="shared" si="37"/>
        <v/>
      </c>
      <c r="CD52" s="76" t="str">
        <f t="shared" si="37"/>
        <v/>
      </c>
      <c r="CE52" s="76" t="str">
        <f t="shared" si="37"/>
        <v/>
      </c>
      <c r="CF52" s="76" t="str">
        <f t="shared" si="37"/>
        <v/>
      </c>
      <c r="CG52" s="76" t="str">
        <f t="shared" si="37"/>
        <v/>
      </c>
      <c r="CH52" s="76" t="str">
        <f t="shared" si="37"/>
        <v/>
      </c>
      <c r="CI52" s="76" t="str">
        <f t="shared" si="37"/>
        <v/>
      </c>
      <c r="CJ52" s="76" t="str">
        <f t="shared" si="37"/>
        <v/>
      </c>
      <c r="CK52" s="76" t="str">
        <f t="shared" si="37"/>
        <v/>
      </c>
      <c r="CL52" s="76" t="str">
        <f t="shared" si="37"/>
        <v/>
      </c>
      <c r="CM52" s="76" t="str">
        <f t="shared" si="37"/>
        <v/>
      </c>
      <c r="CN52" s="76" t="str">
        <f t="shared" si="37"/>
        <v/>
      </c>
      <c r="CO52" s="76" t="str">
        <f t="shared" si="37"/>
        <v/>
      </c>
      <c r="CP52" s="76" t="str">
        <f t="shared" si="37"/>
        <v/>
      </c>
      <c r="CQ52" s="76" t="str">
        <f t="shared" si="37"/>
        <v/>
      </c>
      <c r="CR52" s="76" t="str">
        <f t="shared" si="37"/>
        <v/>
      </c>
      <c r="CS52" s="76" t="str">
        <f t="shared" si="37"/>
        <v/>
      </c>
      <c r="CT52" s="76" t="str">
        <f t="shared" si="37"/>
        <v/>
      </c>
      <c r="CU52" s="76" t="str">
        <f t="shared" si="37"/>
        <v/>
      </c>
      <c r="CV52" s="76" t="str">
        <f t="shared" si="37"/>
        <v/>
      </c>
      <c r="CW52" s="76" t="str">
        <f t="shared" si="37"/>
        <v/>
      </c>
      <c r="CX52" s="76" t="str">
        <f t="shared" si="37"/>
        <v/>
      </c>
      <c r="CY52" s="76" t="str">
        <f t="shared" si="37"/>
        <v/>
      </c>
      <c r="CZ52" s="76" t="str">
        <f t="shared" si="37"/>
        <v/>
      </c>
      <c r="DA52" s="76" t="str">
        <f t="shared" si="37"/>
        <v/>
      </c>
      <c r="DB52" s="76" t="str">
        <f t="shared" si="37"/>
        <v/>
      </c>
      <c r="DC52" s="76" t="str">
        <f t="shared" si="37"/>
        <v/>
      </c>
      <c r="DD52" s="76" t="str">
        <f t="shared" si="37"/>
        <v/>
      </c>
      <c r="DE52" s="76" t="str">
        <f t="shared" si="37"/>
        <v/>
      </c>
      <c r="DF52" s="76" t="str">
        <f t="shared" si="37"/>
        <v/>
      </c>
      <c r="DG52" s="76" t="str">
        <f t="shared" si="37"/>
        <v/>
      </c>
      <c r="DH52" s="76" t="str">
        <f t="shared" si="37"/>
        <v/>
      </c>
      <c r="DI52" s="76" t="str">
        <f t="shared" si="37"/>
        <v/>
      </c>
      <c r="DJ52" s="76" t="str">
        <f t="shared" si="37"/>
        <v/>
      </c>
      <c r="DK52" s="76" t="str">
        <f t="shared" si="37"/>
        <v/>
      </c>
      <c r="DL52" s="76" t="str">
        <f t="shared" si="37"/>
        <v/>
      </c>
      <c r="DM52" s="76" t="str">
        <f t="shared" si="37"/>
        <v/>
      </c>
      <c r="DN52" s="76" t="str">
        <f t="shared" si="37"/>
        <v/>
      </c>
      <c r="DO52" s="76" t="str">
        <f t="shared" si="37"/>
        <v/>
      </c>
      <c r="DP52" s="76" t="str">
        <f t="shared" si="37"/>
        <v/>
      </c>
      <c r="DQ52" s="76" t="str">
        <f t="shared" si="37"/>
        <v/>
      </c>
      <c r="DR52" s="76" t="str">
        <f t="shared" si="37"/>
        <v/>
      </c>
      <c r="DS52" s="76" t="str">
        <f t="shared" si="37"/>
        <v/>
      </c>
      <c r="DT52" s="76" t="str">
        <f t="shared" si="37"/>
        <v/>
      </c>
      <c r="DU52" s="76" t="str">
        <f t="shared" si="37"/>
        <v/>
      </c>
      <c r="DV52" s="76" t="str">
        <f t="shared" si="37"/>
        <v/>
      </c>
      <c r="DW52" s="76" t="str">
        <f t="shared" si="37"/>
        <v/>
      </c>
      <c r="DX52" s="76" t="str">
        <f t="shared" si="37"/>
        <v/>
      </c>
      <c r="DY52" s="76" t="str">
        <f t="shared" si="37"/>
        <v/>
      </c>
      <c r="DZ52" s="76" t="str">
        <f t="shared" si="37"/>
        <v/>
      </c>
      <c r="EA52" s="76" t="str">
        <f t="shared" si="37"/>
        <v/>
      </c>
      <c r="EB52" s="76" t="str">
        <f t="shared" si="37"/>
        <v/>
      </c>
      <c r="EC52" s="76" t="str">
        <f t="shared" si="37"/>
        <v/>
      </c>
      <c r="ED52" s="76" t="str">
        <f t="shared" si="37"/>
        <v/>
      </c>
      <c r="EE52" s="76" t="str">
        <f t="shared" si="37"/>
        <v/>
      </c>
      <c r="EF52" s="76" t="str">
        <f t="shared" si="37"/>
        <v/>
      </c>
      <c r="EG52" s="76" t="str">
        <f t="shared" si="37"/>
        <v/>
      </c>
      <c r="EH52" s="76" t="str">
        <f t="shared" si="37"/>
        <v/>
      </c>
      <c r="EI52" s="76" t="str">
        <f t="shared" si="37"/>
        <v/>
      </c>
      <c r="EJ52" s="76" t="str">
        <f t="shared" si="37"/>
        <v/>
      </c>
      <c r="EK52" s="76" t="str">
        <f t="shared" si="37"/>
        <v/>
      </c>
      <c r="EL52" s="76" t="str">
        <f t="shared" si="37"/>
        <v/>
      </c>
      <c r="EM52" s="76" t="str">
        <f t="shared" si="37"/>
        <v/>
      </c>
      <c r="EN52" s="76" t="str">
        <f t="shared" si="37"/>
        <v/>
      </c>
      <c r="EO52" s="76" t="str">
        <f t="shared" si="37"/>
        <v/>
      </c>
      <c r="EP52" s="76" t="str">
        <f t="shared" si="37"/>
        <v/>
      </c>
      <c r="EQ52" s="76" t="str">
        <f t="shared" si="37"/>
        <v/>
      </c>
      <c r="ER52" s="76" t="str">
        <f t="shared" si="37"/>
        <v/>
      </c>
      <c r="ES52" s="76" t="str">
        <f t="shared" si="37"/>
        <v/>
      </c>
    </row>
    <row r="53" outlineLevel="1">
      <c r="A53" s="33"/>
      <c r="B53" s="58">
        <v>29.0</v>
      </c>
      <c r="C53" s="68" t="s">
        <v>170</v>
      </c>
      <c r="D53" s="68"/>
      <c r="E53" s="70">
        <f>F49</f>
        <v>45799</v>
      </c>
      <c r="F53" s="70">
        <f t="shared" si="22"/>
        <v>45919</v>
      </c>
      <c r="G53" s="71">
        <v>120.0</v>
      </c>
      <c r="H53" s="72">
        <v>0.0</v>
      </c>
      <c r="I53" s="73" t="str">
        <f t="shared" ref="I53:ES53" si="38">IF(AND($E53&lt;=I$6,$F53&gt;=I$6),"X","")</f>
        <v/>
      </c>
      <c r="J53" s="73" t="str">
        <f t="shared" si="38"/>
        <v/>
      </c>
      <c r="K53" s="73" t="str">
        <f t="shared" si="38"/>
        <v/>
      </c>
      <c r="L53" s="73" t="str">
        <f t="shared" si="38"/>
        <v/>
      </c>
      <c r="M53" s="73" t="str">
        <f t="shared" si="38"/>
        <v/>
      </c>
      <c r="N53" s="73" t="str">
        <f t="shared" si="38"/>
        <v/>
      </c>
      <c r="O53" s="73" t="str">
        <f t="shared" si="38"/>
        <v/>
      </c>
      <c r="P53" s="73" t="str">
        <f t="shared" si="38"/>
        <v/>
      </c>
      <c r="Q53" s="73" t="str">
        <f t="shared" si="38"/>
        <v/>
      </c>
      <c r="R53" s="73" t="str">
        <f t="shared" si="38"/>
        <v/>
      </c>
      <c r="S53" s="73" t="str">
        <f t="shared" si="38"/>
        <v/>
      </c>
      <c r="T53" s="73" t="str">
        <f t="shared" si="38"/>
        <v/>
      </c>
      <c r="U53" s="73" t="str">
        <f t="shared" si="38"/>
        <v/>
      </c>
      <c r="V53" s="73" t="str">
        <f t="shared" si="38"/>
        <v/>
      </c>
      <c r="W53" s="73" t="str">
        <f t="shared" si="38"/>
        <v/>
      </c>
      <c r="X53" s="73" t="str">
        <f t="shared" si="38"/>
        <v/>
      </c>
      <c r="Y53" s="73" t="str">
        <f t="shared" si="38"/>
        <v/>
      </c>
      <c r="Z53" s="73" t="str">
        <f t="shared" si="38"/>
        <v/>
      </c>
      <c r="AA53" s="73" t="str">
        <f t="shared" si="38"/>
        <v/>
      </c>
      <c r="AB53" s="73" t="str">
        <f t="shared" si="38"/>
        <v/>
      </c>
      <c r="AC53" s="73" t="str">
        <f t="shared" si="38"/>
        <v/>
      </c>
      <c r="AD53" s="73" t="str">
        <f t="shared" si="38"/>
        <v/>
      </c>
      <c r="AE53" s="73" t="str">
        <f t="shared" si="38"/>
        <v/>
      </c>
      <c r="AF53" s="73" t="str">
        <f t="shared" si="38"/>
        <v/>
      </c>
      <c r="AG53" s="73" t="str">
        <f t="shared" si="38"/>
        <v/>
      </c>
      <c r="AH53" s="73" t="str">
        <f t="shared" si="38"/>
        <v/>
      </c>
      <c r="AI53" s="73" t="str">
        <f t="shared" si="38"/>
        <v/>
      </c>
      <c r="AJ53" s="73" t="str">
        <f t="shared" si="38"/>
        <v/>
      </c>
      <c r="AK53" s="73" t="str">
        <f t="shared" si="38"/>
        <v/>
      </c>
      <c r="AL53" s="73" t="str">
        <f t="shared" si="38"/>
        <v/>
      </c>
      <c r="AM53" s="73" t="str">
        <f t="shared" si="38"/>
        <v/>
      </c>
      <c r="AN53" s="73" t="str">
        <f t="shared" si="38"/>
        <v/>
      </c>
      <c r="AO53" s="73" t="str">
        <f t="shared" si="38"/>
        <v/>
      </c>
      <c r="AP53" s="73" t="str">
        <f t="shared" si="38"/>
        <v/>
      </c>
      <c r="AQ53" s="73" t="str">
        <f t="shared" si="38"/>
        <v/>
      </c>
      <c r="AR53" s="73" t="str">
        <f t="shared" si="38"/>
        <v/>
      </c>
      <c r="AS53" s="73" t="str">
        <f t="shared" si="38"/>
        <v/>
      </c>
      <c r="AT53" s="73" t="str">
        <f t="shared" si="38"/>
        <v/>
      </c>
      <c r="AU53" s="73" t="str">
        <f t="shared" si="38"/>
        <v/>
      </c>
      <c r="AV53" s="73" t="str">
        <f t="shared" si="38"/>
        <v/>
      </c>
      <c r="AW53" s="73" t="str">
        <f t="shared" si="38"/>
        <v/>
      </c>
      <c r="AX53" s="73" t="str">
        <f t="shared" si="38"/>
        <v/>
      </c>
      <c r="AY53" s="73" t="str">
        <f t="shared" si="38"/>
        <v/>
      </c>
      <c r="AZ53" s="73" t="str">
        <f t="shared" si="38"/>
        <v/>
      </c>
      <c r="BA53" s="73" t="str">
        <f t="shared" si="38"/>
        <v/>
      </c>
      <c r="BB53" s="73" t="str">
        <f t="shared" si="38"/>
        <v/>
      </c>
      <c r="BC53" s="73" t="str">
        <f t="shared" si="38"/>
        <v/>
      </c>
      <c r="BD53" s="73" t="str">
        <f t="shared" si="38"/>
        <v/>
      </c>
      <c r="BE53" s="73" t="str">
        <f t="shared" si="38"/>
        <v/>
      </c>
      <c r="BF53" s="73" t="str">
        <f t="shared" si="38"/>
        <v/>
      </c>
      <c r="BG53" s="73" t="str">
        <f t="shared" si="38"/>
        <v/>
      </c>
      <c r="BH53" s="73" t="str">
        <f t="shared" si="38"/>
        <v/>
      </c>
      <c r="BI53" s="73" t="str">
        <f t="shared" si="38"/>
        <v/>
      </c>
      <c r="BJ53" s="73" t="str">
        <f t="shared" si="38"/>
        <v/>
      </c>
      <c r="BK53" s="73" t="str">
        <f t="shared" si="38"/>
        <v/>
      </c>
      <c r="BL53" s="73" t="str">
        <f t="shared" si="38"/>
        <v/>
      </c>
      <c r="BM53" s="73" t="str">
        <f t="shared" si="38"/>
        <v>X</v>
      </c>
      <c r="BN53" s="73" t="str">
        <f t="shared" si="38"/>
        <v>X</v>
      </c>
      <c r="BO53" s="73" t="str">
        <f t="shared" si="38"/>
        <v>X</v>
      </c>
      <c r="BP53" s="76" t="str">
        <f t="shared" si="38"/>
        <v>X</v>
      </c>
      <c r="BQ53" s="76" t="str">
        <f t="shared" si="38"/>
        <v>X</v>
      </c>
      <c r="BR53" s="76" t="str">
        <f t="shared" si="38"/>
        <v>X</v>
      </c>
      <c r="BS53" s="76" t="str">
        <f t="shared" si="38"/>
        <v>X</v>
      </c>
      <c r="BT53" s="76" t="str">
        <f t="shared" si="38"/>
        <v>X</v>
      </c>
      <c r="BU53" s="76" t="str">
        <f t="shared" si="38"/>
        <v>X</v>
      </c>
      <c r="BV53" s="76" t="str">
        <f t="shared" si="38"/>
        <v>X</v>
      </c>
      <c r="BW53" s="76" t="str">
        <f t="shared" si="38"/>
        <v>X</v>
      </c>
      <c r="BX53" s="76" t="str">
        <f t="shared" si="38"/>
        <v>X</v>
      </c>
      <c r="BY53" s="76" t="str">
        <f t="shared" si="38"/>
        <v>X</v>
      </c>
      <c r="BZ53" s="76" t="str">
        <f t="shared" si="38"/>
        <v>X</v>
      </c>
      <c r="CA53" s="76" t="str">
        <f t="shared" si="38"/>
        <v>X</v>
      </c>
      <c r="CB53" s="76" t="str">
        <f t="shared" si="38"/>
        <v>X</v>
      </c>
      <c r="CC53" s="76" t="str">
        <f t="shared" si="38"/>
        <v>X</v>
      </c>
      <c r="CD53" s="76" t="str">
        <f t="shared" si="38"/>
        <v/>
      </c>
      <c r="CE53" s="76" t="str">
        <f t="shared" si="38"/>
        <v/>
      </c>
      <c r="CF53" s="76" t="str">
        <f t="shared" si="38"/>
        <v/>
      </c>
      <c r="CG53" s="76" t="str">
        <f t="shared" si="38"/>
        <v/>
      </c>
      <c r="CH53" s="76" t="str">
        <f t="shared" si="38"/>
        <v/>
      </c>
      <c r="CI53" s="76" t="str">
        <f t="shared" si="38"/>
        <v/>
      </c>
      <c r="CJ53" s="76" t="str">
        <f t="shared" si="38"/>
        <v/>
      </c>
      <c r="CK53" s="76" t="str">
        <f t="shared" si="38"/>
        <v/>
      </c>
      <c r="CL53" s="76" t="str">
        <f t="shared" si="38"/>
        <v/>
      </c>
      <c r="CM53" s="76" t="str">
        <f t="shared" si="38"/>
        <v/>
      </c>
      <c r="CN53" s="76" t="str">
        <f t="shared" si="38"/>
        <v/>
      </c>
      <c r="CO53" s="76" t="str">
        <f t="shared" si="38"/>
        <v/>
      </c>
      <c r="CP53" s="76" t="str">
        <f t="shared" si="38"/>
        <v/>
      </c>
      <c r="CQ53" s="76" t="str">
        <f t="shared" si="38"/>
        <v/>
      </c>
      <c r="CR53" s="76" t="str">
        <f t="shared" si="38"/>
        <v/>
      </c>
      <c r="CS53" s="76" t="str">
        <f t="shared" si="38"/>
        <v/>
      </c>
      <c r="CT53" s="76" t="str">
        <f t="shared" si="38"/>
        <v/>
      </c>
      <c r="CU53" s="76" t="str">
        <f t="shared" si="38"/>
        <v/>
      </c>
      <c r="CV53" s="76" t="str">
        <f t="shared" si="38"/>
        <v/>
      </c>
      <c r="CW53" s="76" t="str">
        <f t="shared" si="38"/>
        <v/>
      </c>
      <c r="CX53" s="76" t="str">
        <f t="shared" si="38"/>
        <v/>
      </c>
      <c r="CY53" s="76" t="str">
        <f t="shared" si="38"/>
        <v/>
      </c>
      <c r="CZ53" s="76" t="str">
        <f t="shared" si="38"/>
        <v/>
      </c>
      <c r="DA53" s="76" t="str">
        <f t="shared" si="38"/>
        <v/>
      </c>
      <c r="DB53" s="76" t="str">
        <f t="shared" si="38"/>
        <v/>
      </c>
      <c r="DC53" s="76" t="str">
        <f t="shared" si="38"/>
        <v/>
      </c>
      <c r="DD53" s="76" t="str">
        <f t="shared" si="38"/>
        <v/>
      </c>
      <c r="DE53" s="76" t="str">
        <f t="shared" si="38"/>
        <v/>
      </c>
      <c r="DF53" s="76" t="str">
        <f t="shared" si="38"/>
        <v/>
      </c>
      <c r="DG53" s="76" t="str">
        <f t="shared" si="38"/>
        <v/>
      </c>
      <c r="DH53" s="76" t="str">
        <f t="shared" si="38"/>
        <v/>
      </c>
      <c r="DI53" s="76" t="str">
        <f t="shared" si="38"/>
        <v/>
      </c>
      <c r="DJ53" s="76" t="str">
        <f t="shared" si="38"/>
        <v/>
      </c>
      <c r="DK53" s="76" t="str">
        <f t="shared" si="38"/>
        <v/>
      </c>
      <c r="DL53" s="76" t="str">
        <f t="shared" si="38"/>
        <v/>
      </c>
      <c r="DM53" s="76" t="str">
        <f t="shared" si="38"/>
        <v/>
      </c>
      <c r="DN53" s="76" t="str">
        <f t="shared" si="38"/>
        <v/>
      </c>
      <c r="DO53" s="76" t="str">
        <f t="shared" si="38"/>
        <v/>
      </c>
      <c r="DP53" s="76" t="str">
        <f t="shared" si="38"/>
        <v/>
      </c>
      <c r="DQ53" s="76" t="str">
        <f t="shared" si="38"/>
        <v/>
      </c>
      <c r="DR53" s="76" t="str">
        <f t="shared" si="38"/>
        <v/>
      </c>
      <c r="DS53" s="76" t="str">
        <f t="shared" si="38"/>
        <v/>
      </c>
      <c r="DT53" s="76" t="str">
        <f t="shared" si="38"/>
        <v/>
      </c>
      <c r="DU53" s="76" t="str">
        <f t="shared" si="38"/>
        <v/>
      </c>
      <c r="DV53" s="76" t="str">
        <f t="shared" si="38"/>
        <v/>
      </c>
      <c r="DW53" s="76" t="str">
        <f t="shared" si="38"/>
        <v/>
      </c>
      <c r="DX53" s="76" t="str">
        <f t="shared" si="38"/>
        <v/>
      </c>
      <c r="DY53" s="76" t="str">
        <f t="shared" si="38"/>
        <v/>
      </c>
      <c r="DZ53" s="76" t="str">
        <f t="shared" si="38"/>
        <v/>
      </c>
      <c r="EA53" s="76" t="str">
        <f t="shared" si="38"/>
        <v/>
      </c>
      <c r="EB53" s="76" t="str">
        <f t="shared" si="38"/>
        <v/>
      </c>
      <c r="EC53" s="76" t="str">
        <f t="shared" si="38"/>
        <v/>
      </c>
      <c r="ED53" s="76" t="str">
        <f t="shared" si="38"/>
        <v/>
      </c>
      <c r="EE53" s="76" t="str">
        <f t="shared" si="38"/>
        <v/>
      </c>
      <c r="EF53" s="76" t="str">
        <f t="shared" si="38"/>
        <v/>
      </c>
      <c r="EG53" s="76" t="str">
        <f t="shared" si="38"/>
        <v/>
      </c>
      <c r="EH53" s="76" t="str">
        <f t="shared" si="38"/>
        <v/>
      </c>
      <c r="EI53" s="76" t="str">
        <f t="shared" si="38"/>
        <v/>
      </c>
      <c r="EJ53" s="76" t="str">
        <f t="shared" si="38"/>
        <v/>
      </c>
      <c r="EK53" s="76" t="str">
        <f t="shared" si="38"/>
        <v/>
      </c>
      <c r="EL53" s="76" t="str">
        <f t="shared" si="38"/>
        <v/>
      </c>
      <c r="EM53" s="76" t="str">
        <f t="shared" si="38"/>
        <v/>
      </c>
      <c r="EN53" s="76" t="str">
        <f t="shared" si="38"/>
        <v/>
      </c>
      <c r="EO53" s="76" t="str">
        <f t="shared" si="38"/>
        <v/>
      </c>
      <c r="EP53" s="76" t="str">
        <f t="shared" si="38"/>
        <v/>
      </c>
      <c r="EQ53" s="76" t="str">
        <f t="shared" si="38"/>
        <v/>
      </c>
      <c r="ER53" s="76" t="str">
        <f t="shared" si="38"/>
        <v/>
      </c>
      <c r="ES53" s="76" t="str">
        <f t="shared" si="38"/>
        <v/>
      </c>
    </row>
    <row r="54" outlineLevel="1">
      <c r="A54" s="33"/>
      <c r="B54" s="58">
        <v>30.0</v>
      </c>
      <c r="C54" s="68" t="s">
        <v>102</v>
      </c>
      <c r="D54" s="68"/>
      <c r="E54" s="70">
        <f>F49</f>
        <v>45799</v>
      </c>
      <c r="F54" s="70">
        <f t="shared" si="22"/>
        <v>45899</v>
      </c>
      <c r="G54" s="71">
        <v>100.0</v>
      </c>
      <c r="H54" s="72">
        <v>0.0</v>
      </c>
      <c r="I54" s="73" t="str">
        <f t="shared" ref="I54:ES54" si="39">IF(AND($E54&lt;=I$6,$F54&gt;=I$6),"X","")</f>
        <v/>
      </c>
      <c r="J54" s="73" t="str">
        <f t="shared" si="39"/>
        <v/>
      </c>
      <c r="K54" s="73" t="str">
        <f t="shared" si="39"/>
        <v/>
      </c>
      <c r="L54" s="73" t="str">
        <f t="shared" si="39"/>
        <v/>
      </c>
      <c r="M54" s="73" t="str">
        <f t="shared" si="39"/>
        <v/>
      </c>
      <c r="N54" s="73" t="str">
        <f t="shared" si="39"/>
        <v/>
      </c>
      <c r="O54" s="73" t="str">
        <f t="shared" si="39"/>
        <v/>
      </c>
      <c r="P54" s="73" t="str">
        <f t="shared" si="39"/>
        <v/>
      </c>
      <c r="Q54" s="73" t="str">
        <f t="shared" si="39"/>
        <v/>
      </c>
      <c r="R54" s="73" t="str">
        <f t="shared" si="39"/>
        <v/>
      </c>
      <c r="S54" s="73" t="str">
        <f t="shared" si="39"/>
        <v/>
      </c>
      <c r="T54" s="73" t="str">
        <f t="shared" si="39"/>
        <v/>
      </c>
      <c r="U54" s="73" t="str">
        <f t="shared" si="39"/>
        <v/>
      </c>
      <c r="V54" s="73" t="str">
        <f t="shared" si="39"/>
        <v/>
      </c>
      <c r="W54" s="73" t="str">
        <f t="shared" si="39"/>
        <v/>
      </c>
      <c r="X54" s="73" t="str">
        <f t="shared" si="39"/>
        <v/>
      </c>
      <c r="Y54" s="73" t="str">
        <f t="shared" si="39"/>
        <v/>
      </c>
      <c r="Z54" s="73" t="str">
        <f t="shared" si="39"/>
        <v/>
      </c>
      <c r="AA54" s="73" t="str">
        <f t="shared" si="39"/>
        <v/>
      </c>
      <c r="AB54" s="73" t="str">
        <f t="shared" si="39"/>
        <v/>
      </c>
      <c r="AC54" s="73" t="str">
        <f t="shared" si="39"/>
        <v/>
      </c>
      <c r="AD54" s="73" t="str">
        <f t="shared" si="39"/>
        <v/>
      </c>
      <c r="AE54" s="73" t="str">
        <f t="shared" si="39"/>
        <v/>
      </c>
      <c r="AF54" s="73" t="str">
        <f t="shared" si="39"/>
        <v/>
      </c>
      <c r="AG54" s="73" t="str">
        <f t="shared" si="39"/>
        <v/>
      </c>
      <c r="AH54" s="73" t="str">
        <f t="shared" si="39"/>
        <v/>
      </c>
      <c r="AI54" s="73" t="str">
        <f t="shared" si="39"/>
        <v/>
      </c>
      <c r="AJ54" s="73" t="str">
        <f t="shared" si="39"/>
        <v/>
      </c>
      <c r="AK54" s="73" t="str">
        <f t="shared" si="39"/>
        <v/>
      </c>
      <c r="AL54" s="73" t="str">
        <f t="shared" si="39"/>
        <v/>
      </c>
      <c r="AM54" s="73" t="str">
        <f t="shared" si="39"/>
        <v/>
      </c>
      <c r="AN54" s="73" t="str">
        <f t="shared" si="39"/>
        <v/>
      </c>
      <c r="AO54" s="73" t="str">
        <f t="shared" si="39"/>
        <v/>
      </c>
      <c r="AP54" s="73" t="str">
        <f t="shared" si="39"/>
        <v/>
      </c>
      <c r="AQ54" s="73" t="str">
        <f t="shared" si="39"/>
        <v/>
      </c>
      <c r="AR54" s="73" t="str">
        <f t="shared" si="39"/>
        <v/>
      </c>
      <c r="AS54" s="73" t="str">
        <f t="shared" si="39"/>
        <v/>
      </c>
      <c r="AT54" s="73" t="str">
        <f t="shared" si="39"/>
        <v/>
      </c>
      <c r="AU54" s="73" t="str">
        <f t="shared" si="39"/>
        <v/>
      </c>
      <c r="AV54" s="73" t="str">
        <f t="shared" si="39"/>
        <v/>
      </c>
      <c r="AW54" s="73" t="str">
        <f t="shared" si="39"/>
        <v/>
      </c>
      <c r="AX54" s="73" t="str">
        <f t="shared" si="39"/>
        <v/>
      </c>
      <c r="AY54" s="73" t="str">
        <f t="shared" si="39"/>
        <v/>
      </c>
      <c r="AZ54" s="73" t="str">
        <f t="shared" si="39"/>
        <v/>
      </c>
      <c r="BA54" s="73" t="str">
        <f t="shared" si="39"/>
        <v/>
      </c>
      <c r="BB54" s="73" t="str">
        <f t="shared" si="39"/>
        <v/>
      </c>
      <c r="BC54" s="73" t="str">
        <f t="shared" si="39"/>
        <v/>
      </c>
      <c r="BD54" s="73" t="str">
        <f t="shared" si="39"/>
        <v/>
      </c>
      <c r="BE54" s="73" t="str">
        <f t="shared" si="39"/>
        <v/>
      </c>
      <c r="BF54" s="73" t="str">
        <f t="shared" si="39"/>
        <v/>
      </c>
      <c r="BG54" s="73" t="str">
        <f t="shared" si="39"/>
        <v/>
      </c>
      <c r="BH54" s="73" t="str">
        <f t="shared" si="39"/>
        <v/>
      </c>
      <c r="BI54" s="73" t="str">
        <f t="shared" si="39"/>
        <v/>
      </c>
      <c r="BJ54" s="73" t="str">
        <f t="shared" si="39"/>
        <v/>
      </c>
      <c r="BK54" s="73" t="str">
        <f t="shared" si="39"/>
        <v/>
      </c>
      <c r="BL54" s="73" t="str">
        <f t="shared" si="39"/>
        <v/>
      </c>
      <c r="BM54" s="73" t="str">
        <f t="shared" si="39"/>
        <v>X</v>
      </c>
      <c r="BN54" s="73" t="str">
        <f t="shared" si="39"/>
        <v>X</v>
      </c>
      <c r="BO54" s="73" t="str">
        <f t="shared" si="39"/>
        <v>X</v>
      </c>
      <c r="BP54" s="76" t="str">
        <f t="shared" si="39"/>
        <v>X</v>
      </c>
      <c r="BQ54" s="76" t="str">
        <f t="shared" si="39"/>
        <v>X</v>
      </c>
      <c r="BR54" s="76" t="str">
        <f t="shared" si="39"/>
        <v>X</v>
      </c>
      <c r="BS54" s="76" t="str">
        <f t="shared" si="39"/>
        <v>X</v>
      </c>
      <c r="BT54" s="76" t="str">
        <f t="shared" si="39"/>
        <v>X</v>
      </c>
      <c r="BU54" s="76" t="str">
        <f t="shared" si="39"/>
        <v>X</v>
      </c>
      <c r="BV54" s="76" t="str">
        <f t="shared" si="39"/>
        <v>X</v>
      </c>
      <c r="BW54" s="76" t="str">
        <f t="shared" si="39"/>
        <v>X</v>
      </c>
      <c r="BX54" s="76" t="str">
        <f t="shared" si="39"/>
        <v>X</v>
      </c>
      <c r="BY54" s="76" t="str">
        <f t="shared" si="39"/>
        <v>X</v>
      </c>
      <c r="BZ54" s="76" t="str">
        <f t="shared" si="39"/>
        <v>X</v>
      </c>
      <c r="CA54" s="76" t="str">
        <f t="shared" si="39"/>
        <v/>
      </c>
      <c r="CB54" s="76" t="str">
        <f t="shared" si="39"/>
        <v/>
      </c>
      <c r="CC54" s="76" t="str">
        <f t="shared" si="39"/>
        <v/>
      </c>
      <c r="CD54" s="76" t="str">
        <f t="shared" si="39"/>
        <v/>
      </c>
      <c r="CE54" s="76" t="str">
        <f t="shared" si="39"/>
        <v/>
      </c>
      <c r="CF54" s="76" t="str">
        <f t="shared" si="39"/>
        <v/>
      </c>
      <c r="CG54" s="76" t="str">
        <f t="shared" si="39"/>
        <v/>
      </c>
      <c r="CH54" s="76" t="str">
        <f t="shared" si="39"/>
        <v/>
      </c>
      <c r="CI54" s="76" t="str">
        <f t="shared" si="39"/>
        <v/>
      </c>
      <c r="CJ54" s="76" t="str">
        <f t="shared" si="39"/>
        <v/>
      </c>
      <c r="CK54" s="76" t="str">
        <f t="shared" si="39"/>
        <v/>
      </c>
      <c r="CL54" s="76" t="str">
        <f t="shared" si="39"/>
        <v/>
      </c>
      <c r="CM54" s="76" t="str">
        <f t="shared" si="39"/>
        <v/>
      </c>
      <c r="CN54" s="76" t="str">
        <f t="shared" si="39"/>
        <v/>
      </c>
      <c r="CO54" s="76" t="str">
        <f t="shared" si="39"/>
        <v/>
      </c>
      <c r="CP54" s="76" t="str">
        <f t="shared" si="39"/>
        <v/>
      </c>
      <c r="CQ54" s="76" t="str">
        <f t="shared" si="39"/>
        <v/>
      </c>
      <c r="CR54" s="76" t="str">
        <f t="shared" si="39"/>
        <v/>
      </c>
      <c r="CS54" s="76" t="str">
        <f t="shared" si="39"/>
        <v/>
      </c>
      <c r="CT54" s="76" t="str">
        <f t="shared" si="39"/>
        <v/>
      </c>
      <c r="CU54" s="76" t="str">
        <f t="shared" si="39"/>
        <v/>
      </c>
      <c r="CV54" s="76" t="str">
        <f t="shared" si="39"/>
        <v/>
      </c>
      <c r="CW54" s="76" t="str">
        <f t="shared" si="39"/>
        <v/>
      </c>
      <c r="CX54" s="76" t="str">
        <f t="shared" si="39"/>
        <v/>
      </c>
      <c r="CY54" s="76" t="str">
        <f t="shared" si="39"/>
        <v/>
      </c>
      <c r="CZ54" s="76" t="str">
        <f t="shared" si="39"/>
        <v/>
      </c>
      <c r="DA54" s="76" t="str">
        <f t="shared" si="39"/>
        <v/>
      </c>
      <c r="DB54" s="76" t="str">
        <f t="shared" si="39"/>
        <v/>
      </c>
      <c r="DC54" s="76" t="str">
        <f t="shared" si="39"/>
        <v/>
      </c>
      <c r="DD54" s="76" t="str">
        <f t="shared" si="39"/>
        <v/>
      </c>
      <c r="DE54" s="76" t="str">
        <f t="shared" si="39"/>
        <v/>
      </c>
      <c r="DF54" s="76" t="str">
        <f t="shared" si="39"/>
        <v/>
      </c>
      <c r="DG54" s="76" t="str">
        <f t="shared" si="39"/>
        <v/>
      </c>
      <c r="DH54" s="76" t="str">
        <f t="shared" si="39"/>
        <v/>
      </c>
      <c r="DI54" s="76" t="str">
        <f t="shared" si="39"/>
        <v/>
      </c>
      <c r="DJ54" s="76" t="str">
        <f t="shared" si="39"/>
        <v/>
      </c>
      <c r="DK54" s="76" t="str">
        <f t="shared" si="39"/>
        <v/>
      </c>
      <c r="DL54" s="76" t="str">
        <f t="shared" si="39"/>
        <v/>
      </c>
      <c r="DM54" s="76" t="str">
        <f t="shared" si="39"/>
        <v/>
      </c>
      <c r="DN54" s="76" t="str">
        <f t="shared" si="39"/>
        <v/>
      </c>
      <c r="DO54" s="76" t="str">
        <f t="shared" si="39"/>
        <v/>
      </c>
      <c r="DP54" s="76" t="str">
        <f t="shared" si="39"/>
        <v/>
      </c>
      <c r="DQ54" s="76" t="str">
        <f t="shared" si="39"/>
        <v/>
      </c>
      <c r="DR54" s="76" t="str">
        <f t="shared" si="39"/>
        <v/>
      </c>
      <c r="DS54" s="76" t="str">
        <f t="shared" si="39"/>
        <v/>
      </c>
      <c r="DT54" s="76" t="str">
        <f t="shared" si="39"/>
        <v/>
      </c>
      <c r="DU54" s="76" t="str">
        <f t="shared" si="39"/>
        <v/>
      </c>
      <c r="DV54" s="76" t="str">
        <f t="shared" si="39"/>
        <v/>
      </c>
      <c r="DW54" s="76" t="str">
        <f t="shared" si="39"/>
        <v/>
      </c>
      <c r="DX54" s="76" t="str">
        <f t="shared" si="39"/>
        <v/>
      </c>
      <c r="DY54" s="76" t="str">
        <f t="shared" si="39"/>
        <v/>
      </c>
      <c r="DZ54" s="76" t="str">
        <f t="shared" si="39"/>
        <v/>
      </c>
      <c r="EA54" s="76" t="str">
        <f t="shared" si="39"/>
        <v/>
      </c>
      <c r="EB54" s="76" t="str">
        <f t="shared" si="39"/>
        <v/>
      </c>
      <c r="EC54" s="76" t="str">
        <f t="shared" si="39"/>
        <v/>
      </c>
      <c r="ED54" s="76" t="str">
        <f t="shared" si="39"/>
        <v/>
      </c>
      <c r="EE54" s="76" t="str">
        <f t="shared" si="39"/>
        <v/>
      </c>
      <c r="EF54" s="76" t="str">
        <f t="shared" si="39"/>
        <v/>
      </c>
      <c r="EG54" s="76" t="str">
        <f t="shared" si="39"/>
        <v/>
      </c>
      <c r="EH54" s="76" t="str">
        <f t="shared" si="39"/>
        <v/>
      </c>
      <c r="EI54" s="76" t="str">
        <f t="shared" si="39"/>
        <v/>
      </c>
      <c r="EJ54" s="76" t="str">
        <f t="shared" si="39"/>
        <v/>
      </c>
      <c r="EK54" s="76" t="str">
        <f t="shared" si="39"/>
        <v/>
      </c>
      <c r="EL54" s="76" t="str">
        <f t="shared" si="39"/>
        <v/>
      </c>
      <c r="EM54" s="76" t="str">
        <f t="shared" si="39"/>
        <v/>
      </c>
      <c r="EN54" s="76" t="str">
        <f t="shared" si="39"/>
        <v/>
      </c>
      <c r="EO54" s="76" t="str">
        <f t="shared" si="39"/>
        <v/>
      </c>
      <c r="EP54" s="76" t="str">
        <f t="shared" si="39"/>
        <v/>
      </c>
      <c r="EQ54" s="76" t="str">
        <f t="shared" si="39"/>
        <v/>
      </c>
      <c r="ER54" s="76" t="str">
        <f t="shared" si="39"/>
        <v/>
      </c>
      <c r="ES54" s="76" t="str">
        <f t="shared" si="39"/>
        <v/>
      </c>
    </row>
    <row r="55" outlineLevel="1">
      <c r="A55" s="33"/>
      <c r="B55" s="58">
        <v>31.0</v>
      </c>
      <c r="C55" s="68" t="s">
        <v>103</v>
      </c>
      <c r="D55" s="68"/>
      <c r="E55" s="70">
        <f>F53</f>
        <v>45919</v>
      </c>
      <c r="F55" s="70">
        <f t="shared" si="22"/>
        <v>45933</v>
      </c>
      <c r="G55" s="71">
        <v>14.0</v>
      </c>
      <c r="H55" s="72">
        <v>0.0</v>
      </c>
      <c r="I55" s="73" t="str">
        <f t="shared" ref="I55:ES55" si="40">IF(AND($E55&lt;=I$6,$F55&gt;=I$6),"X","")</f>
        <v/>
      </c>
      <c r="J55" s="73" t="str">
        <f t="shared" si="40"/>
        <v/>
      </c>
      <c r="K55" s="73" t="str">
        <f t="shared" si="40"/>
        <v/>
      </c>
      <c r="L55" s="73" t="str">
        <f t="shared" si="40"/>
        <v/>
      </c>
      <c r="M55" s="73" t="str">
        <f t="shared" si="40"/>
        <v/>
      </c>
      <c r="N55" s="73" t="str">
        <f t="shared" si="40"/>
        <v/>
      </c>
      <c r="O55" s="73" t="str">
        <f t="shared" si="40"/>
        <v/>
      </c>
      <c r="P55" s="73" t="str">
        <f t="shared" si="40"/>
        <v/>
      </c>
      <c r="Q55" s="73" t="str">
        <f t="shared" si="40"/>
        <v/>
      </c>
      <c r="R55" s="73" t="str">
        <f t="shared" si="40"/>
        <v/>
      </c>
      <c r="S55" s="73" t="str">
        <f t="shared" si="40"/>
        <v/>
      </c>
      <c r="T55" s="73" t="str">
        <f t="shared" si="40"/>
        <v/>
      </c>
      <c r="U55" s="73" t="str">
        <f t="shared" si="40"/>
        <v/>
      </c>
      <c r="V55" s="73" t="str">
        <f t="shared" si="40"/>
        <v/>
      </c>
      <c r="W55" s="73" t="str">
        <f t="shared" si="40"/>
        <v/>
      </c>
      <c r="X55" s="73" t="str">
        <f t="shared" si="40"/>
        <v/>
      </c>
      <c r="Y55" s="73" t="str">
        <f t="shared" si="40"/>
        <v/>
      </c>
      <c r="Z55" s="73" t="str">
        <f t="shared" si="40"/>
        <v/>
      </c>
      <c r="AA55" s="73" t="str">
        <f t="shared" si="40"/>
        <v/>
      </c>
      <c r="AB55" s="73" t="str">
        <f t="shared" si="40"/>
        <v/>
      </c>
      <c r="AC55" s="73" t="str">
        <f t="shared" si="40"/>
        <v/>
      </c>
      <c r="AD55" s="73" t="str">
        <f t="shared" si="40"/>
        <v/>
      </c>
      <c r="AE55" s="73" t="str">
        <f t="shared" si="40"/>
        <v/>
      </c>
      <c r="AF55" s="73" t="str">
        <f t="shared" si="40"/>
        <v/>
      </c>
      <c r="AG55" s="73" t="str">
        <f t="shared" si="40"/>
        <v/>
      </c>
      <c r="AH55" s="73" t="str">
        <f t="shared" si="40"/>
        <v/>
      </c>
      <c r="AI55" s="73" t="str">
        <f t="shared" si="40"/>
        <v/>
      </c>
      <c r="AJ55" s="73" t="str">
        <f t="shared" si="40"/>
        <v/>
      </c>
      <c r="AK55" s="73" t="str">
        <f t="shared" si="40"/>
        <v/>
      </c>
      <c r="AL55" s="73" t="str">
        <f t="shared" si="40"/>
        <v/>
      </c>
      <c r="AM55" s="73" t="str">
        <f t="shared" si="40"/>
        <v/>
      </c>
      <c r="AN55" s="73" t="str">
        <f t="shared" si="40"/>
        <v/>
      </c>
      <c r="AO55" s="73" t="str">
        <f t="shared" si="40"/>
        <v/>
      </c>
      <c r="AP55" s="73" t="str">
        <f t="shared" si="40"/>
        <v/>
      </c>
      <c r="AQ55" s="73" t="str">
        <f t="shared" si="40"/>
        <v/>
      </c>
      <c r="AR55" s="73" t="str">
        <f t="shared" si="40"/>
        <v/>
      </c>
      <c r="AS55" s="73" t="str">
        <f t="shared" si="40"/>
        <v/>
      </c>
      <c r="AT55" s="73" t="str">
        <f t="shared" si="40"/>
        <v/>
      </c>
      <c r="AU55" s="73" t="str">
        <f t="shared" si="40"/>
        <v/>
      </c>
      <c r="AV55" s="73" t="str">
        <f t="shared" si="40"/>
        <v/>
      </c>
      <c r="AW55" s="73" t="str">
        <f t="shared" si="40"/>
        <v/>
      </c>
      <c r="AX55" s="73" t="str">
        <f t="shared" si="40"/>
        <v/>
      </c>
      <c r="AY55" s="73" t="str">
        <f t="shared" si="40"/>
        <v/>
      </c>
      <c r="AZ55" s="73" t="str">
        <f t="shared" si="40"/>
        <v/>
      </c>
      <c r="BA55" s="73" t="str">
        <f t="shared" si="40"/>
        <v/>
      </c>
      <c r="BB55" s="73" t="str">
        <f t="shared" si="40"/>
        <v/>
      </c>
      <c r="BC55" s="73" t="str">
        <f t="shared" si="40"/>
        <v/>
      </c>
      <c r="BD55" s="73" t="str">
        <f t="shared" si="40"/>
        <v/>
      </c>
      <c r="BE55" s="73" t="str">
        <f t="shared" si="40"/>
        <v/>
      </c>
      <c r="BF55" s="73" t="str">
        <f t="shared" si="40"/>
        <v/>
      </c>
      <c r="BG55" s="73" t="str">
        <f t="shared" si="40"/>
        <v/>
      </c>
      <c r="BH55" s="73" t="str">
        <f t="shared" si="40"/>
        <v/>
      </c>
      <c r="BI55" s="73" t="str">
        <f t="shared" si="40"/>
        <v/>
      </c>
      <c r="BJ55" s="73" t="str">
        <f t="shared" si="40"/>
        <v/>
      </c>
      <c r="BK55" s="73" t="str">
        <f t="shared" si="40"/>
        <v/>
      </c>
      <c r="BL55" s="73" t="str">
        <f t="shared" si="40"/>
        <v/>
      </c>
      <c r="BM55" s="73" t="str">
        <f t="shared" si="40"/>
        <v/>
      </c>
      <c r="BN55" s="73" t="str">
        <f t="shared" si="40"/>
        <v/>
      </c>
      <c r="BO55" s="73" t="str">
        <f t="shared" si="40"/>
        <v/>
      </c>
      <c r="BP55" s="76" t="str">
        <f t="shared" si="40"/>
        <v/>
      </c>
      <c r="BQ55" s="76" t="str">
        <f t="shared" si="40"/>
        <v/>
      </c>
      <c r="BR55" s="76" t="str">
        <f t="shared" si="40"/>
        <v/>
      </c>
      <c r="BS55" s="76" t="str">
        <f t="shared" si="40"/>
        <v/>
      </c>
      <c r="BT55" s="76" t="str">
        <f t="shared" si="40"/>
        <v/>
      </c>
      <c r="BU55" s="76" t="str">
        <f t="shared" si="40"/>
        <v/>
      </c>
      <c r="BV55" s="76" t="str">
        <f t="shared" si="40"/>
        <v/>
      </c>
      <c r="BW55" s="76" t="str">
        <f t="shared" si="40"/>
        <v/>
      </c>
      <c r="BX55" s="76" t="str">
        <f t="shared" si="40"/>
        <v/>
      </c>
      <c r="BY55" s="76" t="str">
        <f t="shared" si="40"/>
        <v/>
      </c>
      <c r="BZ55" s="76" t="str">
        <f t="shared" si="40"/>
        <v/>
      </c>
      <c r="CA55" s="76" t="str">
        <f t="shared" si="40"/>
        <v/>
      </c>
      <c r="CB55" s="76" t="str">
        <f t="shared" si="40"/>
        <v/>
      </c>
      <c r="CC55" s="76" t="str">
        <f t="shared" si="40"/>
        <v/>
      </c>
      <c r="CD55" s="76" t="str">
        <f t="shared" si="40"/>
        <v>X</v>
      </c>
      <c r="CE55" s="76" t="str">
        <f t="shared" si="40"/>
        <v>X</v>
      </c>
      <c r="CF55" s="76" t="str">
        <f t="shared" si="40"/>
        <v/>
      </c>
      <c r="CG55" s="76" t="str">
        <f t="shared" si="40"/>
        <v/>
      </c>
      <c r="CH55" s="76" t="str">
        <f t="shared" si="40"/>
        <v/>
      </c>
      <c r="CI55" s="76" t="str">
        <f t="shared" si="40"/>
        <v/>
      </c>
      <c r="CJ55" s="76" t="str">
        <f t="shared" si="40"/>
        <v/>
      </c>
      <c r="CK55" s="76" t="str">
        <f t="shared" si="40"/>
        <v/>
      </c>
      <c r="CL55" s="76" t="str">
        <f t="shared" si="40"/>
        <v/>
      </c>
      <c r="CM55" s="76" t="str">
        <f t="shared" si="40"/>
        <v/>
      </c>
      <c r="CN55" s="76" t="str">
        <f t="shared" si="40"/>
        <v/>
      </c>
      <c r="CO55" s="76" t="str">
        <f t="shared" si="40"/>
        <v/>
      </c>
      <c r="CP55" s="76" t="str">
        <f t="shared" si="40"/>
        <v/>
      </c>
      <c r="CQ55" s="76" t="str">
        <f t="shared" si="40"/>
        <v/>
      </c>
      <c r="CR55" s="76" t="str">
        <f t="shared" si="40"/>
        <v/>
      </c>
      <c r="CS55" s="76" t="str">
        <f t="shared" si="40"/>
        <v/>
      </c>
      <c r="CT55" s="76" t="str">
        <f t="shared" si="40"/>
        <v/>
      </c>
      <c r="CU55" s="76" t="str">
        <f t="shared" si="40"/>
        <v/>
      </c>
      <c r="CV55" s="76" t="str">
        <f t="shared" si="40"/>
        <v/>
      </c>
      <c r="CW55" s="76" t="str">
        <f t="shared" si="40"/>
        <v/>
      </c>
      <c r="CX55" s="76" t="str">
        <f t="shared" si="40"/>
        <v/>
      </c>
      <c r="CY55" s="76" t="str">
        <f t="shared" si="40"/>
        <v/>
      </c>
      <c r="CZ55" s="76" t="str">
        <f t="shared" si="40"/>
        <v/>
      </c>
      <c r="DA55" s="76" t="str">
        <f t="shared" si="40"/>
        <v/>
      </c>
      <c r="DB55" s="76" t="str">
        <f t="shared" si="40"/>
        <v/>
      </c>
      <c r="DC55" s="76" t="str">
        <f t="shared" si="40"/>
        <v/>
      </c>
      <c r="DD55" s="76" t="str">
        <f t="shared" si="40"/>
        <v/>
      </c>
      <c r="DE55" s="76" t="str">
        <f t="shared" si="40"/>
        <v/>
      </c>
      <c r="DF55" s="76" t="str">
        <f t="shared" si="40"/>
        <v/>
      </c>
      <c r="DG55" s="76" t="str">
        <f t="shared" si="40"/>
        <v/>
      </c>
      <c r="DH55" s="76" t="str">
        <f t="shared" si="40"/>
        <v/>
      </c>
      <c r="DI55" s="76" t="str">
        <f t="shared" si="40"/>
        <v/>
      </c>
      <c r="DJ55" s="76" t="str">
        <f t="shared" si="40"/>
        <v/>
      </c>
      <c r="DK55" s="76" t="str">
        <f t="shared" si="40"/>
        <v/>
      </c>
      <c r="DL55" s="76" t="str">
        <f t="shared" si="40"/>
        <v/>
      </c>
      <c r="DM55" s="76" t="str">
        <f t="shared" si="40"/>
        <v/>
      </c>
      <c r="DN55" s="76" t="str">
        <f t="shared" si="40"/>
        <v/>
      </c>
      <c r="DO55" s="76" t="str">
        <f t="shared" si="40"/>
        <v/>
      </c>
      <c r="DP55" s="76" t="str">
        <f t="shared" si="40"/>
        <v/>
      </c>
      <c r="DQ55" s="76" t="str">
        <f t="shared" si="40"/>
        <v/>
      </c>
      <c r="DR55" s="76" t="str">
        <f t="shared" si="40"/>
        <v/>
      </c>
      <c r="DS55" s="76" t="str">
        <f t="shared" si="40"/>
        <v/>
      </c>
      <c r="DT55" s="76" t="str">
        <f t="shared" si="40"/>
        <v/>
      </c>
      <c r="DU55" s="76" t="str">
        <f t="shared" si="40"/>
        <v/>
      </c>
      <c r="DV55" s="76" t="str">
        <f t="shared" si="40"/>
        <v/>
      </c>
      <c r="DW55" s="76" t="str">
        <f t="shared" si="40"/>
        <v/>
      </c>
      <c r="DX55" s="76" t="str">
        <f t="shared" si="40"/>
        <v/>
      </c>
      <c r="DY55" s="76" t="str">
        <f t="shared" si="40"/>
        <v/>
      </c>
      <c r="DZ55" s="76" t="str">
        <f t="shared" si="40"/>
        <v/>
      </c>
      <c r="EA55" s="76" t="str">
        <f t="shared" si="40"/>
        <v/>
      </c>
      <c r="EB55" s="76" t="str">
        <f t="shared" si="40"/>
        <v/>
      </c>
      <c r="EC55" s="76" t="str">
        <f t="shared" si="40"/>
        <v/>
      </c>
      <c r="ED55" s="76" t="str">
        <f t="shared" si="40"/>
        <v/>
      </c>
      <c r="EE55" s="76" t="str">
        <f t="shared" si="40"/>
        <v/>
      </c>
      <c r="EF55" s="76" t="str">
        <f t="shared" si="40"/>
        <v/>
      </c>
      <c r="EG55" s="76" t="str">
        <f t="shared" si="40"/>
        <v/>
      </c>
      <c r="EH55" s="76" t="str">
        <f t="shared" si="40"/>
        <v/>
      </c>
      <c r="EI55" s="76" t="str">
        <f t="shared" si="40"/>
        <v/>
      </c>
      <c r="EJ55" s="76" t="str">
        <f t="shared" si="40"/>
        <v/>
      </c>
      <c r="EK55" s="76" t="str">
        <f t="shared" si="40"/>
        <v/>
      </c>
      <c r="EL55" s="76" t="str">
        <f t="shared" si="40"/>
        <v/>
      </c>
      <c r="EM55" s="76" t="str">
        <f t="shared" si="40"/>
        <v/>
      </c>
      <c r="EN55" s="76" t="str">
        <f t="shared" si="40"/>
        <v/>
      </c>
      <c r="EO55" s="76" t="str">
        <f t="shared" si="40"/>
        <v/>
      </c>
      <c r="EP55" s="76" t="str">
        <f t="shared" si="40"/>
        <v/>
      </c>
      <c r="EQ55" s="76" t="str">
        <f t="shared" si="40"/>
        <v/>
      </c>
      <c r="ER55" s="76" t="str">
        <f t="shared" si="40"/>
        <v/>
      </c>
      <c r="ES55" s="76" t="str">
        <f t="shared" si="40"/>
        <v/>
      </c>
    </row>
    <row r="56" outlineLevel="1">
      <c r="A56" s="33"/>
      <c r="B56" s="58">
        <v>32.0</v>
      </c>
      <c r="C56" s="68" t="s">
        <v>171</v>
      </c>
      <c r="D56" s="68"/>
      <c r="E56" s="70">
        <f>F49</f>
        <v>45799</v>
      </c>
      <c r="F56" s="70">
        <f t="shared" si="22"/>
        <v>45899</v>
      </c>
      <c r="G56" s="71">
        <v>100.0</v>
      </c>
      <c r="H56" s="72">
        <v>0.0</v>
      </c>
      <c r="I56" s="73" t="str">
        <f t="shared" ref="I56:ES56" si="41">IF(AND($E56&lt;=I$6,$F56&gt;=I$6),"X","")</f>
        <v/>
      </c>
      <c r="J56" s="73" t="str">
        <f t="shared" si="41"/>
        <v/>
      </c>
      <c r="K56" s="73" t="str">
        <f t="shared" si="41"/>
        <v/>
      </c>
      <c r="L56" s="73" t="str">
        <f t="shared" si="41"/>
        <v/>
      </c>
      <c r="M56" s="73" t="str">
        <f t="shared" si="41"/>
        <v/>
      </c>
      <c r="N56" s="73" t="str">
        <f t="shared" si="41"/>
        <v/>
      </c>
      <c r="O56" s="73" t="str">
        <f t="shared" si="41"/>
        <v/>
      </c>
      <c r="P56" s="73" t="str">
        <f t="shared" si="41"/>
        <v/>
      </c>
      <c r="Q56" s="73" t="str">
        <f t="shared" si="41"/>
        <v/>
      </c>
      <c r="R56" s="73" t="str">
        <f t="shared" si="41"/>
        <v/>
      </c>
      <c r="S56" s="73" t="str">
        <f t="shared" si="41"/>
        <v/>
      </c>
      <c r="T56" s="73" t="str">
        <f t="shared" si="41"/>
        <v/>
      </c>
      <c r="U56" s="73" t="str">
        <f t="shared" si="41"/>
        <v/>
      </c>
      <c r="V56" s="73" t="str">
        <f t="shared" si="41"/>
        <v/>
      </c>
      <c r="W56" s="73" t="str">
        <f t="shared" si="41"/>
        <v/>
      </c>
      <c r="X56" s="73" t="str">
        <f t="shared" si="41"/>
        <v/>
      </c>
      <c r="Y56" s="73" t="str">
        <f t="shared" si="41"/>
        <v/>
      </c>
      <c r="Z56" s="73" t="str">
        <f t="shared" si="41"/>
        <v/>
      </c>
      <c r="AA56" s="73" t="str">
        <f t="shared" si="41"/>
        <v/>
      </c>
      <c r="AB56" s="73" t="str">
        <f t="shared" si="41"/>
        <v/>
      </c>
      <c r="AC56" s="73" t="str">
        <f t="shared" si="41"/>
        <v/>
      </c>
      <c r="AD56" s="73" t="str">
        <f t="shared" si="41"/>
        <v/>
      </c>
      <c r="AE56" s="73" t="str">
        <f t="shared" si="41"/>
        <v/>
      </c>
      <c r="AF56" s="73" t="str">
        <f t="shared" si="41"/>
        <v/>
      </c>
      <c r="AG56" s="73" t="str">
        <f t="shared" si="41"/>
        <v/>
      </c>
      <c r="AH56" s="73" t="str">
        <f t="shared" si="41"/>
        <v/>
      </c>
      <c r="AI56" s="73" t="str">
        <f t="shared" si="41"/>
        <v/>
      </c>
      <c r="AJ56" s="73" t="str">
        <f t="shared" si="41"/>
        <v/>
      </c>
      <c r="AK56" s="73" t="str">
        <f t="shared" si="41"/>
        <v/>
      </c>
      <c r="AL56" s="73" t="str">
        <f t="shared" si="41"/>
        <v/>
      </c>
      <c r="AM56" s="73" t="str">
        <f t="shared" si="41"/>
        <v/>
      </c>
      <c r="AN56" s="73" t="str">
        <f t="shared" si="41"/>
        <v/>
      </c>
      <c r="AO56" s="73" t="str">
        <f t="shared" si="41"/>
        <v/>
      </c>
      <c r="AP56" s="73" t="str">
        <f t="shared" si="41"/>
        <v/>
      </c>
      <c r="AQ56" s="73" t="str">
        <f t="shared" si="41"/>
        <v/>
      </c>
      <c r="AR56" s="73" t="str">
        <f t="shared" si="41"/>
        <v/>
      </c>
      <c r="AS56" s="73" t="str">
        <f t="shared" si="41"/>
        <v/>
      </c>
      <c r="AT56" s="73" t="str">
        <f t="shared" si="41"/>
        <v/>
      </c>
      <c r="AU56" s="73" t="str">
        <f t="shared" si="41"/>
        <v/>
      </c>
      <c r="AV56" s="73" t="str">
        <f t="shared" si="41"/>
        <v/>
      </c>
      <c r="AW56" s="73" t="str">
        <f t="shared" si="41"/>
        <v/>
      </c>
      <c r="AX56" s="73" t="str">
        <f t="shared" si="41"/>
        <v/>
      </c>
      <c r="AY56" s="73" t="str">
        <f t="shared" si="41"/>
        <v/>
      </c>
      <c r="AZ56" s="73" t="str">
        <f t="shared" si="41"/>
        <v/>
      </c>
      <c r="BA56" s="73" t="str">
        <f t="shared" si="41"/>
        <v/>
      </c>
      <c r="BB56" s="73" t="str">
        <f t="shared" si="41"/>
        <v/>
      </c>
      <c r="BC56" s="73" t="str">
        <f t="shared" si="41"/>
        <v/>
      </c>
      <c r="BD56" s="73" t="str">
        <f t="shared" si="41"/>
        <v/>
      </c>
      <c r="BE56" s="73" t="str">
        <f t="shared" si="41"/>
        <v/>
      </c>
      <c r="BF56" s="73" t="str">
        <f t="shared" si="41"/>
        <v/>
      </c>
      <c r="BG56" s="73" t="str">
        <f t="shared" si="41"/>
        <v/>
      </c>
      <c r="BH56" s="73" t="str">
        <f t="shared" si="41"/>
        <v/>
      </c>
      <c r="BI56" s="73" t="str">
        <f t="shared" si="41"/>
        <v/>
      </c>
      <c r="BJ56" s="73" t="str">
        <f t="shared" si="41"/>
        <v/>
      </c>
      <c r="BK56" s="73" t="str">
        <f t="shared" si="41"/>
        <v/>
      </c>
      <c r="BL56" s="73" t="str">
        <f t="shared" si="41"/>
        <v/>
      </c>
      <c r="BM56" s="73" t="str">
        <f t="shared" si="41"/>
        <v>X</v>
      </c>
      <c r="BN56" s="73" t="str">
        <f t="shared" si="41"/>
        <v>X</v>
      </c>
      <c r="BO56" s="73" t="str">
        <f t="shared" si="41"/>
        <v>X</v>
      </c>
      <c r="BP56" s="76" t="str">
        <f t="shared" si="41"/>
        <v>X</v>
      </c>
      <c r="BQ56" s="76" t="str">
        <f t="shared" si="41"/>
        <v>X</v>
      </c>
      <c r="BR56" s="76" t="str">
        <f t="shared" si="41"/>
        <v>X</v>
      </c>
      <c r="BS56" s="76" t="str">
        <f t="shared" si="41"/>
        <v>X</v>
      </c>
      <c r="BT56" s="76" t="str">
        <f t="shared" si="41"/>
        <v>X</v>
      </c>
      <c r="BU56" s="76" t="str">
        <f t="shared" si="41"/>
        <v>X</v>
      </c>
      <c r="BV56" s="76" t="str">
        <f t="shared" si="41"/>
        <v>X</v>
      </c>
      <c r="BW56" s="76" t="str">
        <f t="shared" si="41"/>
        <v>X</v>
      </c>
      <c r="BX56" s="76" t="str">
        <f t="shared" si="41"/>
        <v>X</v>
      </c>
      <c r="BY56" s="76" t="str">
        <f t="shared" si="41"/>
        <v>X</v>
      </c>
      <c r="BZ56" s="76" t="str">
        <f t="shared" si="41"/>
        <v>X</v>
      </c>
      <c r="CA56" s="76" t="str">
        <f t="shared" si="41"/>
        <v/>
      </c>
      <c r="CB56" s="76" t="str">
        <f t="shared" si="41"/>
        <v/>
      </c>
      <c r="CC56" s="76" t="str">
        <f t="shared" si="41"/>
        <v/>
      </c>
      <c r="CD56" s="76" t="str">
        <f t="shared" si="41"/>
        <v/>
      </c>
      <c r="CE56" s="76" t="str">
        <f t="shared" si="41"/>
        <v/>
      </c>
      <c r="CF56" s="76" t="str">
        <f t="shared" si="41"/>
        <v/>
      </c>
      <c r="CG56" s="76" t="str">
        <f t="shared" si="41"/>
        <v/>
      </c>
      <c r="CH56" s="76" t="str">
        <f t="shared" si="41"/>
        <v/>
      </c>
      <c r="CI56" s="76" t="str">
        <f t="shared" si="41"/>
        <v/>
      </c>
      <c r="CJ56" s="76" t="str">
        <f t="shared" si="41"/>
        <v/>
      </c>
      <c r="CK56" s="76" t="str">
        <f t="shared" si="41"/>
        <v/>
      </c>
      <c r="CL56" s="76" t="str">
        <f t="shared" si="41"/>
        <v/>
      </c>
      <c r="CM56" s="76" t="str">
        <f t="shared" si="41"/>
        <v/>
      </c>
      <c r="CN56" s="76" t="str">
        <f t="shared" si="41"/>
        <v/>
      </c>
      <c r="CO56" s="76" t="str">
        <f t="shared" si="41"/>
        <v/>
      </c>
      <c r="CP56" s="76" t="str">
        <f t="shared" si="41"/>
        <v/>
      </c>
      <c r="CQ56" s="76" t="str">
        <f t="shared" si="41"/>
        <v/>
      </c>
      <c r="CR56" s="76" t="str">
        <f t="shared" si="41"/>
        <v/>
      </c>
      <c r="CS56" s="76" t="str">
        <f t="shared" si="41"/>
        <v/>
      </c>
      <c r="CT56" s="76" t="str">
        <f t="shared" si="41"/>
        <v/>
      </c>
      <c r="CU56" s="76" t="str">
        <f t="shared" si="41"/>
        <v/>
      </c>
      <c r="CV56" s="76" t="str">
        <f t="shared" si="41"/>
        <v/>
      </c>
      <c r="CW56" s="76" t="str">
        <f t="shared" si="41"/>
        <v/>
      </c>
      <c r="CX56" s="76" t="str">
        <f t="shared" si="41"/>
        <v/>
      </c>
      <c r="CY56" s="76" t="str">
        <f t="shared" si="41"/>
        <v/>
      </c>
      <c r="CZ56" s="76" t="str">
        <f t="shared" si="41"/>
        <v/>
      </c>
      <c r="DA56" s="76" t="str">
        <f t="shared" si="41"/>
        <v/>
      </c>
      <c r="DB56" s="76" t="str">
        <f t="shared" si="41"/>
        <v/>
      </c>
      <c r="DC56" s="76" t="str">
        <f t="shared" si="41"/>
        <v/>
      </c>
      <c r="DD56" s="76" t="str">
        <f t="shared" si="41"/>
        <v/>
      </c>
      <c r="DE56" s="76" t="str">
        <f t="shared" si="41"/>
        <v/>
      </c>
      <c r="DF56" s="76" t="str">
        <f t="shared" si="41"/>
        <v/>
      </c>
      <c r="DG56" s="76" t="str">
        <f t="shared" si="41"/>
        <v/>
      </c>
      <c r="DH56" s="76" t="str">
        <f t="shared" si="41"/>
        <v/>
      </c>
      <c r="DI56" s="76" t="str">
        <f t="shared" si="41"/>
        <v/>
      </c>
      <c r="DJ56" s="76" t="str">
        <f t="shared" si="41"/>
        <v/>
      </c>
      <c r="DK56" s="76" t="str">
        <f t="shared" si="41"/>
        <v/>
      </c>
      <c r="DL56" s="76" t="str">
        <f t="shared" si="41"/>
        <v/>
      </c>
      <c r="DM56" s="76" t="str">
        <f t="shared" si="41"/>
        <v/>
      </c>
      <c r="DN56" s="76" t="str">
        <f t="shared" si="41"/>
        <v/>
      </c>
      <c r="DO56" s="76" t="str">
        <f t="shared" si="41"/>
        <v/>
      </c>
      <c r="DP56" s="76" t="str">
        <f t="shared" si="41"/>
        <v/>
      </c>
      <c r="DQ56" s="76" t="str">
        <f t="shared" si="41"/>
        <v/>
      </c>
      <c r="DR56" s="76" t="str">
        <f t="shared" si="41"/>
        <v/>
      </c>
      <c r="DS56" s="76" t="str">
        <f t="shared" si="41"/>
        <v/>
      </c>
      <c r="DT56" s="76" t="str">
        <f t="shared" si="41"/>
        <v/>
      </c>
      <c r="DU56" s="76" t="str">
        <f t="shared" si="41"/>
        <v/>
      </c>
      <c r="DV56" s="76" t="str">
        <f t="shared" si="41"/>
        <v/>
      </c>
      <c r="DW56" s="76" t="str">
        <f t="shared" si="41"/>
        <v/>
      </c>
      <c r="DX56" s="76" t="str">
        <f t="shared" si="41"/>
        <v/>
      </c>
      <c r="DY56" s="76" t="str">
        <f t="shared" si="41"/>
        <v/>
      </c>
      <c r="DZ56" s="76" t="str">
        <f t="shared" si="41"/>
        <v/>
      </c>
      <c r="EA56" s="76" t="str">
        <f t="shared" si="41"/>
        <v/>
      </c>
      <c r="EB56" s="76" t="str">
        <f t="shared" si="41"/>
        <v/>
      </c>
      <c r="EC56" s="76" t="str">
        <f t="shared" si="41"/>
        <v/>
      </c>
      <c r="ED56" s="76" t="str">
        <f t="shared" si="41"/>
        <v/>
      </c>
      <c r="EE56" s="76" t="str">
        <f t="shared" si="41"/>
        <v/>
      </c>
      <c r="EF56" s="76" t="str">
        <f t="shared" si="41"/>
        <v/>
      </c>
      <c r="EG56" s="76" t="str">
        <f t="shared" si="41"/>
        <v/>
      </c>
      <c r="EH56" s="76" t="str">
        <f t="shared" si="41"/>
        <v/>
      </c>
      <c r="EI56" s="76" t="str">
        <f t="shared" si="41"/>
        <v/>
      </c>
      <c r="EJ56" s="76" t="str">
        <f t="shared" si="41"/>
        <v/>
      </c>
      <c r="EK56" s="76" t="str">
        <f t="shared" si="41"/>
        <v/>
      </c>
      <c r="EL56" s="76" t="str">
        <f t="shared" si="41"/>
        <v/>
      </c>
      <c r="EM56" s="76" t="str">
        <f t="shared" si="41"/>
        <v/>
      </c>
      <c r="EN56" s="76" t="str">
        <f t="shared" si="41"/>
        <v/>
      </c>
      <c r="EO56" s="76" t="str">
        <f t="shared" si="41"/>
        <v/>
      </c>
      <c r="EP56" s="76" t="str">
        <f t="shared" si="41"/>
        <v/>
      </c>
      <c r="EQ56" s="76" t="str">
        <f t="shared" si="41"/>
        <v/>
      </c>
      <c r="ER56" s="76" t="str">
        <f t="shared" si="41"/>
        <v/>
      </c>
      <c r="ES56" s="76" t="str">
        <f t="shared" si="41"/>
        <v/>
      </c>
    </row>
    <row r="57" outlineLevel="1">
      <c r="A57" s="33"/>
      <c r="B57" s="58">
        <v>33.0</v>
      </c>
      <c r="C57" s="68" t="s">
        <v>172</v>
      </c>
      <c r="D57" s="68"/>
      <c r="E57" s="70">
        <f>F49</f>
        <v>45799</v>
      </c>
      <c r="F57" s="70">
        <f t="shared" si="22"/>
        <v>45834</v>
      </c>
      <c r="G57" s="71">
        <v>35.0</v>
      </c>
      <c r="H57" s="72">
        <v>0.0</v>
      </c>
      <c r="I57" s="73" t="str">
        <f t="shared" ref="I57:ES57" si="42">IF(AND($E57&lt;=I$6,$F57&gt;=I$6),"X","")</f>
        <v/>
      </c>
      <c r="J57" s="73" t="str">
        <f t="shared" si="42"/>
        <v/>
      </c>
      <c r="K57" s="73" t="str">
        <f t="shared" si="42"/>
        <v/>
      </c>
      <c r="L57" s="73" t="str">
        <f t="shared" si="42"/>
        <v/>
      </c>
      <c r="M57" s="73" t="str">
        <f t="shared" si="42"/>
        <v/>
      </c>
      <c r="N57" s="73" t="str">
        <f t="shared" si="42"/>
        <v/>
      </c>
      <c r="O57" s="73" t="str">
        <f t="shared" si="42"/>
        <v/>
      </c>
      <c r="P57" s="73" t="str">
        <f t="shared" si="42"/>
        <v/>
      </c>
      <c r="Q57" s="73" t="str">
        <f t="shared" si="42"/>
        <v/>
      </c>
      <c r="R57" s="73" t="str">
        <f t="shared" si="42"/>
        <v/>
      </c>
      <c r="S57" s="73" t="str">
        <f t="shared" si="42"/>
        <v/>
      </c>
      <c r="T57" s="73" t="str">
        <f t="shared" si="42"/>
        <v/>
      </c>
      <c r="U57" s="73" t="str">
        <f t="shared" si="42"/>
        <v/>
      </c>
      <c r="V57" s="73" t="str">
        <f t="shared" si="42"/>
        <v/>
      </c>
      <c r="W57" s="73" t="str">
        <f t="shared" si="42"/>
        <v/>
      </c>
      <c r="X57" s="73" t="str">
        <f t="shared" si="42"/>
        <v/>
      </c>
      <c r="Y57" s="73" t="str">
        <f t="shared" si="42"/>
        <v/>
      </c>
      <c r="Z57" s="73" t="str">
        <f t="shared" si="42"/>
        <v/>
      </c>
      <c r="AA57" s="73" t="str">
        <f t="shared" si="42"/>
        <v/>
      </c>
      <c r="AB57" s="73" t="str">
        <f t="shared" si="42"/>
        <v/>
      </c>
      <c r="AC57" s="73" t="str">
        <f t="shared" si="42"/>
        <v/>
      </c>
      <c r="AD57" s="73" t="str">
        <f t="shared" si="42"/>
        <v/>
      </c>
      <c r="AE57" s="73" t="str">
        <f t="shared" si="42"/>
        <v/>
      </c>
      <c r="AF57" s="73" t="str">
        <f t="shared" si="42"/>
        <v/>
      </c>
      <c r="AG57" s="73" t="str">
        <f t="shared" si="42"/>
        <v/>
      </c>
      <c r="AH57" s="73" t="str">
        <f t="shared" si="42"/>
        <v/>
      </c>
      <c r="AI57" s="73" t="str">
        <f t="shared" si="42"/>
        <v/>
      </c>
      <c r="AJ57" s="73" t="str">
        <f t="shared" si="42"/>
        <v/>
      </c>
      <c r="AK57" s="73" t="str">
        <f t="shared" si="42"/>
        <v/>
      </c>
      <c r="AL57" s="73" t="str">
        <f t="shared" si="42"/>
        <v/>
      </c>
      <c r="AM57" s="73" t="str">
        <f t="shared" si="42"/>
        <v/>
      </c>
      <c r="AN57" s="73" t="str">
        <f t="shared" si="42"/>
        <v/>
      </c>
      <c r="AO57" s="73" t="str">
        <f t="shared" si="42"/>
        <v/>
      </c>
      <c r="AP57" s="73" t="str">
        <f t="shared" si="42"/>
        <v/>
      </c>
      <c r="AQ57" s="73" t="str">
        <f t="shared" si="42"/>
        <v/>
      </c>
      <c r="AR57" s="73" t="str">
        <f t="shared" si="42"/>
        <v/>
      </c>
      <c r="AS57" s="73" t="str">
        <f t="shared" si="42"/>
        <v/>
      </c>
      <c r="AT57" s="73" t="str">
        <f t="shared" si="42"/>
        <v/>
      </c>
      <c r="AU57" s="73" t="str">
        <f t="shared" si="42"/>
        <v/>
      </c>
      <c r="AV57" s="73" t="str">
        <f t="shared" si="42"/>
        <v/>
      </c>
      <c r="AW57" s="73" t="str">
        <f t="shared" si="42"/>
        <v/>
      </c>
      <c r="AX57" s="73" t="str">
        <f t="shared" si="42"/>
        <v/>
      </c>
      <c r="AY57" s="73" t="str">
        <f t="shared" si="42"/>
        <v/>
      </c>
      <c r="AZ57" s="73" t="str">
        <f t="shared" si="42"/>
        <v/>
      </c>
      <c r="BA57" s="73" t="str">
        <f t="shared" si="42"/>
        <v/>
      </c>
      <c r="BB57" s="73" t="str">
        <f t="shared" si="42"/>
        <v/>
      </c>
      <c r="BC57" s="73" t="str">
        <f t="shared" si="42"/>
        <v/>
      </c>
      <c r="BD57" s="73" t="str">
        <f t="shared" si="42"/>
        <v/>
      </c>
      <c r="BE57" s="73" t="str">
        <f t="shared" si="42"/>
        <v/>
      </c>
      <c r="BF57" s="73" t="str">
        <f t="shared" si="42"/>
        <v/>
      </c>
      <c r="BG57" s="73" t="str">
        <f t="shared" si="42"/>
        <v/>
      </c>
      <c r="BH57" s="73" t="str">
        <f t="shared" si="42"/>
        <v/>
      </c>
      <c r="BI57" s="73" t="str">
        <f t="shared" si="42"/>
        <v/>
      </c>
      <c r="BJ57" s="73" t="str">
        <f t="shared" si="42"/>
        <v/>
      </c>
      <c r="BK57" s="73" t="str">
        <f t="shared" si="42"/>
        <v/>
      </c>
      <c r="BL57" s="73" t="str">
        <f t="shared" si="42"/>
        <v/>
      </c>
      <c r="BM57" s="73" t="str">
        <f t="shared" si="42"/>
        <v>X</v>
      </c>
      <c r="BN57" s="73" t="str">
        <f t="shared" si="42"/>
        <v>X</v>
      </c>
      <c r="BO57" s="73" t="str">
        <f t="shared" si="42"/>
        <v>X</v>
      </c>
      <c r="BP57" s="76" t="str">
        <f t="shared" si="42"/>
        <v>X</v>
      </c>
      <c r="BQ57" s="76" t="str">
        <f t="shared" si="42"/>
        <v>X</v>
      </c>
      <c r="BR57" s="76" t="str">
        <f t="shared" si="42"/>
        <v/>
      </c>
      <c r="BS57" s="76" t="str">
        <f t="shared" si="42"/>
        <v/>
      </c>
      <c r="BT57" s="76" t="str">
        <f t="shared" si="42"/>
        <v/>
      </c>
      <c r="BU57" s="76" t="str">
        <f t="shared" si="42"/>
        <v/>
      </c>
      <c r="BV57" s="76" t="str">
        <f t="shared" si="42"/>
        <v/>
      </c>
      <c r="BW57" s="76" t="str">
        <f t="shared" si="42"/>
        <v/>
      </c>
      <c r="BX57" s="76" t="str">
        <f t="shared" si="42"/>
        <v/>
      </c>
      <c r="BY57" s="76" t="str">
        <f t="shared" si="42"/>
        <v/>
      </c>
      <c r="BZ57" s="76" t="str">
        <f t="shared" si="42"/>
        <v/>
      </c>
      <c r="CA57" s="76" t="str">
        <f t="shared" si="42"/>
        <v/>
      </c>
      <c r="CB57" s="76" t="str">
        <f t="shared" si="42"/>
        <v/>
      </c>
      <c r="CC57" s="76" t="str">
        <f t="shared" si="42"/>
        <v/>
      </c>
      <c r="CD57" s="76" t="str">
        <f t="shared" si="42"/>
        <v/>
      </c>
      <c r="CE57" s="76" t="str">
        <f t="shared" si="42"/>
        <v/>
      </c>
      <c r="CF57" s="76" t="str">
        <f t="shared" si="42"/>
        <v/>
      </c>
      <c r="CG57" s="76" t="str">
        <f t="shared" si="42"/>
        <v/>
      </c>
      <c r="CH57" s="76" t="str">
        <f t="shared" si="42"/>
        <v/>
      </c>
      <c r="CI57" s="76" t="str">
        <f t="shared" si="42"/>
        <v/>
      </c>
      <c r="CJ57" s="76" t="str">
        <f t="shared" si="42"/>
        <v/>
      </c>
      <c r="CK57" s="76" t="str">
        <f t="shared" si="42"/>
        <v/>
      </c>
      <c r="CL57" s="76" t="str">
        <f t="shared" si="42"/>
        <v/>
      </c>
      <c r="CM57" s="76" t="str">
        <f t="shared" si="42"/>
        <v/>
      </c>
      <c r="CN57" s="76" t="str">
        <f t="shared" si="42"/>
        <v/>
      </c>
      <c r="CO57" s="76" t="str">
        <f t="shared" si="42"/>
        <v/>
      </c>
      <c r="CP57" s="76" t="str">
        <f t="shared" si="42"/>
        <v/>
      </c>
      <c r="CQ57" s="76" t="str">
        <f t="shared" si="42"/>
        <v/>
      </c>
      <c r="CR57" s="76" t="str">
        <f t="shared" si="42"/>
        <v/>
      </c>
      <c r="CS57" s="76" t="str">
        <f t="shared" si="42"/>
        <v/>
      </c>
      <c r="CT57" s="76" t="str">
        <f t="shared" si="42"/>
        <v/>
      </c>
      <c r="CU57" s="76" t="str">
        <f t="shared" si="42"/>
        <v/>
      </c>
      <c r="CV57" s="76" t="str">
        <f t="shared" si="42"/>
        <v/>
      </c>
      <c r="CW57" s="76" t="str">
        <f t="shared" si="42"/>
        <v/>
      </c>
      <c r="CX57" s="76" t="str">
        <f t="shared" si="42"/>
        <v/>
      </c>
      <c r="CY57" s="76" t="str">
        <f t="shared" si="42"/>
        <v/>
      </c>
      <c r="CZ57" s="76" t="str">
        <f t="shared" si="42"/>
        <v/>
      </c>
      <c r="DA57" s="76" t="str">
        <f t="shared" si="42"/>
        <v/>
      </c>
      <c r="DB57" s="76" t="str">
        <f t="shared" si="42"/>
        <v/>
      </c>
      <c r="DC57" s="76" t="str">
        <f t="shared" si="42"/>
        <v/>
      </c>
      <c r="DD57" s="76" t="str">
        <f t="shared" si="42"/>
        <v/>
      </c>
      <c r="DE57" s="76" t="str">
        <f t="shared" si="42"/>
        <v/>
      </c>
      <c r="DF57" s="76" t="str">
        <f t="shared" si="42"/>
        <v/>
      </c>
      <c r="DG57" s="76" t="str">
        <f t="shared" si="42"/>
        <v/>
      </c>
      <c r="DH57" s="76" t="str">
        <f t="shared" si="42"/>
        <v/>
      </c>
      <c r="DI57" s="76" t="str">
        <f t="shared" si="42"/>
        <v/>
      </c>
      <c r="DJ57" s="76" t="str">
        <f t="shared" si="42"/>
        <v/>
      </c>
      <c r="DK57" s="76" t="str">
        <f t="shared" si="42"/>
        <v/>
      </c>
      <c r="DL57" s="76" t="str">
        <f t="shared" si="42"/>
        <v/>
      </c>
      <c r="DM57" s="76" t="str">
        <f t="shared" si="42"/>
        <v/>
      </c>
      <c r="DN57" s="76" t="str">
        <f t="shared" si="42"/>
        <v/>
      </c>
      <c r="DO57" s="76" t="str">
        <f t="shared" si="42"/>
        <v/>
      </c>
      <c r="DP57" s="76" t="str">
        <f t="shared" si="42"/>
        <v/>
      </c>
      <c r="DQ57" s="76" t="str">
        <f t="shared" si="42"/>
        <v/>
      </c>
      <c r="DR57" s="76" t="str">
        <f t="shared" si="42"/>
        <v/>
      </c>
      <c r="DS57" s="76" t="str">
        <f t="shared" si="42"/>
        <v/>
      </c>
      <c r="DT57" s="76" t="str">
        <f t="shared" si="42"/>
        <v/>
      </c>
      <c r="DU57" s="76" t="str">
        <f t="shared" si="42"/>
        <v/>
      </c>
      <c r="DV57" s="76" t="str">
        <f t="shared" si="42"/>
        <v/>
      </c>
      <c r="DW57" s="76" t="str">
        <f t="shared" si="42"/>
        <v/>
      </c>
      <c r="DX57" s="76" t="str">
        <f t="shared" si="42"/>
        <v/>
      </c>
      <c r="DY57" s="76" t="str">
        <f t="shared" si="42"/>
        <v/>
      </c>
      <c r="DZ57" s="76" t="str">
        <f t="shared" si="42"/>
        <v/>
      </c>
      <c r="EA57" s="76" t="str">
        <f t="shared" si="42"/>
        <v/>
      </c>
      <c r="EB57" s="76" t="str">
        <f t="shared" si="42"/>
        <v/>
      </c>
      <c r="EC57" s="76" t="str">
        <f t="shared" si="42"/>
        <v/>
      </c>
      <c r="ED57" s="76" t="str">
        <f t="shared" si="42"/>
        <v/>
      </c>
      <c r="EE57" s="76" t="str">
        <f t="shared" si="42"/>
        <v/>
      </c>
      <c r="EF57" s="76" t="str">
        <f t="shared" si="42"/>
        <v/>
      </c>
      <c r="EG57" s="76" t="str">
        <f t="shared" si="42"/>
        <v/>
      </c>
      <c r="EH57" s="76" t="str">
        <f t="shared" si="42"/>
        <v/>
      </c>
      <c r="EI57" s="76" t="str">
        <f t="shared" si="42"/>
        <v/>
      </c>
      <c r="EJ57" s="76" t="str">
        <f t="shared" si="42"/>
        <v/>
      </c>
      <c r="EK57" s="76" t="str">
        <f t="shared" si="42"/>
        <v/>
      </c>
      <c r="EL57" s="76" t="str">
        <f t="shared" si="42"/>
        <v/>
      </c>
      <c r="EM57" s="76" t="str">
        <f t="shared" si="42"/>
        <v/>
      </c>
      <c r="EN57" s="76" t="str">
        <f t="shared" si="42"/>
        <v/>
      </c>
      <c r="EO57" s="76" t="str">
        <f t="shared" si="42"/>
        <v/>
      </c>
      <c r="EP57" s="76" t="str">
        <f t="shared" si="42"/>
        <v/>
      </c>
      <c r="EQ57" s="76" t="str">
        <f t="shared" si="42"/>
        <v/>
      </c>
      <c r="ER57" s="76" t="str">
        <f t="shared" si="42"/>
        <v/>
      </c>
      <c r="ES57" s="76" t="str">
        <f t="shared" si="42"/>
        <v/>
      </c>
    </row>
    <row r="58" outlineLevel="1">
      <c r="A58" s="33"/>
      <c r="B58" s="58">
        <v>34.0</v>
      </c>
      <c r="C58" s="68" t="s">
        <v>173</v>
      </c>
      <c r="D58" s="68"/>
      <c r="E58" s="70">
        <f>F57</f>
        <v>45834</v>
      </c>
      <c r="F58" s="70">
        <f t="shared" si="22"/>
        <v>45862</v>
      </c>
      <c r="G58" s="71">
        <v>28.0</v>
      </c>
      <c r="H58" s="72">
        <v>0.0</v>
      </c>
      <c r="I58" s="73" t="str">
        <f t="shared" ref="I58:ES58" si="43">IF(AND($E58&lt;=I$6,$F58&gt;=I$6),"X","")</f>
        <v/>
      </c>
      <c r="J58" s="73" t="str">
        <f t="shared" si="43"/>
        <v/>
      </c>
      <c r="K58" s="73" t="str">
        <f t="shared" si="43"/>
        <v/>
      </c>
      <c r="L58" s="73" t="str">
        <f t="shared" si="43"/>
        <v/>
      </c>
      <c r="M58" s="73" t="str">
        <f t="shared" si="43"/>
        <v/>
      </c>
      <c r="N58" s="73" t="str">
        <f t="shared" si="43"/>
        <v/>
      </c>
      <c r="O58" s="73" t="str">
        <f t="shared" si="43"/>
        <v/>
      </c>
      <c r="P58" s="73" t="str">
        <f t="shared" si="43"/>
        <v/>
      </c>
      <c r="Q58" s="73" t="str">
        <f t="shared" si="43"/>
        <v/>
      </c>
      <c r="R58" s="73" t="str">
        <f t="shared" si="43"/>
        <v/>
      </c>
      <c r="S58" s="73" t="str">
        <f t="shared" si="43"/>
        <v/>
      </c>
      <c r="T58" s="73" t="str">
        <f t="shared" si="43"/>
        <v/>
      </c>
      <c r="U58" s="73" t="str">
        <f t="shared" si="43"/>
        <v/>
      </c>
      <c r="V58" s="73" t="str">
        <f t="shared" si="43"/>
        <v/>
      </c>
      <c r="W58" s="73" t="str">
        <f t="shared" si="43"/>
        <v/>
      </c>
      <c r="X58" s="73" t="str">
        <f t="shared" si="43"/>
        <v/>
      </c>
      <c r="Y58" s="73" t="str">
        <f t="shared" si="43"/>
        <v/>
      </c>
      <c r="Z58" s="73" t="str">
        <f t="shared" si="43"/>
        <v/>
      </c>
      <c r="AA58" s="73" t="str">
        <f t="shared" si="43"/>
        <v/>
      </c>
      <c r="AB58" s="73" t="str">
        <f t="shared" si="43"/>
        <v/>
      </c>
      <c r="AC58" s="73" t="str">
        <f t="shared" si="43"/>
        <v/>
      </c>
      <c r="AD58" s="73" t="str">
        <f t="shared" si="43"/>
        <v/>
      </c>
      <c r="AE58" s="73" t="str">
        <f t="shared" si="43"/>
        <v/>
      </c>
      <c r="AF58" s="73" t="str">
        <f t="shared" si="43"/>
        <v/>
      </c>
      <c r="AG58" s="73" t="str">
        <f t="shared" si="43"/>
        <v/>
      </c>
      <c r="AH58" s="73" t="str">
        <f t="shared" si="43"/>
        <v/>
      </c>
      <c r="AI58" s="73" t="str">
        <f t="shared" si="43"/>
        <v/>
      </c>
      <c r="AJ58" s="73" t="str">
        <f t="shared" si="43"/>
        <v/>
      </c>
      <c r="AK58" s="73" t="str">
        <f t="shared" si="43"/>
        <v/>
      </c>
      <c r="AL58" s="73" t="str">
        <f t="shared" si="43"/>
        <v/>
      </c>
      <c r="AM58" s="73" t="str">
        <f t="shared" si="43"/>
        <v/>
      </c>
      <c r="AN58" s="73" t="str">
        <f t="shared" si="43"/>
        <v/>
      </c>
      <c r="AO58" s="73" t="str">
        <f t="shared" si="43"/>
        <v/>
      </c>
      <c r="AP58" s="73" t="str">
        <f t="shared" si="43"/>
        <v/>
      </c>
      <c r="AQ58" s="73" t="str">
        <f t="shared" si="43"/>
        <v/>
      </c>
      <c r="AR58" s="73" t="str">
        <f t="shared" si="43"/>
        <v/>
      </c>
      <c r="AS58" s="73" t="str">
        <f t="shared" si="43"/>
        <v/>
      </c>
      <c r="AT58" s="73" t="str">
        <f t="shared" si="43"/>
        <v/>
      </c>
      <c r="AU58" s="73" t="str">
        <f t="shared" si="43"/>
        <v/>
      </c>
      <c r="AV58" s="73" t="str">
        <f t="shared" si="43"/>
        <v/>
      </c>
      <c r="AW58" s="73" t="str">
        <f t="shared" si="43"/>
        <v/>
      </c>
      <c r="AX58" s="73" t="str">
        <f t="shared" si="43"/>
        <v/>
      </c>
      <c r="AY58" s="73" t="str">
        <f t="shared" si="43"/>
        <v/>
      </c>
      <c r="AZ58" s="73" t="str">
        <f t="shared" si="43"/>
        <v/>
      </c>
      <c r="BA58" s="73" t="str">
        <f t="shared" si="43"/>
        <v/>
      </c>
      <c r="BB58" s="73" t="str">
        <f t="shared" si="43"/>
        <v/>
      </c>
      <c r="BC58" s="73" t="str">
        <f t="shared" si="43"/>
        <v/>
      </c>
      <c r="BD58" s="73" t="str">
        <f t="shared" si="43"/>
        <v/>
      </c>
      <c r="BE58" s="73" t="str">
        <f t="shared" si="43"/>
        <v/>
      </c>
      <c r="BF58" s="73" t="str">
        <f t="shared" si="43"/>
        <v/>
      </c>
      <c r="BG58" s="73" t="str">
        <f t="shared" si="43"/>
        <v/>
      </c>
      <c r="BH58" s="73" t="str">
        <f t="shared" si="43"/>
        <v/>
      </c>
      <c r="BI58" s="73" t="str">
        <f t="shared" si="43"/>
        <v/>
      </c>
      <c r="BJ58" s="73" t="str">
        <f t="shared" si="43"/>
        <v/>
      </c>
      <c r="BK58" s="73" t="str">
        <f t="shared" si="43"/>
        <v/>
      </c>
      <c r="BL58" s="73" t="str">
        <f t="shared" si="43"/>
        <v/>
      </c>
      <c r="BM58" s="73" t="str">
        <f t="shared" si="43"/>
        <v/>
      </c>
      <c r="BN58" s="73" t="str">
        <f t="shared" si="43"/>
        <v/>
      </c>
      <c r="BO58" s="73" t="str">
        <f t="shared" si="43"/>
        <v/>
      </c>
      <c r="BP58" s="76" t="str">
        <f t="shared" si="43"/>
        <v/>
      </c>
      <c r="BQ58" s="76" t="str">
        <f t="shared" si="43"/>
        <v/>
      </c>
      <c r="BR58" s="76" t="str">
        <f t="shared" si="43"/>
        <v>X</v>
      </c>
      <c r="BS58" s="76" t="str">
        <f t="shared" si="43"/>
        <v>X</v>
      </c>
      <c r="BT58" s="76" t="str">
        <f t="shared" si="43"/>
        <v>X</v>
      </c>
      <c r="BU58" s="76" t="str">
        <f t="shared" si="43"/>
        <v>X</v>
      </c>
      <c r="BV58" s="76" t="str">
        <f t="shared" si="43"/>
        <v/>
      </c>
      <c r="BW58" s="76" t="str">
        <f t="shared" si="43"/>
        <v/>
      </c>
      <c r="BX58" s="76" t="str">
        <f t="shared" si="43"/>
        <v/>
      </c>
      <c r="BY58" s="76" t="str">
        <f t="shared" si="43"/>
        <v/>
      </c>
      <c r="BZ58" s="76" t="str">
        <f t="shared" si="43"/>
        <v/>
      </c>
      <c r="CA58" s="76" t="str">
        <f t="shared" si="43"/>
        <v/>
      </c>
      <c r="CB58" s="76" t="str">
        <f t="shared" si="43"/>
        <v/>
      </c>
      <c r="CC58" s="76" t="str">
        <f t="shared" si="43"/>
        <v/>
      </c>
      <c r="CD58" s="76" t="str">
        <f t="shared" si="43"/>
        <v/>
      </c>
      <c r="CE58" s="76" t="str">
        <f t="shared" si="43"/>
        <v/>
      </c>
      <c r="CF58" s="76" t="str">
        <f t="shared" si="43"/>
        <v/>
      </c>
      <c r="CG58" s="76" t="str">
        <f t="shared" si="43"/>
        <v/>
      </c>
      <c r="CH58" s="76" t="str">
        <f t="shared" si="43"/>
        <v/>
      </c>
      <c r="CI58" s="76" t="str">
        <f t="shared" si="43"/>
        <v/>
      </c>
      <c r="CJ58" s="76" t="str">
        <f t="shared" si="43"/>
        <v/>
      </c>
      <c r="CK58" s="76" t="str">
        <f t="shared" si="43"/>
        <v/>
      </c>
      <c r="CL58" s="76" t="str">
        <f t="shared" si="43"/>
        <v/>
      </c>
      <c r="CM58" s="76" t="str">
        <f t="shared" si="43"/>
        <v/>
      </c>
      <c r="CN58" s="76" t="str">
        <f t="shared" si="43"/>
        <v/>
      </c>
      <c r="CO58" s="76" t="str">
        <f t="shared" si="43"/>
        <v/>
      </c>
      <c r="CP58" s="76" t="str">
        <f t="shared" si="43"/>
        <v/>
      </c>
      <c r="CQ58" s="76" t="str">
        <f t="shared" si="43"/>
        <v/>
      </c>
      <c r="CR58" s="76" t="str">
        <f t="shared" si="43"/>
        <v/>
      </c>
      <c r="CS58" s="76" t="str">
        <f t="shared" si="43"/>
        <v/>
      </c>
      <c r="CT58" s="76" t="str">
        <f t="shared" si="43"/>
        <v/>
      </c>
      <c r="CU58" s="76" t="str">
        <f t="shared" si="43"/>
        <v/>
      </c>
      <c r="CV58" s="76" t="str">
        <f t="shared" si="43"/>
        <v/>
      </c>
      <c r="CW58" s="76" t="str">
        <f t="shared" si="43"/>
        <v/>
      </c>
      <c r="CX58" s="76" t="str">
        <f t="shared" si="43"/>
        <v/>
      </c>
      <c r="CY58" s="76" t="str">
        <f t="shared" si="43"/>
        <v/>
      </c>
      <c r="CZ58" s="76" t="str">
        <f t="shared" si="43"/>
        <v/>
      </c>
      <c r="DA58" s="76" t="str">
        <f t="shared" si="43"/>
        <v/>
      </c>
      <c r="DB58" s="76" t="str">
        <f t="shared" si="43"/>
        <v/>
      </c>
      <c r="DC58" s="76" t="str">
        <f t="shared" si="43"/>
        <v/>
      </c>
      <c r="DD58" s="76" t="str">
        <f t="shared" si="43"/>
        <v/>
      </c>
      <c r="DE58" s="76" t="str">
        <f t="shared" si="43"/>
        <v/>
      </c>
      <c r="DF58" s="76" t="str">
        <f t="shared" si="43"/>
        <v/>
      </c>
      <c r="DG58" s="76" t="str">
        <f t="shared" si="43"/>
        <v/>
      </c>
      <c r="DH58" s="76" t="str">
        <f t="shared" si="43"/>
        <v/>
      </c>
      <c r="DI58" s="76" t="str">
        <f t="shared" si="43"/>
        <v/>
      </c>
      <c r="DJ58" s="76" t="str">
        <f t="shared" si="43"/>
        <v/>
      </c>
      <c r="DK58" s="76" t="str">
        <f t="shared" si="43"/>
        <v/>
      </c>
      <c r="DL58" s="76" t="str">
        <f t="shared" si="43"/>
        <v/>
      </c>
      <c r="DM58" s="76" t="str">
        <f t="shared" si="43"/>
        <v/>
      </c>
      <c r="DN58" s="76" t="str">
        <f t="shared" si="43"/>
        <v/>
      </c>
      <c r="DO58" s="76" t="str">
        <f t="shared" si="43"/>
        <v/>
      </c>
      <c r="DP58" s="76" t="str">
        <f t="shared" si="43"/>
        <v/>
      </c>
      <c r="DQ58" s="76" t="str">
        <f t="shared" si="43"/>
        <v/>
      </c>
      <c r="DR58" s="76" t="str">
        <f t="shared" si="43"/>
        <v/>
      </c>
      <c r="DS58" s="76" t="str">
        <f t="shared" si="43"/>
        <v/>
      </c>
      <c r="DT58" s="76" t="str">
        <f t="shared" si="43"/>
        <v/>
      </c>
      <c r="DU58" s="76" t="str">
        <f t="shared" si="43"/>
        <v/>
      </c>
      <c r="DV58" s="76" t="str">
        <f t="shared" si="43"/>
        <v/>
      </c>
      <c r="DW58" s="76" t="str">
        <f t="shared" si="43"/>
        <v/>
      </c>
      <c r="DX58" s="76" t="str">
        <f t="shared" si="43"/>
        <v/>
      </c>
      <c r="DY58" s="76" t="str">
        <f t="shared" si="43"/>
        <v/>
      </c>
      <c r="DZ58" s="76" t="str">
        <f t="shared" si="43"/>
        <v/>
      </c>
      <c r="EA58" s="76" t="str">
        <f t="shared" si="43"/>
        <v/>
      </c>
      <c r="EB58" s="76" t="str">
        <f t="shared" si="43"/>
        <v/>
      </c>
      <c r="EC58" s="76" t="str">
        <f t="shared" si="43"/>
        <v/>
      </c>
      <c r="ED58" s="76" t="str">
        <f t="shared" si="43"/>
        <v/>
      </c>
      <c r="EE58" s="76" t="str">
        <f t="shared" si="43"/>
        <v/>
      </c>
      <c r="EF58" s="76" t="str">
        <f t="shared" si="43"/>
        <v/>
      </c>
      <c r="EG58" s="76" t="str">
        <f t="shared" si="43"/>
        <v/>
      </c>
      <c r="EH58" s="76" t="str">
        <f t="shared" si="43"/>
        <v/>
      </c>
      <c r="EI58" s="76" t="str">
        <f t="shared" si="43"/>
        <v/>
      </c>
      <c r="EJ58" s="76" t="str">
        <f t="shared" si="43"/>
        <v/>
      </c>
      <c r="EK58" s="76" t="str">
        <f t="shared" si="43"/>
        <v/>
      </c>
      <c r="EL58" s="76" t="str">
        <f t="shared" si="43"/>
        <v/>
      </c>
      <c r="EM58" s="76" t="str">
        <f t="shared" si="43"/>
        <v/>
      </c>
      <c r="EN58" s="76" t="str">
        <f t="shared" si="43"/>
        <v/>
      </c>
      <c r="EO58" s="76" t="str">
        <f t="shared" si="43"/>
        <v/>
      </c>
      <c r="EP58" s="76" t="str">
        <f t="shared" si="43"/>
        <v/>
      </c>
      <c r="EQ58" s="76" t="str">
        <f t="shared" si="43"/>
        <v/>
      </c>
      <c r="ER58" s="76" t="str">
        <f t="shared" si="43"/>
        <v/>
      </c>
      <c r="ES58" s="76" t="str">
        <f t="shared" si="43"/>
        <v/>
      </c>
    </row>
    <row r="59" outlineLevel="1">
      <c r="A59" s="33"/>
      <c r="B59" s="58">
        <v>35.0</v>
      </c>
      <c r="C59" s="68" t="s">
        <v>174</v>
      </c>
      <c r="D59" s="68"/>
      <c r="E59" s="70">
        <f>max(F51,F57)-30</f>
        <v>45869</v>
      </c>
      <c r="F59" s="70">
        <f t="shared" si="22"/>
        <v>45899</v>
      </c>
      <c r="G59" s="71">
        <v>30.0</v>
      </c>
      <c r="H59" s="72">
        <v>0.0</v>
      </c>
      <c r="I59" s="73" t="str">
        <f t="shared" ref="I59:ES59" si="44">IF(AND($E59&lt;=I$6,$F59&gt;=I$6),"X","")</f>
        <v/>
      </c>
      <c r="J59" s="73" t="str">
        <f t="shared" si="44"/>
        <v/>
      </c>
      <c r="K59" s="73" t="str">
        <f t="shared" si="44"/>
        <v/>
      </c>
      <c r="L59" s="73" t="str">
        <f t="shared" si="44"/>
        <v/>
      </c>
      <c r="M59" s="73" t="str">
        <f t="shared" si="44"/>
        <v/>
      </c>
      <c r="N59" s="73" t="str">
        <f t="shared" si="44"/>
        <v/>
      </c>
      <c r="O59" s="73" t="str">
        <f t="shared" si="44"/>
        <v/>
      </c>
      <c r="P59" s="73" t="str">
        <f t="shared" si="44"/>
        <v/>
      </c>
      <c r="Q59" s="73" t="str">
        <f t="shared" si="44"/>
        <v/>
      </c>
      <c r="R59" s="73" t="str">
        <f t="shared" si="44"/>
        <v/>
      </c>
      <c r="S59" s="73" t="str">
        <f t="shared" si="44"/>
        <v/>
      </c>
      <c r="T59" s="73" t="str">
        <f t="shared" si="44"/>
        <v/>
      </c>
      <c r="U59" s="73" t="str">
        <f t="shared" si="44"/>
        <v/>
      </c>
      <c r="V59" s="73" t="str">
        <f t="shared" si="44"/>
        <v/>
      </c>
      <c r="W59" s="73" t="str">
        <f t="shared" si="44"/>
        <v/>
      </c>
      <c r="X59" s="73" t="str">
        <f t="shared" si="44"/>
        <v/>
      </c>
      <c r="Y59" s="73" t="str">
        <f t="shared" si="44"/>
        <v/>
      </c>
      <c r="Z59" s="73" t="str">
        <f t="shared" si="44"/>
        <v/>
      </c>
      <c r="AA59" s="73" t="str">
        <f t="shared" si="44"/>
        <v/>
      </c>
      <c r="AB59" s="73" t="str">
        <f t="shared" si="44"/>
        <v/>
      </c>
      <c r="AC59" s="73" t="str">
        <f t="shared" si="44"/>
        <v/>
      </c>
      <c r="AD59" s="73" t="str">
        <f t="shared" si="44"/>
        <v/>
      </c>
      <c r="AE59" s="73" t="str">
        <f t="shared" si="44"/>
        <v/>
      </c>
      <c r="AF59" s="73" t="str">
        <f t="shared" si="44"/>
        <v/>
      </c>
      <c r="AG59" s="73" t="str">
        <f t="shared" si="44"/>
        <v/>
      </c>
      <c r="AH59" s="73" t="str">
        <f t="shared" si="44"/>
        <v/>
      </c>
      <c r="AI59" s="73" t="str">
        <f t="shared" si="44"/>
        <v/>
      </c>
      <c r="AJ59" s="73" t="str">
        <f t="shared" si="44"/>
        <v/>
      </c>
      <c r="AK59" s="73" t="str">
        <f t="shared" si="44"/>
        <v/>
      </c>
      <c r="AL59" s="73" t="str">
        <f t="shared" si="44"/>
        <v/>
      </c>
      <c r="AM59" s="73" t="str">
        <f t="shared" si="44"/>
        <v/>
      </c>
      <c r="AN59" s="73" t="str">
        <f t="shared" si="44"/>
        <v/>
      </c>
      <c r="AO59" s="73" t="str">
        <f t="shared" si="44"/>
        <v/>
      </c>
      <c r="AP59" s="73" t="str">
        <f t="shared" si="44"/>
        <v/>
      </c>
      <c r="AQ59" s="73" t="str">
        <f t="shared" si="44"/>
        <v/>
      </c>
      <c r="AR59" s="73" t="str">
        <f t="shared" si="44"/>
        <v/>
      </c>
      <c r="AS59" s="73" t="str">
        <f t="shared" si="44"/>
        <v/>
      </c>
      <c r="AT59" s="73" t="str">
        <f t="shared" si="44"/>
        <v/>
      </c>
      <c r="AU59" s="73" t="str">
        <f t="shared" si="44"/>
        <v/>
      </c>
      <c r="AV59" s="73" t="str">
        <f t="shared" si="44"/>
        <v/>
      </c>
      <c r="AW59" s="73" t="str">
        <f t="shared" si="44"/>
        <v/>
      </c>
      <c r="AX59" s="73" t="str">
        <f t="shared" si="44"/>
        <v/>
      </c>
      <c r="AY59" s="73" t="str">
        <f t="shared" si="44"/>
        <v/>
      </c>
      <c r="AZ59" s="73" t="str">
        <f t="shared" si="44"/>
        <v/>
      </c>
      <c r="BA59" s="73" t="str">
        <f t="shared" si="44"/>
        <v/>
      </c>
      <c r="BB59" s="73" t="str">
        <f t="shared" si="44"/>
        <v/>
      </c>
      <c r="BC59" s="73" t="str">
        <f t="shared" si="44"/>
        <v/>
      </c>
      <c r="BD59" s="73" t="str">
        <f t="shared" si="44"/>
        <v/>
      </c>
      <c r="BE59" s="73" t="str">
        <f t="shared" si="44"/>
        <v/>
      </c>
      <c r="BF59" s="73" t="str">
        <f t="shared" si="44"/>
        <v/>
      </c>
      <c r="BG59" s="73" t="str">
        <f t="shared" si="44"/>
        <v/>
      </c>
      <c r="BH59" s="73" t="str">
        <f t="shared" si="44"/>
        <v/>
      </c>
      <c r="BI59" s="73" t="str">
        <f t="shared" si="44"/>
        <v/>
      </c>
      <c r="BJ59" s="73" t="str">
        <f t="shared" si="44"/>
        <v/>
      </c>
      <c r="BK59" s="73" t="str">
        <f t="shared" si="44"/>
        <v/>
      </c>
      <c r="BL59" s="73" t="str">
        <f t="shared" si="44"/>
        <v/>
      </c>
      <c r="BM59" s="73" t="str">
        <f t="shared" si="44"/>
        <v/>
      </c>
      <c r="BN59" s="73" t="str">
        <f t="shared" si="44"/>
        <v/>
      </c>
      <c r="BO59" s="73" t="str">
        <f t="shared" si="44"/>
        <v/>
      </c>
      <c r="BP59" s="76" t="str">
        <f t="shared" si="44"/>
        <v/>
      </c>
      <c r="BQ59" s="76" t="str">
        <f t="shared" si="44"/>
        <v/>
      </c>
      <c r="BR59" s="76" t="str">
        <f t="shared" si="44"/>
        <v/>
      </c>
      <c r="BS59" s="76" t="str">
        <f t="shared" si="44"/>
        <v/>
      </c>
      <c r="BT59" s="76" t="str">
        <f t="shared" si="44"/>
        <v/>
      </c>
      <c r="BU59" s="76" t="str">
        <f t="shared" si="44"/>
        <v/>
      </c>
      <c r="BV59" s="76" t="str">
        <f t="shared" si="44"/>
        <v/>
      </c>
      <c r="BW59" s="76" t="str">
        <f t="shared" si="44"/>
        <v>X</v>
      </c>
      <c r="BX59" s="76" t="str">
        <f t="shared" si="44"/>
        <v>X</v>
      </c>
      <c r="BY59" s="76" t="str">
        <f t="shared" si="44"/>
        <v>X</v>
      </c>
      <c r="BZ59" s="76" t="str">
        <f t="shared" si="44"/>
        <v>X</v>
      </c>
      <c r="CA59" s="76" t="str">
        <f t="shared" si="44"/>
        <v/>
      </c>
      <c r="CB59" s="76" t="str">
        <f t="shared" si="44"/>
        <v/>
      </c>
      <c r="CC59" s="76" t="str">
        <f t="shared" si="44"/>
        <v/>
      </c>
      <c r="CD59" s="76" t="str">
        <f t="shared" si="44"/>
        <v/>
      </c>
      <c r="CE59" s="76" t="str">
        <f t="shared" si="44"/>
        <v/>
      </c>
      <c r="CF59" s="76" t="str">
        <f t="shared" si="44"/>
        <v/>
      </c>
      <c r="CG59" s="76" t="str">
        <f t="shared" si="44"/>
        <v/>
      </c>
      <c r="CH59" s="76" t="str">
        <f t="shared" si="44"/>
        <v/>
      </c>
      <c r="CI59" s="76" t="str">
        <f t="shared" si="44"/>
        <v/>
      </c>
      <c r="CJ59" s="76" t="str">
        <f t="shared" si="44"/>
        <v/>
      </c>
      <c r="CK59" s="76" t="str">
        <f t="shared" si="44"/>
        <v/>
      </c>
      <c r="CL59" s="76" t="str">
        <f t="shared" si="44"/>
        <v/>
      </c>
      <c r="CM59" s="76" t="str">
        <f t="shared" si="44"/>
        <v/>
      </c>
      <c r="CN59" s="76" t="str">
        <f t="shared" si="44"/>
        <v/>
      </c>
      <c r="CO59" s="76" t="str">
        <f t="shared" si="44"/>
        <v/>
      </c>
      <c r="CP59" s="76" t="str">
        <f t="shared" si="44"/>
        <v/>
      </c>
      <c r="CQ59" s="76" t="str">
        <f t="shared" si="44"/>
        <v/>
      </c>
      <c r="CR59" s="76" t="str">
        <f t="shared" si="44"/>
        <v/>
      </c>
      <c r="CS59" s="76" t="str">
        <f t="shared" si="44"/>
        <v/>
      </c>
      <c r="CT59" s="76" t="str">
        <f t="shared" si="44"/>
        <v/>
      </c>
      <c r="CU59" s="76" t="str">
        <f t="shared" si="44"/>
        <v/>
      </c>
      <c r="CV59" s="76" t="str">
        <f t="shared" si="44"/>
        <v/>
      </c>
      <c r="CW59" s="76" t="str">
        <f t="shared" si="44"/>
        <v/>
      </c>
      <c r="CX59" s="76" t="str">
        <f t="shared" si="44"/>
        <v/>
      </c>
      <c r="CY59" s="76" t="str">
        <f t="shared" si="44"/>
        <v/>
      </c>
      <c r="CZ59" s="76" t="str">
        <f t="shared" si="44"/>
        <v/>
      </c>
      <c r="DA59" s="76" t="str">
        <f t="shared" si="44"/>
        <v/>
      </c>
      <c r="DB59" s="76" t="str">
        <f t="shared" si="44"/>
        <v/>
      </c>
      <c r="DC59" s="76" t="str">
        <f t="shared" si="44"/>
        <v/>
      </c>
      <c r="DD59" s="76" t="str">
        <f t="shared" si="44"/>
        <v/>
      </c>
      <c r="DE59" s="76" t="str">
        <f t="shared" si="44"/>
        <v/>
      </c>
      <c r="DF59" s="76" t="str">
        <f t="shared" si="44"/>
        <v/>
      </c>
      <c r="DG59" s="76" t="str">
        <f t="shared" si="44"/>
        <v/>
      </c>
      <c r="DH59" s="76" t="str">
        <f t="shared" si="44"/>
        <v/>
      </c>
      <c r="DI59" s="76" t="str">
        <f t="shared" si="44"/>
        <v/>
      </c>
      <c r="DJ59" s="76" t="str">
        <f t="shared" si="44"/>
        <v/>
      </c>
      <c r="DK59" s="76" t="str">
        <f t="shared" si="44"/>
        <v/>
      </c>
      <c r="DL59" s="76" t="str">
        <f t="shared" si="44"/>
        <v/>
      </c>
      <c r="DM59" s="76" t="str">
        <f t="shared" si="44"/>
        <v/>
      </c>
      <c r="DN59" s="76" t="str">
        <f t="shared" si="44"/>
        <v/>
      </c>
      <c r="DO59" s="76" t="str">
        <f t="shared" si="44"/>
        <v/>
      </c>
      <c r="DP59" s="76" t="str">
        <f t="shared" si="44"/>
        <v/>
      </c>
      <c r="DQ59" s="76" t="str">
        <f t="shared" si="44"/>
        <v/>
      </c>
      <c r="DR59" s="76" t="str">
        <f t="shared" si="44"/>
        <v/>
      </c>
      <c r="DS59" s="76" t="str">
        <f t="shared" si="44"/>
        <v/>
      </c>
      <c r="DT59" s="76" t="str">
        <f t="shared" si="44"/>
        <v/>
      </c>
      <c r="DU59" s="76" t="str">
        <f t="shared" si="44"/>
        <v/>
      </c>
      <c r="DV59" s="76" t="str">
        <f t="shared" si="44"/>
        <v/>
      </c>
      <c r="DW59" s="76" t="str">
        <f t="shared" si="44"/>
        <v/>
      </c>
      <c r="DX59" s="76" t="str">
        <f t="shared" si="44"/>
        <v/>
      </c>
      <c r="DY59" s="76" t="str">
        <f t="shared" si="44"/>
        <v/>
      </c>
      <c r="DZ59" s="76" t="str">
        <f t="shared" si="44"/>
        <v/>
      </c>
      <c r="EA59" s="76" t="str">
        <f t="shared" si="44"/>
        <v/>
      </c>
      <c r="EB59" s="76" t="str">
        <f t="shared" si="44"/>
        <v/>
      </c>
      <c r="EC59" s="76" t="str">
        <f t="shared" si="44"/>
        <v/>
      </c>
      <c r="ED59" s="76" t="str">
        <f t="shared" si="44"/>
        <v/>
      </c>
      <c r="EE59" s="76" t="str">
        <f t="shared" si="44"/>
        <v/>
      </c>
      <c r="EF59" s="76" t="str">
        <f t="shared" si="44"/>
        <v/>
      </c>
      <c r="EG59" s="76" t="str">
        <f t="shared" si="44"/>
        <v/>
      </c>
      <c r="EH59" s="76" t="str">
        <f t="shared" si="44"/>
        <v/>
      </c>
      <c r="EI59" s="76" t="str">
        <f t="shared" si="44"/>
        <v/>
      </c>
      <c r="EJ59" s="76" t="str">
        <f t="shared" si="44"/>
        <v/>
      </c>
      <c r="EK59" s="76" t="str">
        <f t="shared" si="44"/>
        <v/>
      </c>
      <c r="EL59" s="76" t="str">
        <f t="shared" si="44"/>
        <v/>
      </c>
      <c r="EM59" s="76" t="str">
        <f t="shared" si="44"/>
        <v/>
      </c>
      <c r="EN59" s="76" t="str">
        <f t="shared" si="44"/>
        <v/>
      </c>
      <c r="EO59" s="76" t="str">
        <f t="shared" si="44"/>
        <v/>
      </c>
      <c r="EP59" s="76" t="str">
        <f t="shared" si="44"/>
        <v/>
      </c>
      <c r="EQ59" s="76" t="str">
        <f t="shared" si="44"/>
        <v/>
      </c>
      <c r="ER59" s="76" t="str">
        <f t="shared" si="44"/>
        <v/>
      </c>
      <c r="ES59" s="76" t="str">
        <f t="shared" si="44"/>
        <v/>
      </c>
    </row>
    <row r="60" outlineLevel="1">
      <c r="A60" s="33"/>
      <c r="B60" s="58">
        <v>36.0</v>
      </c>
      <c r="C60" s="68" t="s">
        <v>175</v>
      </c>
      <c r="D60" s="68"/>
      <c r="E60" s="70">
        <f>F59-14</f>
        <v>45885</v>
      </c>
      <c r="F60" s="70">
        <f t="shared" si="22"/>
        <v>45913</v>
      </c>
      <c r="G60" s="71">
        <v>28.0</v>
      </c>
      <c r="H60" s="72">
        <v>0.0</v>
      </c>
      <c r="I60" s="73" t="str">
        <f t="shared" ref="I60:ES60" si="45">IF(AND($E60&lt;=I$6,$F60&gt;=I$6),"X","")</f>
        <v/>
      </c>
      <c r="J60" s="73" t="str">
        <f t="shared" si="45"/>
        <v/>
      </c>
      <c r="K60" s="73" t="str">
        <f t="shared" si="45"/>
        <v/>
      </c>
      <c r="L60" s="73" t="str">
        <f t="shared" si="45"/>
        <v/>
      </c>
      <c r="M60" s="73" t="str">
        <f t="shared" si="45"/>
        <v/>
      </c>
      <c r="N60" s="73" t="str">
        <f t="shared" si="45"/>
        <v/>
      </c>
      <c r="O60" s="73" t="str">
        <f t="shared" si="45"/>
        <v/>
      </c>
      <c r="P60" s="73" t="str">
        <f t="shared" si="45"/>
        <v/>
      </c>
      <c r="Q60" s="73" t="str">
        <f t="shared" si="45"/>
        <v/>
      </c>
      <c r="R60" s="73" t="str">
        <f t="shared" si="45"/>
        <v/>
      </c>
      <c r="S60" s="73" t="str">
        <f t="shared" si="45"/>
        <v/>
      </c>
      <c r="T60" s="73" t="str">
        <f t="shared" si="45"/>
        <v/>
      </c>
      <c r="U60" s="73" t="str">
        <f t="shared" si="45"/>
        <v/>
      </c>
      <c r="V60" s="73" t="str">
        <f t="shared" si="45"/>
        <v/>
      </c>
      <c r="W60" s="73" t="str">
        <f t="shared" si="45"/>
        <v/>
      </c>
      <c r="X60" s="73" t="str">
        <f t="shared" si="45"/>
        <v/>
      </c>
      <c r="Y60" s="73" t="str">
        <f t="shared" si="45"/>
        <v/>
      </c>
      <c r="Z60" s="73" t="str">
        <f t="shared" si="45"/>
        <v/>
      </c>
      <c r="AA60" s="73" t="str">
        <f t="shared" si="45"/>
        <v/>
      </c>
      <c r="AB60" s="73" t="str">
        <f t="shared" si="45"/>
        <v/>
      </c>
      <c r="AC60" s="73" t="str">
        <f t="shared" si="45"/>
        <v/>
      </c>
      <c r="AD60" s="73" t="str">
        <f t="shared" si="45"/>
        <v/>
      </c>
      <c r="AE60" s="73" t="str">
        <f t="shared" si="45"/>
        <v/>
      </c>
      <c r="AF60" s="73" t="str">
        <f t="shared" si="45"/>
        <v/>
      </c>
      <c r="AG60" s="73" t="str">
        <f t="shared" si="45"/>
        <v/>
      </c>
      <c r="AH60" s="73" t="str">
        <f t="shared" si="45"/>
        <v/>
      </c>
      <c r="AI60" s="73" t="str">
        <f t="shared" si="45"/>
        <v/>
      </c>
      <c r="AJ60" s="73" t="str">
        <f t="shared" si="45"/>
        <v/>
      </c>
      <c r="AK60" s="73" t="str">
        <f t="shared" si="45"/>
        <v/>
      </c>
      <c r="AL60" s="73" t="str">
        <f t="shared" si="45"/>
        <v/>
      </c>
      <c r="AM60" s="73" t="str">
        <f t="shared" si="45"/>
        <v/>
      </c>
      <c r="AN60" s="73" t="str">
        <f t="shared" si="45"/>
        <v/>
      </c>
      <c r="AO60" s="73" t="str">
        <f t="shared" si="45"/>
        <v/>
      </c>
      <c r="AP60" s="73" t="str">
        <f t="shared" si="45"/>
        <v/>
      </c>
      <c r="AQ60" s="73" t="str">
        <f t="shared" si="45"/>
        <v/>
      </c>
      <c r="AR60" s="73" t="str">
        <f t="shared" si="45"/>
        <v/>
      </c>
      <c r="AS60" s="73" t="str">
        <f t="shared" si="45"/>
        <v/>
      </c>
      <c r="AT60" s="73" t="str">
        <f t="shared" si="45"/>
        <v/>
      </c>
      <c r="AU60" s="73" t="str">
        <f t="shared" si="45"/>
        <v/>
      </c>
      <c r="AV60" s="73" t="str">
        <f t="shared" si="45"/>
        <v/>
      </c>
      <c r="AW60" s="73" t="str">
        <f t="shared" si="45"/>
        <v/>
      </c>
      <c r="AX60" s="73" t="str">
        <f t="shared" si="45"/>
        <v/>
      </c>
      <c r="AY60" s="73" t="str">
        <f t="shared" si="45"/>
        <v/>
      </c>
      <c r="AZ60" s="73" t="str">
        <f t="shared" si="45"/>
        <v/>
      </c>
      <c r="BA60" s="73" t="str">
        <f t="shared" si="45"/>
        <v/>
      </c>
      <c r="BB60" s="73" t="str">
        <f t="shared" si="45"/>
        <v/>
      </c>
      <c r="BC60" s="73" t="str">
        <f t="shared" si="45"/>
        <v/>
      </c>
      <c r="BD60" s="73" t="str">
        <f t="shared" si="45"/>
        <v/>
      </c>
      <c r="BE60" s="73" t="str">
        <f t="shared" si="45"/>
        <v/>
      </c>
      <c r="BF60" s="73" t="str">
        <f t="shared" si="45"/>
        <v/>
      </c>
      <c r="BG60" s="73" t="str">
        <f t="shared" si="45"/>
        <v/>
      </c>
      <c r="BH60" s="73" t="str">
        <f t="shared" si="45"/>
        <v/>
      </c>
      <c r="BI60" s="73" t="str">
        <f t="shared" si="45"/>
        <v/>
      </c>
      <c r="BJ60" s="73" t="str">
        <f t="shared" si="45"/>
        <v/>
      </c>
      <c r="BK60" s="73" t="str">
        <f t="shared" si="45"/>
        <v/>
      </c>
      <c r="BL60" s="73" t="str">
        <f t="shared" si="45"/>
        <v/>
      </c>
      <c r="BM60" s="73" t="str">
        <f t="shared" si="45"/>
        <v/>
      </c>
      <c r="BN60" s="73" t="str">
        <f t="shared" si="45"/>
        <v/>
      </c>
      <c r="BO60" s="73" t="str">
        <f t="shared" si="45"/>
        <v/>
      </c>
      <c r="BP60" s="76" t="str">
        <f t="shared" si="45"/>
        <v/>
      </c>
      <c r="BQ60" s="76" t="str">
        <f t="shared" si="45"/>
        <v/>
      </c>
      <c r="BR60" s="76" t="str">
        <f t="shared" si="45"/>
        <v/>
      </c>
      <c r="BS60" s="76" t="str">
        <f t="shared" si="45"/>
        <v/>
      </c>
      <c r="BT60" s="76" t="str">
        <f t="shared" si="45"/>
        <v/>
      </c>
      <c r="BU60" s="76" t="str">
        <f t="shared" si="45"/>
        <v/>
      </c>
      <c r="BV60" s="76" t="str">
        <f t="shared" si="45"/>
        <v/>
      </c>
      <c r="BW60" s="76" t="str">
        <f t="shared" si="45"/>
        <v/>
      </c>
      <c r="BX60" s="76" t="str">
        <f t="shared" si="45"/>
        <v/>
      </c>
      <c r="BY60" s="76" t="str">
        <f t="shared" si="45"/>
        <v>X</v>
      </c>
      <c r="BZ60" s="76" t="str">
        <f t="shared" si="45"/>
        <v>X</v>
      </c>
      <c r="CA60" s="76" t="str">
        <f t="shared" si="45"/>
        <v>X</v>
      </c>
      <c r="CB60" s="76" t="str">
        <f t="shared" si="45"/>
        <v>X</v>
      </c>
      <c r="CC60" s="76" t="str">
        <f t="shared" si="45"/>
        <v/>
      </c>
      <c r="CD60" s="76" t="str">
        <f t="shared" si="45"/>
        <v/>
      </c>
      <c r="CE60" s="76" t="str">
        <f t="shared" si="45"/>
        <v/>
      </c>
      <c r="CF60" s="76" t="str">
        <f t="shared" si="45"/>
        <v/>
      </c>
      <c r="CG60" s="76" t="str">
        <f t="shared" si="45"/>
        <v/>
      </c>
      <c r="CH60" s="76" t="str">
        <f t="shared" si="45"/>
        <v/>
      </c>
      <c r="CI60" s="76" t="str">
        <f t="shared" si="45"/>
        <v/>
      </c>
      <c r="CJ60" s="76" t="str">
        <f t="shared" si="45"/>
        <v/>
      </c>
      <c r="CK60" s="76" t="str">
        <f t="shared" si="45"/>
        <v/>
      </c>
      <c r="CL60" s="76" t="str">
        <f t="shared" si="45"/>
        <v/>
      </c>
      <c r="CM60" s="76" t="str">
        <f t="shared" si="45"/>
        <v/>
      </c>
      <c r="CN60" s="76" t="str">
        <f t="shared" si="45"/>
        <v/>
      </c>
      <c r="CO60" s="76" t="str">
        <f t="shared" si="45"/>
        <v/>
      </c>
      <c r="CP60" s="76" t="str">
        <f t="shared" si="45"/>
        <v/>
      </c>
      <c r="CQ60" s="76" t="str">
        <f t="shared" si="45"/>
        <v/>
      </c>
      <c r="CR60" s="76" t="str">
        <f t="shared" si="45"/>
        <v/>
      </c>
      <c r="CS60" s="76" t="str">
        <f t="shared" si="45"/>
        <v/>
      </c>
      <c r="CT60" s="76" t="str">
        <f t="shared" si="45"/>
        <v/>
      </c>
      <c r="CU60" s="76" t="str">
        <f t="shared" si="45"/>
        <v/>
      </c>
      <c r="CV60" s="76" t="str">
        <f t="shared" si="45"/>
        <v/>
      </c>
      <c r="CW60" s="76" t="str">
        <f t="shared" si="45"/>
        <v/>
      </c>
      <c r="CX60" s="76" t="str">
        <f t="shared" si="45"/>
        <v/>
      </c>
      <c r="CY60" s="76" t="str">
        <f t="shared" si="45"/>
        <v/>
      </c>
      <c r="CZ60" s="76" t="str">
        <f t="shared" si="45"/>
        <v/>
      </c>
      <c r="DA60" s="76" t="str">
        <f t="shared" si="45"/>
        <v/>
      </c>
      <c r="DB60" s="76" t="str">
        <f t="shared" si="45"/>
        <v/>
      </c>
      <c r="DC60" s="76" t="str">
        <f t="shared" si="45"/>
        <v/>
      </c>
      <c r="DD60" s="76" t="str">
        <f t="shared" si="45"/>
        <v/>
      </c>
      <c r="DE60" s="76" t="str">
        <f t="shared" si="45"/>
        <v/>
      </c>
      <c r="DF60" s="76" t="str">
        <f t="shared" si="45"/>
        <v/>
      </c>
      <c r="DG60" s="76" t="str">
        <f t="shared" si="45"/>
        <v/>
      </c>
      <c r="DH60" s="76" t="str">
        <f t="shared" si="45"/>
        <v/>
      </c>
      <c r="DI60" s="76" t="str">
        <f t="shared" si="45"/>
        <v/>
      </c>
      <c r="DJ60" s="76" t="str">
        <f t="shared" si="45"/>
        <v/>
      </c>
      <c r="DK60" s="76" t="str">
        <f t="shared" si="45"/>
        <v/>
      </c>
      <c r="DL60" s="76" t="str">
        <f t="shared" si="45"/>
        <v/>
      </c>
      <c r="DM60" s="76" t="str">
        <f t="shared" si="45"/>
        <v/>
      </c>
      <c r="DN60" s="76" t="str">
        <f t="shared" si="45"/>
        <v/>
      </c>
      <c r="DO60" s="76" t="str">
        <f t="shared" si="45"/>
        <v/>
      </c>
      <c r="DP60" s="76" t="str">
        <f t="shared" si="45"/>
        <v/>
      </c>
      <c r="DQ60" s="76" t="str">
        <f t="shared" si="45"/>
        <v/>
      </c>
      <c r="DR60" s="76" t="str">
        <f t="shared" si="45"/>
        <v/>
      </c>
      <c r="DS60" s="76" t="str">
        <f t="shared" si="45"/>
        <v/>
      </c>
      <c r="DT60" s="76" t="str">
        <f t="shared" si="45"/>
        <v/>
      </c>
      <c r="DU60" s="76" t="str">
        <f t="shared" si="45"/>
        <v/>
      </c>
      <c r="DV60" s="76" t="str">
        <f t="shared" si="45"/>
        <v/>
      </c>
      <c r="DW60" s="76" t="str">
        <f t="shared" si="45"/>
        <v/>
      </c>
      <c r="DX60" s="76" t="str">
        <f t="shared" si="45"/>
        <v/>
      </c>
      <c r="DY60" s="76" t="str">
        <f t="shared" si="45"/>
        <v/>
      </c>
      <c r="DZ60" s="76" t="str">
        <f t="shared" si="45"/>
        <v/>
      </c>
      <c r="EA60" s="76" t="str">
        <f t="shared" si="45"/>
        <v/>
      </c>
      <c r="EB60" s="76" t="str">
        <f t="shared" si="45"/>
        <v/>
      </c>
      <c r="EC60" s="76" t="str">
        <f t="shared" si="45"/>
        <v/>
      </c>
      <c r="ED60" s="76" t="str">
        <f t="shared" si="45"/>
        <v/>
      </c>
      <c r="EE60" s="76" t="str">
        <f t="shared" si="45"/>
        <v/>
      </c>
      <c r="EF60" s="76" t="str">
        <f t="shared" si="45"/>
        <v/>
      </c>
      <c r="EG60" s="76" t="str">
        <f t="shared" si="45"/>
        <v/>
      </c>
      <c r="EH60" s="76" t="str">
        <f t="shared" si="45"/>
        <v/>
      </c>
      <c r="EI60" s="76" t="str">
        <f t="shared" si="45"/>
        <v/>
      </c>
      <c r="EJ60" s="76" t="str">
        <f t="shared" si="45"/>
        <v/>
      </c>
      <c r="EK60" s="76" t="str">
        <f t="shared" si="45"/>
        <v/>
      </c>
      <c r="EL60" s="76" t="str">
        <f t="shared" si="45"/>
        <v/>
      </c>
      <c r="EM60" s="76" t="str">
        <f t="shared" si="45"/>
        <v/>
      </c>
      <c r="EN60" s="76" t="str">
        <f t="shared" si="45"/>
        <v/>
      </c>
      <c r="EO60" s="76" t="str">
        <f t="shared" si="45"/>
        <v/>
      </c>
      <c r="EP60" s="76" t="str">
        <f t="shared" si="45"/>
        <v/>
      </c>
      <c r="EQ60" s="76" t="str">
        <f t="shared" si="45"/>
        <v/>
      </c>
      <c r="ER60" s="76" t="str">
        <f t="shared" si="45"/>
        <v/>
      </c>
      <c r="ES60" s="76" t="str">
        <f t="shared" si="45"/>
        <v/>
      </c>
    </row>
    <row r="61" outlineLevel="1">
      <c r="A61" s="33"/>
      <c r="B61" s="58">
        <v>37.0</v>
      </c>
      <c r="C61" s="68" t="s">
        <v>58</v>
      </c>
      <c r="D61" s="68"/>
      <c r="E61" s="70">
        <f>E59+14</f>
        <v>45883</v>
      </c>
      <c r="F61" s="70">
        <f t="shared" si="22"/>
        <v>45946</v>
      </c>
      <c r="G61" s="71">
        <v>63.0</v>
      </c>
      <c r="H61" s="72">
        <v>0.0</v>
      </c>
      <c r="I61" s="73" t="str">
        <f t="shared" ref="I61:ES61" si="46">IF(AND($E61&lt;=I$6,$F61&gt;=I$6),"X","")</f>
        <v/>
      </c>
      <c r="J61" s="73" t="str">
        <f t="shared" si="46"/>
        <v/>
      </c>
      <c r="K61" s="73" t="str">
        <f t="shared" si="46"/>
        <v/>
      </c>
      <c r="L61" s="73" t="str">
        <f t="shared" si="46"/>
        <v/>
      </c>
      <c r="M61" s="73" t="str">
        <f t="shared" si="46"/>
        <v/>
      </c>
      <c r="N61" s="73" t="str">
        <f t="shared" si="46"/>
        <v/>
      </c>
      <c r="O61" s="73" t="str">
        <f t="shared" si="46"/>
        <v/>
      </c>
      <c r="P61" s="73" t="str">
        <f t="shared" si="46"/>
        <v/>
      </c>
      <c r="Q61" s="73" t="str">
        <f t="shared" si="46"/>
        <v/>
      </c>
      <c r="R61" s="73" t="str">
        <f t="shared" si="46"/>
        <v/>
      </c>
      <c r="S61" s="73" t="str">
        <f t="shared" si="46"/>
        <v/>
      </c>
      <c r="T61" s="73" t="str">
        <f t="shared" si="46"/>
        <v/>
      </c>
      <c r="U61" s="73" t="str">
        <f t="shared" si="46"/>
        <v/>
      </c>
      <c r="V61" s="73" t="str">
        <f t="shared" si="46"/>
        <v/>
      </c>
      <c r="W61" s="73" t="str">
        <f t="shared" si="46"/>
        <v/>
      </c>
      <c r="X61" s="73" t="str">
        <f t="shared" si="46"/>
        <v/>
      </c>
      <c r="Y61" s="73" t="str">
        <f t="shared" si="46"/>
        <v/>
      </c>
      <c r="Z61" s="73" t="str">
        <f t="shared" si="46"/>
        <v/>
      </c>
      <c r="AA61" s="73" t="str">
        <f t="shared" si="46"/>
        <v/>
      </c>
      <c r="AB61" s="73" t="str">
        <f t="shared" si="46"/>
        <v/>
      </c>
      <c r="AC61" s="73" t="str">
        <f t="shared" si="46"/>
        <v/>
      </c>
      <c r="AD61" s="73" t="str">
        <f t="shared" si="46"/>
        <v/>
      </c>
      <c r="AE61" s="73" t="str">
        <f t="shared" si="46"/>
        <v/>
      </c>
      <c r="AF61" s="73" t="str">
        <f t="shared" si="46"/>
        <v/>
      </c>
      <c r="AG61" s="73" t="str">
        <f t="shared" si="46"/>
        <v/>
      </c>
      <c r="AH61" s="73" t="str">
        <f t="shared" si="46"/>
        <v/>
      </c>
      <c r="AI61" s="73" t="str">
        <f t="shared" si="46"/>
        <v/>
      </c>
      <c r="AJ61" s="73" t="str">
        <f t="shared" si="46"/>
        <v/>
      </c>
      <c r="AK61" s="73" t="str">
        <f t="shared" si="46"/>
        <v/>
      </c>
      <c r="AL61" s="73" t="str">
        <f t="shared" si="46"/>
        <v/>
      </c>
      <c r="AM61" s="73" t="str">
        <f t="shared" si="46"/>
        <v/>
      </c>
      <c r="AN61" s="73" t="str">
        <f t="shared" si="46"/>
        <v/>
      </c>
      <c r="AO61" s="73" t="str">
        <f t="shared" si="46"/>
        <v/>
      </c>
      <c r="AP61" s="73" t="str">
        <f t="shared" si="46"/>
        <v/>
      </c>
      <c r="AQ61" s="73" t="str">
        <f t="shared" si="46"/>
        <v/>
      </c>
      <c r="AR61" s="73" t="str">
        <f t="shared" si="46"/>
        <v/>
      </c>
      <c r="AS61" s="73" t="str">
        <f t="shared" si="46"/>
        <v/>
      </c>
      <c r="AT61" s="73" t="str">
        <f t="shared" si="46"/>
        <v/>
      </c>
      <c r="AU61" s="73" t="str">
        <f t="shared" si="46"/>
        <v/>
      </c>
      <c r="AV61" s="73" t="str">
        <f t="shared" si="46"/>
        <v/>
      </c>
      <c r="AW61" s="73" t="str">
        <f t="shared" si="46"/>
        <v/>
      </c>
      <c r="AX61" s="73" t="str">
        <f t="shared" si="46"/>
        <v/>
      </c>
      <c r="AY61" s="73" t="str">
        <f t="shared" si="46"/>
        <v/>
      </c>
      <c r="AZ61" s="73" t="str">
        <f t="shared" si="46"/>
        <v/>
      </c>
      <c r="BA61" s="73" t="str">
        <f t="shared" si="46"/>
        <v/>
      </c>
      <c r="BB61" s="73" t="str">
        <f t="shared" si="46"/>
        <v/>
      </c>
      <c r="BC61" s="73" t="str">
        <f t="shared" si="46"/>
        <v/>
      </c>
      <c r="BD61" s="73" t="str">
        <f t="shared" si="46"/>
        <v/>
      </c>
      <c r="BE61" s="73" t="str">
        <f t="shared" si="46"/>
        <v/>
      </c>
      <c r="BF61" s="73" t="str">
        <f t="shared" si="46"/>
        <v/>
      </c>
      <c r="BG61" s="73" t="str">
        <f t="shared" si="46"/>
        <v/>
      </c>
      <c r="BH61" s="73" t="str">
        <f t="shared" si="46"/>
        <v/>
      </c>
      <c r="BI61" s="73" t="str">
        <f t="shared" si="46"/>
        <v/>
      </c>
      <c r="BJ61" s="73" t="str">
        <f t="shared" si="46"/>
        <v/>
      </c>
      <c r="BK61" s="73" t="str">
        <f t="shared" si="46"/>
        <v/>
      </c>
      <c r="BL61" s="73" t="str">
        <f t="shared" si="46"/>
        <v/>
      </c>
      <c r="BM61" s="73" t="str">
        <f t="shared" si="46"/>
        <v/>
      </c>
      <c r="BN61" s="73" t="str">
        <f t="shared" si="46"/>
        <v/>
      </c>
      <c r="BO61" s="73" t="str">
        <f t="shared" si="46"/>
        <v/>
      </c>
      <c r="BP61" s="76" t="str">
        <f t="shared" si="46"/>
        <v/>
      </c>
      <c r="BQ61" s="76" t="str">
        <f t="shared" si="46"/>
        <v/>
      </c>
      <c r="BR61" s="76" t="str">
        <f t="shared" si="46"/>
        <v/>
      </c>
      <c r="BS61" s="76" t="str">
        <f t="shared" si="46"/>
        <v/>
      </c>
      <c r="BT61" s="76" t="str">
        <f t="shared" si="46"/>
        <v/>
      </c>
      <c r="BU61" s="76" t="str">
        <f t="shared" si="46"/>
        <v/>
      </c>
      <c r="BV61" s="76" t="str">
        <f t="shared" si="46"/>
        <v/>
      </c>
      <c r="BW61" s="76" t="str">
        <f t="shared" si="46"/>
        <v/>
      </c>
      <c r="BX61" s="76" t="str">
        <f t="shared" si="46"/>
        <v/>
      </c>
      <c r="BY61" s="76" t="str">
        <f t="shared" si="46"/>
        <v>X</v>
      </c>
      <c r="BZ61" s="76" t="str">
        <f t="shared" si="46"/>
        <v>X</v>
      </c>
      <c r="CA61" s="76" t="str">
        <f t="shared" si="46"/>
        <v>X</v>
      </c>
      <c r="CB61" s="76" t="str">
        <f t="shared" si="46"/>
        <v>X</v>
      </c>
      <c r="CC61" s="76" t="str">
        <f t="shared" si="46"/>
        <v>X</v>
      </c>
      <c r="CD61" s="76" t="str">
        <f t="shared" si="46"/>
        <v>X</v>
      </c>
      <c r="CE61" s="76" t="str">
        <f t="shared" si="46"/>
        <v>X</v>
      </c>
      <c r="CF61" s="76" t="str">
        <f t="shared" si="46"/>
        <v>X</v>
      </c>
      <c r="CG61" s="76" t="str">
        <f t="shared" si="46"/>
        <v>X</v>
      </c>
      <c r="CH61" s="76" t="str">
        <f t="shared" si="46"/>
        <v/>
      </c>
      <c r="CI61" s="76" t="str">
        <f t="shared" si="46"/>
        <v/>
      </c>
      <c r="CJ61" s="76" t="str">
        <f t="shared" si="46"/>
        <v/>
      </c>
      <c r="CK61" s="76" t="str">
        <f t="shared" si="46"/>
        <v/>
      </c>
      <c r="CL61" s="76" t="str">
        <f t="shared" si="46"/>
        <v/>
      </c>
      <c r="CM61" s="76" t="str">
        <f t="shared" si="46"/>
        <v/>
      </c>
      <c r="CN61" s="76" t="str">
        <f t="shared" si="46"/>
        <v/>
      </c>
      <c r="CO61" s="76" t="str">
        <f t="shared" si="46"/>
        <v/>
      </c>
      <c r="CP61" s="76" t="str">
        <f t="shared" si="46"/>
        <v/>
      </c>
      <c r="CQ61" s="76" t="str">
        <f t="shared" si="46"/>
        <v/>
      </c>
      <c r="CR61" s="76" t="str">
        <f t="shared" si="46"/>
        <v/>
      </c>
      <c r="CS61" s="76" t="str">
        <f t="shared" si="46"/>
        <v/>
      </c>
      <c r="CT61" s="76" t="str">
        <f t="shared" si="46"/>
        <v/>
      </c>
      <c r="CU61" s="76" t="str">
        <f t="shared" si="46"/>
        <v/>
      </c>
      <c r="CV61" s="76" t="str">
        <f t="shared" si="46"/>
        <v/>
      </c>
      <c r="CW61" s="76" t="str">
        <f t="shared" si="46"/>
        <v/>
      </c>
      <c r="CX61" s="76" t="str">
        <f t="shared" si="46"/>
        <v/>
      </c>
      <c r="CY61" s="76" t="str">
        <f t="shared" si="46"/>
        <v/>
      </c>
      <c r="CZ61" s="76" t="str">
        <f t="shared" si="46"/>
        <v/>
      </c>
      <c r="DA61" s="76" t="str">
        <f t="shared" si="46"/>
        <v/>
      </c>
      <c r="DB61" s="76" t="str">
        <f t="shared" si="46"/>
        <v/>
      </c>
      <c r="DC61" s="76" t="str">
        <f t="shared" si="46"/>
        <v/>
      </c>
      <c r="DD61" s="76" t="str">
        <f t="shared" si="46"/>
        <v/>
      </c>
      <c r="DE61" s="76" t="str">
        <f t="shared" si="46"/>
        <v/>
      </c>
      <c r="DF61" s="76" t="str">
        <f t="shared" si="46"/>
        <v/>
      </c>
      <c r="DG61" s="76" t="str">
        <f t="shared" si="46"/>
        <v/>
      </c>
      <c r="DH61" s="76" t="str">
        <f t="shared" si="46"/>
        <v/>
      </c>
      <c r="DI61" s="76" t="str">
        <f t="shared" si="46"/>
        <v/>
      </c>
      <c r="DJ61" s="76" t="str">
        <f t="shared" si="46"/>
        <v/>
      </c>
      <c r="DK61" s="76" t="str">
        <f t="shared" si="46"/>
        <v/>
      </c>
      <c r="DL61" s="76" t="str">
        <f t="shared" si="46"/>
        <v/>
      </c>
      <c r="DM61" s="76" t="str">
        <f t="shared" si="46"/>
        <v/>
      </c>
      <c r="DN61" s="76" t="str">
        <f t="shared" si="46"/>
        <v/>
      </c>
      <c r="DO61" s="76" t="str">
        <f t="shared" si="46"/>
        <v/>
      </c>
      <c r="DP61" s="76" t="str">
        <f t="shared" si="46"/>
        <v/>
      </c>
      <c r="DQ61" s="76" t="str">
        <f t="shared" si="46"/>
        <v/>
      </c>
      <c r="DR61" s="76" t="str">
        <f t="shared" si="46"/>
        <v/>
      </c>
      <c r="DS61" s="76" t="str">
        <f t="shared" si="46"/>
        <v/>
      </c>
      <c r="DT61" s="76" t="str">
        <f t="shared" si="46"/>
        <v/>
      </c>
      <c r="DU61" s="76" t="str">
        <f t="shared" si="46"/>
        <v/>
      </c>
      <c r="DV61" s="76" t="str">
        <f t="shared" si="46"/>
        <v/>
      </c>
      <c r="DW61" s="76" t="str">
        <f t="shared" si="46"/>
        <v/>
      </c>
      <c r="DX61" s="76" t="str">
        <f t="shared" si="46"/>
        <v/>
      </c>
      <c r="DY61" s="76" t="str">
        <f t="shared" si="46"/>
        <v/>
      </c>
      <c r="DZ61" s="76" t="str">
        <f t="shared" si="46"/>
        <v/>
      </c>
      <c r="EA61" s="76" t="str">
        <f t="shared" si="46"/>
        <v/>
      </c>
      <c r="EB61" s="76" t="str">
        <f t="shared" si="46"/>
        <v/>
      </c>
      <c r="EC61" s="76" t="str">
        <f t="shared" si="46"/>
        <v/>
      </c>
      <c r="ED61" s="76" t="str">
        <f t="shared" si="46"/>
        <v/>
      </c>
      <c r="EE61" s="76" t="str">
        <f t="shared" si="46"/>
        <v/>
      </c>
      <c r="EF61" s="76" t="str">
        <f t="shared" si="46"/>
        <v/>
      </c>
      <c r="EG61" s="76" t="str">
        <f t="shared" si="46"/>
        <v/>
      </c>
      <c r="EH61" s="76" t="str">
        <f t="shared" si="46"/>
        <v/>
      </c>
      <c r="EI61" s="76" t="str">
        <f t="shared" si="46"/>
        <v/>
      </c>
      <c r="EJ61" s="76" t="str">
        <f t="shared" si="46"/>
        <v/>
      </c>
      <c r="EK61" s="76" t="str">
        <f t="shared" si="46"/>
        <v/>
      </c>
      <c r="EL61" s="76" t="str">
        <f t="shared" si="46"/>
        <v/>
      </c>
      <c r="EM61" s="76" t="str">
        <f t="shared" si="46"/>
        <v/>
      </c>
      <c r="EN61" s="76" t="str">
        <f t="shared" si="46"/>
        <v/>
      </c>
      <c r="EO61" s="76" t="str">
        <f t="shared" si="46"/>
        <v/>
      </c>
      <c r="EP61" s="76" t="str">
        <f t="shared" si="46"/>
        <v/>
      </c>
      <c r="EQ61" s="76" t="str">
        <f t="shared" si="46"/>
        <v/>
      </c>
      <c r="ER61" s="76" t="str">
        <f t="shared" si="46"/>
        <v/>
      </c>
      <c r="ES61" s="76" t="str">
        <f t="shared" si="46"/>
        <v/>
      </c>
    </row>
    <row r="62" outlineLevel="1">
      <c r="A62" s="33"/>
      <c r="B62" s="58">
        <v>38.0</v>
      </c>
      <c r="C62" s="68" t="s">
        <v>176</v>
      </c>
      <c r="D62" s="68"/>
      <c r="E62" s="70">
        <f>F60</f>
        <v>45913</v>
      </c>
      <c r="F62" s="70">
        <f t="shared" si="22"/>
        <v>45943</v>
      </c>
      <c r="G62" s="71">
        <v>30.0</v>
      </c>
      <c r="H62" s="72">
        <v>0.0</v>
      </c>
      <c r="I62" s="73" t="str">
        <f t="shared" ref="I62:ES62" si="47">IF(AND($E62&lt;=I$6,$F62&gt;=I$6),"X","")</f>
        <v/>
      </c>
      <c r="J62" s="73" t="str">
        <f t="shared" si="47"/>
        <v/>
      </c>
      <c r="K62" s="73" t="str">
        <f t="shared" si="47"/>
        <v/>
      </c>
      <c r="L62" s="73" t="str">
        <f t="shared" si="47"/>
        <v/>
      </c>
      <c r="M62" s="73" t="str">
        <f t="shared" si="47"/>
        <v/>
      </c>
      <c r="N62" s="73" t="str">
        <f t="shared" si="47"/>
        <v/>
      </c>
      <c r="O62" s="73" t="str">
        <f t="shared" si="47"/>
        <v/>
      </c>
      <c r="P62" s="73" t="str">
        <f t="shared" si="47"/>
        <v/>
      </c>
      <c r="Q62" s="73" t="str">
        <f t="shared" si="47"/>
        <v/>
      </c>
      <c r="R62" s="73" t="str">
        <f t="shared" si="47"/>
        <v/>
      </c>
      <c r="S62" s="73" t="str">
        <f t="shared" si="47"/>
        <v/>
      </c>
      <c r="T62" s="73" t="str">
        <f t="shared" si="47"/>
        <v/>
      </c>
      <c r="U62" s="73" t="str">
        <f t="shared" si="47"/>
        <v/>
      </c>
      <c r="V62" s="73" t="str">
        <f t="shared" si="47"/>
        <v/>
      </c>
      <c r="W62" s="73" t="str">
        <f t="shared" si="47"/>
        <v/>
      </c>
      <c r="X62" s="73" t="str">
        <f t="shared" si="47"/>
        <v/>
      </c>
      <c r="Y62" s="73" t="str">
        <f t="shared" si="47"/>
        <v/>
      </c>
      <c r="Z62" s="73" t="str">
        <f t="shared" si="47"/>
        <v/>
      </c>
      <c r="AA62" s="73" t="str">
        <f t="shared" si="47"/>
        <v/>
      </c>
      <c r="AB62" s="73" t="str">
        <f t="shared" si="47"/>
        <v/>
      </c>
      <c r="AC62" s="73" t="str">
        <f t="shared" si="47"/>
        <v/>
      </c>
      <c r="AD62" s="73" t="str">
        <f t="shared" si="47"/>
        <v/>
      </c>
      <c r="AE62" s="73" t="str">
        <f t="shared" si="47"/>
        <v/>
      </c>
      <c r="AF62" s="73" t="str">
        <f t="shared" si="47"/>
        <v/>
      </c>
      <c r="AG62" s="73" t="str">
        <f t="shared" si="47"/>
        <v/>
      </c>
      <c r="AH62" s="73" t="str">
        <f t="shared" si="47"/>
        <v/>
      </c>
      <c r="AI62" s="73" t="str">
        <f t="shared" si="47"/>
        <v/>
      </c>
      <c r="AJ62" s="73" t="str">
        <f t="shared" si="47"/>
        <v/>
      </c>
      <c r="AK62" s="73" t="str">
        <f t="shared" si="47"/>
        <v/>
      </c>
      <c r="AL62" s="73" t="str">
        <f t="shared" si="47"/>
        <v/>
      </c>
      <c r="AM62" s="73" t="str">
        <f t="shared" si="47"/>
        <v/>
      </c>
      <c r="AN62" s="73" t="str">
        <f t="shared" si="47"/>
        <v/>
      </c>
      <c r="AO62" s="73" t="str">
        <f t="shared" si="47"/>
        <v/>
      </c>
      <c r="AP62" s="73" t="str">
        <f t="shared" si="47"/>
        <v/>
      </c>
      <c r="AQ62" s="73" t="str">
        <f t="shared" si="47"/>
        <v/>
      </c>
      <c r="AR62" s="73" t="str">
        <f t="shared" si="47"/>
        <v/>
      </c>
      <c r="AS62" s="73" t="str">
        <f t="shared" si="47"/>
        <v/>
      </c>
      <c r="AT62" s="73" t="str">
        <f t="shared" si="47"/>
        <v/>
      </c>
      <c r="AU62" s="73" t="str">
        <f t="shared" si="47"/>
        <v/>
      </c>
      <c r="AV62" s="73" t="str">
        <f t="shared" si="47"/>
        <v/>
      </c>
      <c r="AW62" s="73" t="str">
        <f t="shared" si="47"/>
        <v/>
      </c>
      <c r="AX62" s="73" t="str">
        <f t="shared" si="47"/>
        <v/>
      </c>
      <c r="AY62" s="73" t="str">
        <f t="shared" si="47"/>
        <v/>
      </c>
      <c r="AZ62" s="73" t="str">
        <f t="shared" si="47"/>
        <v/>
      </c>
      <c r="BA62" s="73" t="str">
        <f t="shared" si="47"/>
        <v/>
      </c>
      <c r="BB62" s="73" t="str">
        <f t="shared" si="47"/>
        <v/>
      </c>
      <c r="BC62" s="73" t="str">
        <f t="shared" si="47"/>
        <v/>
      </c>
      <c r="BD62" s="73" t="str">
        <f t="shared" si="47"/>
        <v/>
      </c>
      <c r="BE62" s="73" t="str">
        <f t="shared" si="47"/>
        <v/>
      </c>
      <c r="BF62" s="73" t="str">
        <f t="shared" si="47"/>
        <v/>
      </c>
      <c r="BG62" s="73" t="str">
        <f t="shared" si="47"/>
        <v/>
      </c>
      <c r="BH62" s="73" t="str">
        <f t="shared" si="47"/>
        <v/>
      </c>
      <c r="BI62" s="73" t="str">
        <f t="shared" si="47"/>
        <v/>
      </c>
      <c r="BJ62" s="73" t="str">
        <f t="shared" si="47"/>
        <v/>
      </c>
      <c r="BK62" s="73" t="str">
        <f t="shared" si="47"/>
        <v/>
      </c>
      <c r="BL62" s="73" t="str">
        <f t="shared" si="47"/>
        <v/>
      </c>
      <c r="BM62" s="73" t="str">
        <f t="shared" si="47"/>
        <v/>
      </c>
      <c r="BN62" s="73" t="str">
        <f t="shared" si="47"/>
        <v/>
      </c>
      <c r="BO62" s="73" t="str">
        <f t="shared" si="47"/>
        <v/>
      </c>
      <c r="BP62" s="76" t="str">
        <f t="shared" si="47"/>
        <v/>
      </c>
      <c r="BQ62" s="76" t="str">
        <f t="shared" si="47"/>
        <v/>
      </c>
      <c r="BR62" s="76" t="str">
        <f t="shared" si="47"/>
        <v/>
      </c>
      <c r="BS62" s="76" t="str">
        <f t="shared" si="47"/>
        <v/>
      </c>
      <c r="BT62" s="76" t="str">
        <f t="shared" si="47"/>
        <v/>
      </c>
      <c r="BU62" s="76" t="str">
        <f t="shared" si="47"/>
        <v/>
      </c>
      <c r="BV62" s="76" t="str">
        <f t="shared" si="47"/>
        <v/>
      </c>
      <c r="BW62" s="76" t="str">
        <f t="shared" si="47"/>
        <v/>
      </c>
      <c r="BX62" s="76" t="str">
        <f t="shared" si="47"/>
        <v/>
      </c>
      <c r="BY62" s="76" t="str">
        <f t="shared" si="47"/>
        <v/>
      </c>
      <c r="BZ62" s="76" t="str">
        <f t="shared" si="47"/>
        <v/>
      </c>
      <c r="CA62" s="76" t="str">
        <f t="shared" si="47"/>
        <v/>
      </c>
      <c r="CB62" s="76" t="str">
        <f t="shared" si="47"/>
        <v/>
      </c>
      <c r="CC62" s="76" t="str">
        <f t="shared" si="47"/>
        <v>X</v>
      </c>
      <c r="CD62" s="76" t="str">
        <f t="shared" si="47"/>
        <v>X</v>
      </c>
      <c r="CE62" s="76" t="str">
        <f t="shared" si="47"/>
        <v>X</v>
      </c>
      <c r="CF62" s="76" t="str">
        <f t="shared" si="47"/>
        <v>X</v>
      </c>
      <c r="CG62" s="76" t="str">
        <f t="shared" si="47"/>
        <v/>
      </c>
      <c r="CH62" s="76" t="str">
        <f t="shared" si="47"/>
        <v/>
      </c>
      <c r="CI62" s="76" t="str">
        <f t="shared" si="47"/>
        <v/>
      </c>
      <c r="CJ62" s="76" t="str">
        <f t="shared" si="47"/>
        <v/>
      </c>
      <c r="CK62" s="76" t="str">
        <f t="shared" si="47"/>
        <v/>
      </c>
      <c r="CL62" s="76" t="str">
        <f t="shared" si="47"/>
        <v/>
      </c>
      <c r="CM62" s="76" t="str">
        <f t="shared" si="47"/>
        <v/>
      </c>
      <c r="CN62" s="76" t="str">
        <f t="shared" si="47"/>
        <v/>
      </c>
      <c r="CO62" s="76" t="str">
        <f t="shared" si="47"/>
        <v/>
      </c>
      <c r="CP62" s="76" t="str">
        <f t="shared" si="47"/>
        <v/>
      </c>
      <c r="CQ62" s="76" t="str">
        <f t="shared" si="47"/>
        <v/>
      </c>
      <c r="CR62" s="76" t="str">
        <f t="shared" si="47"/>
        <v/>
      </c>
      <c r="CS62" s="76" t="str">
        <f t="shared" si="47"/>
        <v/>
      </c>
      <c r="CT62" s="76" t="str">
        <f t="shared" si="47"/>
        <v/>
      </c>
      <c r="CU62" s="76" t="str">
        <f t="shared" si="47"/>
        <v/>
      </c>
      <c r="CV62" s="76" t="str">
        <f t="shared" si="47"/>
        <v/>
      </c>
      <c r="CW62" s="76" t="str">
        <f t="shared" si="47"/>
        <v/>
      </c>
      <c r="CX62" s="76" t="str">
        <f t="shared" si="47"/>
        <v/>
      </c>
      <c r="CY62" s="76" t="str">
        <f t="shared" si="47"/>
        <v/>
      </c>
      <c r="CZ62" s="76" t="str">
        <f t="shared" si="47"/>
        <v/>
      </c>
      <c r="DA62" s="76" t="str">
        <f t="shared" si="47"/>
        <v/>
      </c>
      <c r="DB62" s="76" t="str">
        <f t="shared" si="47"/>
        <v/>
      </c>
      <c r="DC62" s="76" t="str">
        <f t="shared" si="47"/>
        <v/>
      </c>
      <c r="DD62" s="76" t="str">
        <f t="shared" si="47"/>
        <v/>
      </c>
      <c r="DE62" s="76" t="str">
        <f t="shared" si="47"/>
        <v/>
      </c>
      <c r="DF62" s="76" t="str">
        <f t="shared" si="47"/>
        <v/>
      </c>
      <c r="DG62" s="76" t="str">
        <f t="shared" si="47"/>
        <v/>
      </c>
      <c r="DH62" s="76" t="str">
        <f t="shared" si="47"/>
        <v/>
      </c>
      <c r="DI62" s="76" t="str">
        <f t="shared" si="47"/>
        <v/>
      </c>
      <c r="DJ62" s="76" t="str">
        <f t="shared" si="47"/>
        <v/>
      </c>
      <c r="DK62" s="76" t="str">
        <f t="shared" si="47"/>
        <v/>
      </c>
      <c r="DL62" s="76" t="str">
        <f t="shared" si="47"/>
        <v/>
      </c>
      <c r="DM62" s="76" t="str">
        <f t="shared" si="47"/>
        <v/>
      </c>
      <c r="DN62" s="76" t="str">
        <f t="shared" si="47"/>
        <v/>
      </c>
      <c r="DO62" s="76" t="str">
        <f t="shared" si="47"/>
        <v/>
      </c>
      <c r="DP62" s="76" t="str">
        <f t="shared" si="47"/>
        <v/>
      </c>
      <c r="DQ62" s="76" t="str">
        <f t="shared" si="47"/>
        <v/>
      </c>
      <c r="DR62" s="76" t="str">
        <f t="shared" si="47"/>
        <v/>
      </c>
      <c r="DS62" s="76" t="str">
        <f t="shared" si="47"/>
        <v/>
      </c>
      <c r="DT62" s="76" t="str">
        <f t="shared" si="47"/>
        <v/>
      </c>
      <c r="DU62" s="76" t="str">
        <f t="shared" si="47"/>
        <v/>
      </c>
      <c r="DV62" s="76" t="str">
        <f t="shared" si="47"/>
        <v/>
      </c>
      <c r="DW62" s="76" t="str">
        <f t="shared" si="47"/>
        <v/>
      </c>
      <c r="DX62" s="76" t="str">
        <f t="shared" si="47"/>
        <v/>
      </c>
      <c r="DY62" s="76" t="str">
        <f t="shared" si="47"/>
        <v/>
      </c>
      <c r="DZ62" s="76" t="str">
        <f t="shared" si="47"/>
        <v/>
      </c>
      <c r="EA62" s="76" t="str">
        <f t="shared" si="47"/>
        <v/>
      </c>
      <c r="EB62" s="76" t="str">
        <f t="shared" si="47"/>
        <v/>
      </c>
      <c r="EC62" s="76" t="str">
        <f t="shared" si="47"/>
        <v/>
      </c>
      <c r="ED62" s="76" t="str">
        <f t="shared" si="47"/>
        <v/>
      </c>
      <c r="EE62" s="76" t="str">
        <f t="shared" si="47"/>
        <v/>
      </c>
      <c r="EF62" s="76" t="str">
        <f t="shared" si="47"/>
        <v/>
      </c>
      <c r="EG62" s="76" t="str">
        <f t="shared" si="47"/>
        <v/>
      </c>
      <c r="EH62" s="76" t="str">
        <f t="shared" si="47"/>
        <v/>
      </c>
      <c r="EI62" s="76" t="str">
        <f t="shared" si="47"/>
        <v/>
      </c>
      <c r="EJ62" s="76" t="str">
        <f t="shared" si="47"/>
        <v/>
      </c>
      <c r="EK62" s="76" t="str">
        <f t="shared" si="47"/>
        <v/>
      </c>
      <c r="EL62" s="76" t="str">
        <f t="shared" si="47"/>
        <v/>
      </c>
      <c r="EM62" s="76" t="str">
        <f t="shared" si="47"/>
        <v/>
      </c>
      <c r="EN62" s="76" t="str">
        <f t="shared" si="47"/>
        <v/>
      </c>
      <c r="EO62" s="76" t="str">
        <f t="shared" si="47"/>
        <v/>
      </c>
      <c r="EP62" s="76" t="str">
        <f t="shared" si="47"/>
        <v/>
      </c>
      <c r="EQ62" s="76" t="str">
        <f t="shared" si="47"/>
        <v/>
      </c>
      <c r="ER62" s="76" t="str">
        <f t="shared" si="47"/>
        <v/>
      </c>
      <c r="ES62" s="76" t="str">
        <f t="shared" si="47"/>
        <v/>
      </c>
    </row>
    <row r="63" outlineLevel="1">
      <c r="A63" s="33"/>
      <c r="B63" s="58">
        <v>39.0</v>
      </c>
      <c r="C63" s="68" t="s">
        <v>177</v>
      </c>
      <c r="D63" s="68"/>
      <c r="E63" s="70">
        <f>F60</f>
        <v>45913</v>
      </c>
      <c r="F63" s="70">
        <f t="shared" si="22"/>
        <v>45955</v>
      </c>
      <c r="G63" s="71">
        <v>42.0</v>
      </c>
      <c r="H63" s="72">
        <v>0.0</v>
      </c>
      <c r="I63" s="73" t="str">
        <f t="shared" ref="I63:ES63" si="48">IF(AND($E63&lt;=I$6,$F63&gt;=I$6),"X","")</f>
        <v/>
      </c>
      <c r="J63" s="73" t="str">
        <f t="shared" si="48"/>
        <v/>
      </c>
      <c r="K63" s="73" t="str">
        <f t="shared" si="48"/>
        <v/>
      </c>
      <c r="L63" s="73" t="str">
        <f t="shared" si="48"/>
        <v/>
      </c>
      <c r="M63" s="73" t="str">
        <f t="shared" si="48"/>
        <v/>
      </c>
      <c r="N63" s="73" t="str">
        <f t="shared" si="48"/>
        <v/>
      </c>
      <c r="O63" s="73" t="str">
        <f t="shared" si="48"/>
        <v/>
      </c>
      <c r="P63" s="73" t="str">
        <f t="shared" si="48"/>
        <v/>
      </c>
      <c r="Q63" s="73" t="str">
        <f t="shared" si="48"/>
        <v/>
      </c>
      <c r="R63" s="73" t="str">
        <f t="shared" si="48"/>
        <v/>
      </c>
      <c r="S63" s="73" t="str">
        <f t="shared" si="48"/>
        <v/>
      </c>
      <c r="T63" s="73" t="str">
        <f t="shared" si="48"/>
        <v/>
      </c>
      <c r="U63" s="73" t="str">
        <f t="shared" si="48"/>
        <v/>
      </c>
      <c r="V63" s="73" t="str">
        <f t="shared" si="48"/>
        <v/>
      </c>
      <c r="W63" s="73" t="str">
        <f t="shared" si="48"/>
        <v/>
      </c>
      <c r="X63" s="73" t="str">
        <f t="shared" si="48"/>
        <v/>
      </c>
      <c r="Y63" s="73" t="str">
        <f t="shared" si="48"/>
        <v/>
      </c>
      <c r="Z63" s="73" t="str">
        <f t="shared" si="48"/>
        <v/>
      </c>
      <c r="AA63" s="73" t="str">
        <f t="shared" si="48"/>
        <v/>
      </c>
      <c r="AB63" s="73" t="str">
        <f t="shared" si="48"/>
        <v/>
      </c>
      <c r="AC63" s="73" t="str">
        <f t="shared" si="48"/>
        <v/>
      </c>
      <c r="AD63" s="73" t="str">
        <f t="shared" si="48"/>
        <v/>
      </c>
      <c r="AE63" s="73" t="str">
        <f t="shared" si="48"/>
        <v/>
      </c>
      <c r="AF63" s="73" t="str">
        <f t="shared" si="48"/>
        <v/>
      </c>
      <c r="AG63" s="73" t="str">
        <f t="shared" si="48"/>
        <v/>
      </c>
      <c r="AH63" s="73" t="str">
        <f t="shared" si="48"/>
        <v/>
      </c>
      <c r="AI63" s="73" t="str">
        <f t="shared" si="48"/>
        <v/>
      </c>
      <c r="AJ63" s="73" t="str">
        <f t="shared" si="48"/>
        <v/>
      </c>
      <c r="AK63" s="73" t="str">
        <f t="shared" si="48"/>
        <v/>
      </c>
      <c r="AL63" s="73" t="str">
        <f t="shared" si="48"/>
        <v/>
      </c>
      <c r="AM63" s="73" t="str">
        <f t="shared" si="48"/>
        <v/>
      </c>
      <c r="AN63" s="73" t="str">
        <f t="shared" si="48"/>
        <v/>
      </c>
      <c r="AO63" s="73" t="str">
        <f t="shared" si="48"/>
        <v/>
      </c>
      <c r="AP63" s="73" t="str">
        <f t="shared" si="48"/>
        <v/>
      </c>
      <c r="AQ63" s="73" t="str">
        <f t="shared" si="48"/>
        <v/>
      </c>
      <c r="AR63" s="73" t="str">
        <f t="shared" si="48"/>
        <v/>
      </c>
      <c r="AS63" s="73" t="str">
        <f t="shared" si="48"/>
        <v/>
      </c>
      <c r="AT63" s="73" t="str">
        <f t="shared" si="48"/>
        <v/>
      </c>
      <c r="AU63" s="73" t="str">
        <f t="shared" si="48"/>
        <v/>
      </c>
      <c r="AV63" s="73" t="str">
        <f t="shared" si="48"/>
        <v/>
      </c>
      <c r="AW63" s="73" t="str">
        <f t="shared" si="48"/>
        <v/>
      </c>
      <c r="AX63" s="73" t="str">
        <f t="shared" si="48"/>
        <v/>
      </c>
      <c r="AY63" s="73" t="str">
        <f t="shared" si="48"/>
        <v/>
      </c>
      <c r="AZ63" s="73" t="str">
        <f t="shared" si="48"/>
        <v/>
      </c>
      <c r="BA63" s="73" t="str">
        <f t="shared" si="48"/>
        <v/>
      </c>
      <c r="BB63" s="73" t="str">
        <f t="shared" si="48"/>
        <v/>
      </c>
      <c r="BC63" s="73" t="str">
        <f t="shared" si="48"/>
        <v/>
      </c>
      <c r="BD63" s="73" t="str">
        <f t="shared" si="48"/>
        <v/>
      </c>
      <c r="BE63" s="73" t="str">
        <f t="shared" si="48"/>
        <v/>
      </c>
      <c r="BF63" s="73" t="str">
        <f t="shared" si="48"/>
        <v/>
      </c>
      <c r="BG63" s="73" t="str">
        <f t="shared" si="48"/>
        <v/>
      </c>
      <c r="BH63" s="73" t="str">
        <f t="shared" si="48"/>
        <v/>
      </c>
      <c r="BI63" s="73" t="str">
        <f t="shared" si="48"/>
        <v/>
      </c>
      <c r="BJ63" s="73" t="str">
        <f t="shared" si="48"/>
        <v/>
      </c>
      <c r="BK63" s="73" t="str">
        <f t="shared" si="48"/>
        <v/>
      </c>
      <c r="BL63" s="73" t="str">
        <f t="shared" si="48"/>
        <v/>
      </c>
      <c r="BM63" s="73" t="str">
        <f t="shared" si="48"/>
        <v/>
      </c>
      <c r="BN63" s="73" t="str">
        <f t="shared" si="48"/>
        <v/>
      </c>
      <c r="BO63" s="73" t="str">
        <f t="shared" si="48"/>
        <v/>
      </c>
      <c r="BP63" s="76" t="str">
        <f t="shared" si="48"/>
        <v/>
      </c>
      <c r="BQ63" s="76" t="str">
        <f t="shared" si="48"/>
        <v/>
      </c>
      <c r="BR63" s="76" t="str">
        <f t="shared" si="48"/>
        <v/>
      </c>
      <c r="BS63" s="76" t="str">
        <f t="shared" si="48"/>
        <v/>
      </c>
      <c r="BT63" s="76" t="str">
        <f t="shared" si="48"/>
        <v/>
      </c>
      <c r="BU63" s="76" t="str">
        <f t="shared" si="48"/>
        <v/>
      </c>
      <c r="BV63" s="76" t="str">
        <f t="shared" si="48"/>
        <v/>
      </c>
      <c r="BW63" s="76" t="str">
        <f t="shared" si="48"/>
        <v/>
      </c>
      <c r="BX63" s="76" t="str">
        <f t="shared" si="48"/>
        <v/>
      </c>
      <c r="BY63" s="76" t="str">
        <f t="shared" si="48"/>
        <v/>
      </c>
      <c r="BZ63" s="76" t="str">
        <f t="shared" si="48"/>
        <v/>
      </c>
      <c r="CA63" s="76" t="str">
        <f t="shared" si="48"/>
        <v/>
      </c>
      <c r="CB63" s="76" t="str">
        <f t="shared" si="48"/>
        <v/>
      </c>
      <c r="CC63" s="76" t="str">
        <f t="shared" si="48"/>
        <v>X</v>
      </c>
      <c r="CD63" s="76" t="str">
        <f t="shared" si="48"/>
        <v>X</v>
      </c>
      <c r="CE63" s="76" t="str">
        <f t="shared" si="48"/>
        <v>X</v>
      </c>
      <c r="CF63" s="76" t="str">
        <f t="shared" si="48"/>
        <v>X</v>
      </c>
      <c r="CG63" s="76" t="str">
        <f t="shared" si="48"/>
        <v>X</v>
      </c>
      <c r="CH63" s="76" t="str">
        <f t="shared" si="48"/>
        <v>X</v>
      </c>
      <c r="CI63" s="76" t="str">
        <f t="shared" si="48"/>
        <v/>
      </c>
      <c r="CJ63" s="76" t="str">
        <f t="shared" si="48"/>
        <v/>
      </c>
      <c r="CK63" s="76" t="str">
        <f t="shared" si="48"/>
        <v/>
      </c>
      <c r="CL63" s="76" t="str">
        <f t="shared" si="48"/>
        <v/>
      </c>
      <c r="CM63" s="76" t="str">
        <f t="shared" si="48"/>
        <v/>
      </c>
      <c r="CN63" s="76" t="str">
        <f t="shared" si="48"/>
        <v/>
      </c>
      <c r="CO63" s="76" t="str">
        <f t="shared" si="48"/>
        <v/>
      </c>
      <c r="CP63" s="76" t="str">
        <f t="shared" si="48"/>
        <v/>
      </c>
      <c r="CQ63" s="76" t="str">
        <f t="shared" si="48"/>
        <v/>
      </c>
      <c r="CR63" s="76" t="str">
        <f t="shared" si="48"/>
        <v/>
      </c>
      <c r="CS63" s="76" t="str">
        <f t="shared" si="48"/>
        <v/>
      </c>
      <c r="CT63" s="76" t="str">
        <f t="shared" si="48"/>
        <v/>
      </c>
      <c r="CU63" s="76" t="str">
        <f t="shared" si="48"/>
        <v/>
      </c>
      <c r="CV63" s="76" t="str">
        <f t="shared" si="48"/>
        <v/>
      </c>
      <c r="CW63" s="76" t="str">
        <f t="shared" si="48"/>
        <v/>
      </c>
      <c r="CX63" s="76" t="str">
        <f t="shared" si="48"/>
        <v/>
      </c>
      <c r="CY63" s="76" t="str">
        <f t="shared" si="48"/>
        <v/>
      </c>
      <c r="CZ63" s="76" t="str">
        <f t="shared" si="48"/>
        <v/>
      </c>
      <c r="DA63" s="76" t="str">
        <f t="shared" si="48"/>
        <v/>
      </c>
      <c r="DB63" s="76" t="str">
        <f t="shared" si="48"/>
        <v/>
      </c>
      <c r="DC63" s="76" t="str">
        <f t="shared" si="48"/>
        <v/>
      </c>
      <c r="DD63" s="76" t="str">
        <f t="shared" si="48"/>
        <v/>
      </c>
      <c r="DE63" s="76" t="str">
        <f t="shared" si="48"/>
        <v/>
      </c>
      <c r="DF63" s="76" t="str">
        <f t="shared" si="48"/>
        <v/>
      </c>
      <c r="DG63" s="76" t="str">
        <f t="shared" si="48"/>
        <v/>
      </c>
      <c r="DH63" s="76" t="str">
        <f t="shared" si="48"/>
        <v/>
      </c>
      <c r="DI63" s="76" t="str">
        <f t="shared" si="48"/>
        <v/>
      </c>
      <c r="DJ63" s="76" t="str">
        <f t="shared" si="48"/>
        <v/>
      </c>
      <c r="DK63" s="76" t="str">
        <f t="shared" si="48"/>
        <v/>
      </c>
      <c r="DL63" s="76" t="str">
        <f t="shared" si="48"/>
        <v/>
      </c>
      <c r="DM63" s="76" t="str">
        <f t="shared" si="48"/>
        <v/>
      </c>
      <c r="DN63" s="76" t="str">
        <f t="shared" si="48"/>
        <v/>
      </c>
      <c r="DO63" s="76" t="str">
        <f t="shared" si="48"/>
        <v/>
      </c>
      <c r="DP63" s="76" t="str">
        <f t="shared" si="48"/>
        <v/>
      </c>
      <c r="DQ63" s="76" t="str">
        <f t="shared" si="48"/>
        <v/>
      </c>
      <c r="DR63" s="76" t="str">
        <f t="shared" si="48"/>
        <v/>
      </c>
      <c r="DS63" s="76" t="str">
        <f t="shared" si="48"/>
        <v/>
      </c>
      <c r="DT63" s="76" t="str">
        <f t="shared" si="48"/>
        <v/>
      </c>
      <c r="DU63" s="76" t="str">
        <f t="shared" si="48"/>
        <v/>
      </c>
      <c r="DV63" s="76" t="str">
        <f t="shared" si="48"/>
        <v/>
      </c>
      <c r="DW63" s="76" t="str">
        <f t="shared" si="48"/>
        <v/>
      </c>
      <c r="DX63" s="76" t="str">
        <f t="shared" si="48"/>
        <v/>
      </c>
      <c r="DY63" s="76" t="str">
        <f t="shared" si="48"/>
        <v/>
      </c>
      <c r="DZ63" s="76" t="str">
        <f t="shared" si="48"/>
        <v/>
      </c>
      <c r="EA63" s="76" t="str">
        <f t="shared" si="48"/>
        <v/>
      </c>
      <c r="EB63" s="76" t="str">
        <f t="shared" si="48"/>
        <v/>
      </c>
      <c r="EC63" s="76" t="str">
        <f t="shared" si="48"/>
        <v/>
      </c>
      <c r="ED63" s="76" t="str">
        <f t="shared" si="48"/>
        <v/>
      </c>
      <c r="EE63" s="76" t="str">
        <f t="shared" si="48"/>
        <v/>
      </c>
      <c r="EF63" s="76" t="str">
        <f t="shared" si="48"/>
        <v/>
      </c>
      <c r="EG63" s="76" t="str">
        <f t="shared" si="48"/>
        <v/>
      </c>
      <c r="EH63" s="76" t="str">
        <f t="shared" si="48"/>
        <v/>
      </c>
      <c r="EI63" s="76" t="str">
        <f t="shared" si="48"/>
        <v/>
      </c>
      <c r="EJ63" s="76" t="str">
        <f t="shared" si="48"/>
        <v/>
      </c>
      <c r="EK63" s="76" t="str">
        <f t="shared" si="48"/>
        <v/>
      </c>
      <c r="EL63" s="76" t="str">
        <f t="shared" si="48"/>
        <v/>
      </c>
      <c r="EM63" s="76" t="str">
        <f t="shared" si="48"/>
        <v/>
      </c>
      <c r="EN63" s="76" t="str">
        <f t="shared" si="48"/>
        <v/>
      </c>
      <c r="EO63" s="76" t="str">
        <f t="shared" si="48"/>
        <v/>
      </c>
      <c r="EP63" s="76" t="str">
        <f t="shared" si="48"/>
        <v/>
      </c>
      <c r="EQ63" s="76" t="str">
        <f t="shared" si="48"/>
        <v/>
      </c>
      <c r="ER63" s="76" t="str">
        <f t="shared" si="48"/>
        <v/>
      </c>
      <c r="ES63" s="76" t="str">
        <f t="shared" si="48"/>
        <v/>
      </c>
    </row>
    <row r="64" outlineLevel="1">
      <c r="A64" s="33"/>
      <c r="B64" s="58">
        <v>40.0</v>
      </c>
      <c r="C64" s="68" t="s">
        <v>89</v>
      </c>
      <c r="D64" s="68"/>
      <c r="E64" s="70">
        <f>F59</f>
        <v>45899</v>
      </c>
      <c r="F64" s="70">
        <f t="shared" si="22"/>
        <v>45913</v>
      </c>
      <c r="G64" s="71">
        <v>14.0</v>
      </c>
      <c r="H64" s="72">
        <v>0.0</v>
      </c>
      <c r="I64" s="73" t="str">
        <f t="shared" ref="I64:ES64" si="49">IF(AND($E64&lt;=I$6,$F64&gt;=I$6),"X","")</f>
        <v/>
      </c>
      <c r="J64" s="73" t="str">
        <f t="shared" si="49"/>
        <v/>
      </c>
      <c r="K64" s="73" t="str">
        <f t="shared" si="49"/>
        <v/>
      </c>
      <c r="L64" s="73" t="str">
        <f t="shared" si="49"/>
        <v/>
      </c>
      <c r="M64" s="73" t="str">
        <f t="shared" si="49"/>
        <v/>
      </c>
      <c r="N64" s="73" t="str">
        <f t="shared" si="49"/>
        <v/>
      </c>
      <c r="O64" s="73" t="str">
        <f t="shared" si="49"/>
        <v/>
      </c>
      <c r="P64" s="73" t="str">
        <f t="shared" si="49"/>
        <v/>
      </c>
      <c r="Q64" s="73" t="str">
        <f t="shared" si="49"/>
        <v/>
      </c>
      <c r="R64" s="73" t="str">
        <f t="shared" si="49"/>
        <v/>
      </c>
      <c r="S64" s="73" t="str">
        <f t="shared" si="49"/>
        <v/>
      </c>
      <c r="T64" s="73" t="str">
        <f t="shared" si="49"/>
        <v/>
      </c>
      <c r="U64" s="73" t="str">
        <f t="shared" si="49"/>
        <v/>
      </c>
      <c r="V64" s="73" t="str">
        <f t="shared" si="49"/>
        <v/>
      </c>
      <c r="W64" s="73" t="str">
        <f t="shared" si="49"/>
        <v/>
      </c>
      <c r="X64" s="73" t="str">
        <f t="shared" si="49"/>
        <v/>
      </c>
      <c r="Y64" s="73" t="str">
        <f t="shared" si="49"/>
        <v/>
      </c>
      <c r="Z64" s="73" t="str">
        <f t="shared" si="49"/>
        <v/>
      </c>
      <c r="AA64" s="73" t="str">
        <f t="shared" si="49"/>
        <v/>
      </c>
      <c r="AB64" s="73" t="str">
        <f t="shared" si="49"/>
        <v/>
      </c>
      <c r="AC64" s="73" t="str">
        <f t="shared" si="49"/>
        <v/>
      </c>
      <c r="AD64" s="73" t="str">
        <f t="shared" si="49"/>
        <v/>
      </c>
      <c r="AE64" s="73" t="str">
        <f t="shared" si="49"/>
        <v/>
      </c>
      <c r="AF64" s="73" t="str">
        <f t="shared" si="49"/>
        <v/>
      </c>
      <c r="AG64" s="73" t="str">
        <f t="shared" si="49"/>
        <v/>
      </c>
      <c r="AH64" s="73" t="str">
        <f t="shared" si="49"/>
        <v/>
      </c>
      <c r="AI64" s="73" t="str">
        <f t="shared" si="49"/>
        <v/>
      </c>
      <c r="AJ64" s="73" t="str">
        <f t="shared" si="49"/>
        <v/>
      </c>
      <c r="AK64" s="73" t="str">
        <f t="shared" si="49"/>
        <v/>
      </c>
      <c r="AL64" s="73" t="str">
        <f t="shared" si="49"/>
        <v/>
      </c>
      <c r="AM64" s="73" t="str">
        <f t="shared" si="49"/>
        <v/>
      </c>
      <c r="AN64" s="73" t="str">
        <f t="shared" si="49"/>
        <v/>
      </c>
      <c r="AO64" s="73" t="str">
        <f t="shared" si="49"/>
        <v/>
      </c>
      <c r="AP64" s="73" t="str">
        <f t="shared" si="49"/>
        <v/>
      </c>
      <c r="AQ64" s="73" t="str">
        <f t="shared" si="49"/>
        <v/>
      </c>
      <c r="AR64" s="73" t="str">
        <f t="shared" si="49"/>
        <v/>
      </c>
      <c r="AS64" s="73" t="str">
        <f t="shared" si="49"/>
        <v/>
      </c>
      <c r="AT64" s="73" t="str">
        <f t="shared" si="49"/>
        <v/>
      </c>
      <c r="AU64" s="73" t="str">
        <f t="shared" si="49"/>
        <v/>
      </c>
      <c r="AV64" s="73" t="str">
        <f t="shared" si="49"/>
        <v/>
      </c>
      <c r="AW64" s="73" t="str">
        <f t="shared" si="49"/>
        <v/>
      </c>
      <c r="AX64" s="73" t="str">
        <f t="shared" si="49"/>
        <v/>
      </c>
      <c r="AY64" s="73" t="str">
        <f t="shared" si="49"/>
        <v/>
      </c>
      <c r="AZ64" s="73" t="str">
        <f t="shared" si="49"/>
        <v/>
      </c>
      <c r="BA64" s="73" t="str">
        <f t="shared" si="49"/>
        <v/>
      </c>
      <c r="BB64" s="73" t="str">
        <f t="shared" si="49"/>
        <v/>
      </c>
      <c r="BC64" s="73" t="str">
        <f t="shared" si="49"/>
        <v/>
      </c>
      <c r="BD64" s="73" t="str">
        <f t="shared" si="49"/>
        <v/>
      </c>
      <c r="BE64" s="73" t="str">
        <f t="shared" si="49"/>
        <v/>
      </c>
      <c r="BF64" s="73" t="str">
        <f t="shared" si="49"/>
        <v/>
      </c>
      <c r="BG64" s="73" t="str">
        <f t="shared" si="49"/>
        <v/>
      </c>
      <c r="BH64" s="73" t="str">
        <f t="shared" si="49"/>
        <v/>
      </c>
      <c r="BI64" s="73" t="str">
        <f t="shared" si="49"/>
        <v/>
      </c>
      <c r="BJ64" s="73" t="str">
        <f t="shared" si="49"/>
        <v/>
      </c>
      <c r="BK64" s="73" t="str">
        <f t="shared" si="49"/>
        <v/>
      </c>
      <c r="BL64" s="73" t="str">
        <f t="shared" si="49"/>
        <v/>
      </c>
      <c r="BM64" s="73" t="str">
        <f t="shared" si="49"/>
        <v/>
      </c>
      <c r="BN64" s="73" t="str">
        <f t="shared" si="49"/>
        <v/>
      </c>
      <c r="BO64" s="73" t="str">
        <f t="shared" si="49"/>
        <v/>
      </c>
      <c r="BP64" s="76" t="str">
        <f t="shared" si="49"/>
        <v/>
      </c>
      <c r="BQ64" s="76" t="str">
        <f t="shared" si="49"/>
        <v/>
      </c>
      <c r="BR64" s="76" t="str">
        <f t="shared" si="49"/>
        <v/>
      </c>
      <c r="BS64" s="76" t="str">
        <f t="shared" si="49"/>
        <v/>
      </c>
      <c r="BT64" s="76" t="str">
        <f t="shared" si="49"/>
        <v/>
      </c>
      <c r="BU64" s="76" t="str">
        <f t="shared" si="49"/>
        <v/>
      </c>
      <c r="BV64" s="76" t="str">
        <f t="shared" si="49"/>
        <v/>
      </c>
      <c r="BW64" s="76" t="str">
        <f t="shared" si="49"/>
        <v/>
      </c>
      <c r="BX64" s="76" t="str">
        <f t="shared" si="49"/>
        <v/>
      </c>
      <c r="BY64" s="76" t="str">
        <f t="shared" si="49"/>
        <v/>
      </c>
      <c r="BZ64" s="76" t="str">
        <f t="shared" si="49"/>
        <v/>
      </c>
      <c r="CA64" s="76" t="str">
        <f t="shared" si="49"/>
        <v>X</v>
      </c>
      <c r="CB64" s="76" t="str">
        <f t="shared" si="49"/>
        <v>X</v>
      </c>
      <c r="CC64" s="76" t="str">
        <f t="shared" si="49"/>
        <v/>
      </c>
      <c r="CD64" s="76" t="str">
        <f t="shared" si="49"/>
        <v/>
      </c>
      <c r="CE64" s="76" t="str">
        <f t="shared" si="49"/>
        <v/>
      </c>
      <c r="CF64" s="76" t="str">
        <f t="shared" si="49"/>
        <v/>
      </c>
      <c r="CG64" s="76" t="str">
        <f t="shared" si="49"/>
        <v/>
      </c>
      <c r="CH64" s="76" t="str">
        <f t="shared" si="49"/>
        <v/>
      </c>
      <c r="CI64" s="76" t="str">
        <f t="shared" si="49"/>
        <v/>
      </c>
      <c r="CJ64" s="76" t="str">
        <f t="shared" si="49"/>
        <v/>
      </c>
      <c r="CK64" s="76" t="str">
        <f t="shared" si="49"/>
        <v/>
      </c>
      <c r="CL64" s="76" t="str">
        <f t="shared" si="49"/>
        <v/>
      </c>
      <c r="CM64" s="76" t="str">
        <f t="shared" si="49"/>
        <v/>
      </c>
      <c r="CN64" s="76" t="str">
        <f t="shared" si="49"/>
        <v/>
      </c>
      <c r="CO64" s="76" t="str">
        <f t="shared" si="49"/>
        <v/>
      </c>
      <c r="CP64" s="76" t="str">
        <f t="shared" si="49"/>
        <v/>
      </c>
      <c r="CQ64" s="76" t="str">
        <f t="shared" si="49"/>
        <v/>
      </c>
      <c r="CR64" s="76" t="str">
        <f t="shared" si="49"/>
        <v/>
      </c>
      <c r="CS64" s="76" t="str">
        <f t="shared" si="49"/>
        <v/>
      </c>
      <c r="CT64" s="76" t="str">
        <f t="shared" si="49"/>
        <v/>
      </c>
      <c r="CU64" s="76" t="str">
        <f t="shared" si="49"/>
        <v/>
      </c>
      <c r="CV64" s="76" t="str">
        <f t="shared" si="49"/>
        <v/>
      </c>
      <c r="CW64" s="76" t="str">
        <f t="shared" si="49"/>
        <v/>
      </c>
      <c r="CX64" s="76" t="str">
        <f t="shared" si="49"/>
        <v/>
      </c>
      <c r="CY64" s="76" t="str">
        <f t="shared" si="49"/>
        <v/>
      </c>
      <c r="CZ64" s="76" t="str">
        <f t="shared" si="49"/>
        <v/>
      </c>
      <c r="DA64" s="76" t="str">
        <f t="shared" si="49"/>
        <v/>
      </c>
      <c r="DB64" s="76" t="str">
        <f t="shared" si="49"/>
        <v/>
      </c>
      <c r="DC64" s="76" t="str">
        <f t="shared" si="49"/>
        <v/>
      </c>
      <c r="DD64" s="76" t="str">
        <f t="shared" si="49"/>
        <v/>
      </c>
      <c r="DE64" s="76" t="str">
        <f t="shared" si="49"/>
        <v/>
      </c>
      <c r="DF64" s="76" t="str">
        <f t="shared" si="49"/>
        <v/>
      </c>
      <c r="DG64" s="76" t="str">
        <f t="shared" si="49"/>
        <v/>
      </c>
      <c r="DH64" s="76" t="str">
        <f t="shared" si="49"/>
        <v/>
      </c>
      <c r="DI64" s="76" t="str">
        <f t="shared" si="49"/>
        <v/>
      </c>
      <c r="DJ64" s="76" t="str">
        <f t="shared" si="49"/>
        <v/>
      </c>
      <c r="DK64" s="76" t="str">
        <f t="shared" si="49"/>
        <v/>
      </c>
      <c r="DL64" s="76" t="str">
        <f t="shared" si="49"/>
        <v/>
      </c>
      <c r="DM64" s="76" t="str">
        <f t="shared" si="49"/>
        <v/>
      </c>
      <c r="DN64" s="76" t="str">
        <f t="shared" si="49"/>
        <v/>
      </c>
      <c r="DO64" s="76" t="str">
        <f t="shared" si="49"/>
        <v/>
      </c>
      <c r="DP64" s="76" t="str">
        <f t="shared" si="49"/>
        <v/>
      </c>
      <c r="DQ64" s="76" t="str">
        <f t="shared" si="49"/>
        <v/>
      </c>
      <c r="DR64" s="76" t="str">
        <f t="shared" si="49"/>
        <v/>
      </c>
      <c r="DS64" s="76" t="str">
        <f t="shared" si="49"/>
        <v/>
      </c>
      <c r="DT64" s="76" t="str">
        <f t="shared" si="49"/>
        <v/>
      </c>
      <c r="DU64" s="76" t="str">
        <f t="shared" si="49"/>
        <v/>
      </c>
      <c r="DV64" s="76" t="str">
        <f t="shared" si="49"/>
        <v/>
      </c>
      <c r="DW64" s="76" t="str">
        <f t="shared" si="49"/>
        <v/>
      </c>
      <c r="DX64" s="76" t="str">
        <f t="shared" si="49"/>
        <v/>
      </c>
      <c r="DY64" s="76" t="str">
        <f t="shared" si="49"/>
        <v/>
      </c>
      <c r="DZ64" s="76" t="str">
        <f t="shared" si="49"/>
        <v/>
      </c>
      <c r="EA64" s="76" t="str">
        <f t="shared" si="49"/>
        <v/>
      </c>
      <c r="EB64" s="76" t="str">
        <f t="shared" si="49"/>
        <v/>
      </c>
      <c r="EC64" s="76" t="str">
        <f t="shared" si="49"/>
        <v/>
      </c>
      <c r="ED64" s="76" t="str">
        <f t="shared" si="49"/>
        <v/>
      </c>
      <c r="EE64" s="76" t="str">
        <f t="shared" si="49"/>
        <v/>
      </c>
      <c r="EF64" s="76" t="str">
        <f t="shared" si="49"/>
        <v/>
      </c>
      <c r="EG64" s="76" t="str">
        <f t="shared" si="49"/>
        <v/>
      </c>
      <c r="EH64" s="76" t="str">
        <f t="shared" si="49"/>
        <v/>
      </c>
      <c r="EI64" s="76" t="str">
        <f t="shared" si="49"/>
        <v/>
      </c>
      <c r="EJ64" s="76" t="str">
        <f t="shared" si="49"/>
        <v/>
      </c>
      <c r="EK64" s="76" t="str">
        <f t="shared" si="49"/>
        <v/>
      </c>
      <c r="EL64" s="76" t="str">
        <f t="shared" si="49"/>
        <v/>
      </c>
      <c r="EM64" s="76" t="str">
        <f t="shared" si="49"/>
        <v/>
      </c>
      <c r="EN64" s="76" t="str">
        <f t="shared" si="49"/>
        <v/>
      </c>
      <c r="EO64" s="76" t="str">
        <f t="shared" si="49"/>
        <v/>
      </c>
      <c r="EP64" s="76" t="str">
        <f t="shared" si="49"/>
        <v/>
      </c>
      <c r="EQ64" s="76" t="str">
        <f t="shared" si="49"/>
        <v/>
      </c>
      <c r="ER64" s="76" t="str">
        <f t="shared" si="49"/>
        <v/>
      </c>
      <c r="ES64" s="76" t="str">
        <f t="shared" si="49"/>
        <v/>
      </c>
    </row>
    <row r="65" outlineLevel="1">
      <c r="A65" s="33"/>
      <c r="B65" s="58">
        <v>41.0</v>
      </c>
      <c r="C65" s="68" t="s">
        <v>114</v>
      </c>
      <c r="D65" s="68"/>
      <c r="E65" s="70">
        <f>F64</f>
        <v>45913</v>
      </c>
      <c r="F65" s="70">
        <f t="shared" si="22"/>
        <v>45927</v>
      </c>
      <c r="G65" s="71">
        <v>14.0</v>
      </c>
      <c r="H65" s="72">
        <v>0.0</v>
      </c>
      <c r="I65" s="73" t="str">
        <f t="shared" ref="I65:ES65" si="50">IF(AND($E65&lt;=I$6,$F65&gt;=I$6),"X","")</f>
        <v/>
      </c>
      <c r="J65" s="73" t="str">
        <f t="shared" si="50"/>
        <v/>
      </c>
      <c r="K65" s="73" t="str">
        <f t="shared" si="50"/>
        <v/>
      </c>
      <c r="L65" s="73" t="str">
        <f t="shared" si="50"/>
        <v/>
      </c>
      <c r="M65" s="73" t="str">
        <f t="shared" si="50"/>
        <v/>
      </c>
      <c r="N65" s="73" t="str">
        <f t="shared" si="50"/>
        <v/>
      </c>
      <c r="O65" s="73" t="str">
        <f t="shared" si="50"/>
        <v/>
      </c>
      <c r="P65" s="73" t="str">
        <f t="shared" si="50"/>
        <v/>
      </c>
      <c r="Q65" s="73" t="str">
        <f t="shared" si="50"/>
        <v/>
      </c>
      <c r="R65" s="73" t="str">
        <f t="shared" si="50"/>
        <v/>
      </c>
      <c r="S65" s="73" t="str">
        <f t="shared" si="50"/>
        <v/>
      </c>
      <c r="T65" s="73" t="str">
        <f t="shared" si="50"/>
        <v/>
      </c>
      <c r="U65" s="73" t="str">
        <f t="shared" si="50"/>
        <v/>
      </c>
      <c r="V65" s="73" t="str">
        <f t="shared" si="50"/>
        <v/>
      </c>
      <c r="W65" s="73" t="str">
        <f t="shared" si="50"/>
        <v/>
      </c>
      <c r="X65" s="73" t="str">
        <f t="shared" si="50"/>
        <v/>
      </c>
      <c r="Y65" s="73" t="str">
        <f t="shared" si="50"/>
        <v/>
      </c>
      <c r="Z65" s="73" t="str">
        <f t="shared" si="50"/>
        <v/>
      </c>
      <c r="AA65" s="73" t="str">
        <f t="shared" si="50"/>
        <v/>
      </c>
      <c r="AB65" s="73" t="str">
        <f t="shared" si="50"/>
        <v/>
      </c>
      <c r="AC65" s="73" t="str">
        <f t="shared" si="50"/>
        <v/>
      </c>
      <c r="AD65" s="73" t="str">
        <f t="shared" si="50"/>
        <v/>
      </c>
      <c r="AE65" s="73" t="str">
        <f t="shared" si="50"/>
        <v/>
      </c>
      <c r="AF65" s="73" t="str">
        <f t="shared" si="50"/>
        <v/>
      </c>
      <c r="AG65" s="73" t="str">
        <f t="shared" si="50"/>
        <v/>
      </c>
      <c r="AH65" s="73" t="str">
        <f t="shared" si="50"/>
        <v/>
      </c>
      <c r="AI65" s="73" t="str">
        <f t="shared" si="50"/>
        <v/>
      </c>
      <c r="AJ65" s="73" t="str">
        <f t="shared" si="50"/>
        <v/>
      </c>
      <c r="AK65" s="73" t="str">
        <f t="shared" si="50"/>
        <v/>
      </c>
      <c r="AL65" s="73" t="str">
        <f t="shared" si="50"/>
        <v/>
      </c>
      <c r="AM65" s="73" t="str">
        <f t="shared" si="50"/>
        <v/>
      </c>
      <c r="AN65" s="73" t="str">
        <f t="shared" si="50"/>
        <v/>
      </c>
      <c r="AO65" s="73" t="str">
        <f t="shared" si="50"/>
        <v/>
      </c>
      <c r="AP65" s="73" t="str">
        <f t="shared" si="50"/>
        <v/>
      </c>
      <c r="AQ65" s="73" t="str">
        <f t="shared" si="50"/>
        <v/>
      </c>
      <c r="AR65" s="73" t="str">
        <f t="shared" si="50"/>
        <v/>
      </c>
      <c r="AS65" s="73" t="str">
        <f t="shared" si="50"/>
        <v/>
      </c>
      <c r="AT65" s="73" t="str">
        <f t="shared" si="50"/>
        <v/>
      </c>
      <c r="AU65" s="73" t="str">
        <f t="shared" si="50"/>
        <v/>
      </c>
      <c r="AV65" s="73" t="str">
        <f t="shared" si="50"/>
        <v/>
      </c>
      <c r="AW65" s="73" t="str">
        <f t="shared" si="50"/>
        <v/>
      </c>
      <c r="AX65" s="73" t="str">
        <f t="shared" si="50"/>
        <v/>
      </c>
      <c r="AY65" s="73" t="str">
        <f t="shared" si="50"/>
        <v/>
      </c>
      <c r="AZ65" s="73" t="str">
        <f t="shared" si="50"/>
        <v/>
      </c>
      <c r="BA65" s="73" t="str">
        <f t="shared" si="50"/>
        <v/>
      </c>
      <c r="BB65" s="73" t="str">
        <f t="shared" si="50"/>
        <v/>
      </c>
      <c r="BC65" s="73" t="str">
        <f t="shared" si="50"/>
        <v/>
      </c>
      <c r="BD65" s="73" t="str">
        <f t="shared" si="50"/>
        <v/>
      </c>
      <c r="BE65" s="73" t="str">
        <f t="shared" si="50"/>
        <v/>
      </c>
      <c r="BF65" s="73" t="str">
        <f t="shared" si="50"/>
        <v/>
      </c>
      <c r="BG65" s="73" t="str">
        <f t="shared" si="50"/>
        <v/>
      </c>
      <c r="BH65" s="73" t="str">
        <f t="shared" si="50"/>
        <v/>
      </c>
      <c r="BI65" s="73" t="str">
        <f t="shared" si="50"/>
        <v/>
      </c>
      <c r="BJ65" s="73" t="str">
        <f t="shared" si="50"/>
        <v/>
      </c>
      <c r="BK65" s="73" t="str">
        <f t="shared" si="50"/>
        <v/>
      </c>
      <c r="BL65" s="73" t="str">
        <f t="shared" si="50"/>
        <v/>
      </c>
      <c r="BM65" s="73" t="str">
        <f t="shared" si="50"/>
        <v/>
      </c>
      <c r="BN65" s="73" t="str">
        <f t="shared" si="50"/>
        <v/>
      </c>
      <c r="BO65" s="73" t="str">
        <f t="shared" si="50"/>
        <v/>
      </c>
      <c r="BP65" s="76" t="str">
        <f t="shared" si="50"/>
        <v/>
      </c>
      <c r="BQ65" s="76" t="str">
        <f t="shared" si="50"/>
        <v/>
      </c>
      <c r="BR65" s="76" t="str">
        <f t="shared" si="50"/>
        <v/>
      </c>
      <c r="BS65" s="76" t="str">
        <f t="shared" si="50"/>
        <v/>
      </c>
      <c r="BT65" s="76" t="str">
        <f t="shared" si="50"/>
        <v/>
      </c>
      <c r="BU65" s="76" t="str">
        <f t="shared" si="50"/>
        <v/>
      </c>
      <c r="BV65" s="76" t="str">
        <f t="shared" si="50"/>
        <v/>
      </c>
      <c r="BW65" s="76" t="str">
        <f t="shared" si="50"/>
        <v/>
      </c>
      <c r="BX65" s="76" t="str">
        <f t="shared" si="50"/>
        <v/>
      </c>
      <c r="BY65" s="76" t="str">
        <f t="shared" si="50"/>
        <v/>
      </c>
      <c r="BZ65" s="76" t="str">
        <f t="shared" si="50"/>
        <v/>
      </c>
      <c r="CA65" s="76" t="str">
        <f t="shared" si="50"/>
        <v/>
      </c>
      <c r="CB65" s="76" t="str">
        <f t="shared" si="50"/>
        <v/>
      </c>
      <c r="CC65" s="76" t="str">
        <f t="shared" si="50"/>
        <v>X</v>
      </c>
      <c r="CD65" s="76" t="str">
        <f t="shared" si="50"/>
        <v>X</v>
      </c>
      <c r="CE65" s="76" t="str">
        <f t="shared" si="50"/>
        <v/>
      </c>
      <c r="CF65" s="76" t="str">
        <f t="shared" si="50"/>
        <v/>
      </c>
      <c r="CG65" s="76" t="str">
        <f t="shared" si="50"/>
        <v/>
      </c>
      <c r="CH65" s="76" t="str">
        <f t="shared" si="50"/>
        <v/>
      </c>
      <c r="CI65" s="76" t="str">
        <f t="shared" si="50"/>
        <v/>
      </c>
      <c r="CJ65" s="76" t="str">
        <f t="shared" si="50"/>
        <v/>
      </c>
      <c r="CK65" s="76" t="str">
        <f t="shared" si="50"/>
        <v/>
      </c>
      <c r="CL65" s="76" t="str">
        <f t="shared" si="50"/>
        <v/>
      </c>
      <c r="CM65" s="76" t="str">
        <f t="shared" si="50"/>
        <v/>
      </c>
      <c r="CN65" s="76" t="str">
        <f t="shared" si="50"/>
        <v/>
      </c>
      <c r="CO65" s="76" t="str">
        <f t="shared" si="50"/>
        <v/>
      </c>
      <c r="CP65" s="76" t="str">
        <f t="shared" si="50"/>
        <v/>
      </c>
      <c r="CQ65" s="76" t="str">
        <f t="shared" si="50"/>
        <v/>
      </c>
      <c r="CR65" s="76" t="str">
        <f t="shared" si="50"/>
        <v/>
      </c>
      <c r="CS65" s="76" t="str">
        <f t="shared" si="50"/>
        <v/>
      </c>
      <c r="CT65" s="76" t="str">
        <f t="shared" si="50"/>
        <v/>
      </c>
      <c r="CU65" s="76" t="str">
        <f t="shared" si="50"/>
        <v/>
      </c>
      <c r="CV65" s="76" t="str">
        <f t="shared" si="50"/>
        <v/>
      </c>
      <c r="CW65" s="76" t="str">
        <f t="shared" si="50"/>
        <v/>
      </c>
      <c r="CX65" s="76" t="str">
        <f t="shared" si="50"/>
        <v/>
      </c>
      <c r="CY65" s="76" t="str">
        <f t="shared" si="50"/>
        <v/>
      </c>
      <c r="CZ65" s="76" t="str">
        <f t="shared" si="50"/>
        <v/>
      </c>
      <c r="DA65" s="76" t="str">
        <f t="shared" si="50"/>
        <v/>
      </c>
      <c r="DB65" s="76" t="str">
        <f t="shared" si="50"/>
        <v/>
      </c>
      <c r="DC65" s="76" t="str">
        <f t="shared" si="50"/>
        <v/>
      </c>
      <c r="DD65" s="76" t="str">
        <f t="shared" si="50"/>
        <v/>
      </c>
      <c r="DE65" s="76" t="str">
        <f t="shared" si="50"/>
        <v/>
      </c>
      <c r="DF65" s="76" t="str">
        <f t="shared" si="50"/>
        <v/>
      </c>
      <c r="DG65" s="76" t="str">
        <f t="shared" si="50"/>
        <v/>
      </c>
      <c r="DH65" s="76" t="str">
        <f t="shared" si="50"/>
        <v/>
      </c>
      <c r="DI65" s="76" t="str">
        <f t="shared" si="50"/>
        <v/>
      </c>
      <c r="DJ65" s="76" t="str">
        <f t="shared" si="50"/>
        <v/>
      </c>
      <c r="DK65" s="76" t="str">
        <f t="shared" si="50"/>
        <v/>
      </c>
      <c r="DL65" s="76" t="str">
        <f t="shared" si="50"/>
        <v/>
      </c>
      <c r="DM65" s="76" t="str">
        <f t="shared" si="50"/>
        <v/>
      </c>
      <c r="DN65" s="76" t="str">
        <f t="shared" si="50"/>
        <v/>
      </c>
      <c r="DO65" s="76" t="str">
        <f t="shared" si="50"/>
        <v/>
      </c>
      <c r="DP65" s="76" t="str">
        <f t="shared" si="50"/>
        <v/>
      </c>
      <c r="DQ65" s="76" t="str">
        <f t="shared" si="50"/>
        <v/>
      </c>
      <c r="DR65" s="76" t="str">
        <f t="shared" si="50"/>
        <v/>
      </c>
      <c r="DS65" s="76" t="str">
        <f t="shared" si="50"/>
        <v/>
      </c>
      <c r="DT65" s="76" t="str">
        <f t="shared" si="50"/>
        <v/>
      </c>
      <c r="DU65" s="76" t="str">
        <f t="shared" si="50"/>
        <v/>
      </c>
      <c r="DV65" s="76" t="str">
        <f t="shared" si="50"/>
        <v/>
      </c>
      <c r="DW65" s="76" t="str">
        <f t="shared" si="50"/>
        <v/>
      </c>
      <c r="DX65" s="76" t="str">
        <f t="shared" si="50"/>
        <v/>
      </c>
      <c r="DY65" s="76" t="str">
        <f t="shared" si="50"/>
        <v/>
      </c>
      <c r="DZ65" s="76" t="str">
        <f t="shared" si="50"/>
        <v/>
      </c>
      <c r="EA65" s="76" t="str">
        <f t="shared" si="50"/>
        <v/>
      </c>
      <c r="EB65" s="76" t="str">
        <f t="shared" si="50"/>
        <v/>
      </c>
      <c r="EC65" s="76" t="str">
        <f t="shared" si="50"/>
        <v/>
      </c>
      <c r="ED65" s="76" t="str">
        <f t="shared" si="50"/>
        <v/>
      </c>
      <c r="EE65" s="76" t="str">
        <f t="shared" si="50"/>
        <v/>
      </c>
      <c r="EF65" s="76" t="str">
        <f t="shared" si="50"/>
        <v/>
      </c>
      <c r="EG65" s="76" t="str">
        <f t="shared" si="50"/>
        <v/>
      </c>
      <c r="EH65" s="76" t="str">
        <f t="shared" si="50"/>
        <v/>
      </c>
      <c r="EI65" s="76" t="str">
        <f t="shared" si="50"/>
        <v/>
      </c>
      <c r="EJ65" s="76" t="str">
        <f t="shared" si="50"/>
        <v/>
      </c>
      <c r="EK65" s="76" t="str">
        <f t="shared" si="50"/>
        <v/>
      </c>
      <c r="EL65" s="76" t="str">
        <f t="shared" si="50"/>
        <v/>
      </c>
      <c r="EM65" s="76" t="str">
        <f t="shared" si="50"/>
        <v/>
      </c>
      <c r="EN65" s="76" t="str">
        <f t="shared" si="50"/>
        <v/>
      </c>
      <c r="EO65" s="76" t="str">
        <f t="shared" si="50"/>
        <v/>
      </c>
      <c r="EP65" s="76" t="str">
        <f t="shared" si="50"/>
        <v/>
      </c>
      <c r="EQ65" s="76" t="str">
        <f t="shared" si="50"/>
        <v/>
      </c>
      <c r="ER65" s="76" t="str">
        <f t="shared" si="50"/>
        <v/>
      </c>
      <c r="ES65" s="76" t="str">
        <f t="shared" si="50"/>
        <v/>
      </c>
    </row>
    <row r="66" outlineLevel="1">
      <c r="A66" s="33"/>
      <c r="B66" s="58">
        <v>42.0</v>
      </c>
      <c r="C66" s="68" t="s">
        <v>178</v>
      </c>
      <c r="D66" s="68"/>
      <c r="E66" s="70">
        <f>max(F57:F61)</f>
        <v>45946</v>
      </c>
      <c r="F66" s="70">
        <f t="shared" si="22"/>
        <v>45981</v>
      </c>
      <c r="G66" s="71">
        <v>35.0</v>
      </c>
      <c r="H66" s="72">
        <v>0.0</v>
      </c>
      <c r="I66" s="73" t="str">
        <f t="shared" ref="I66:ES66" si="51">IF(AND($E66&lt;=I$6,$F66&gt;=I$6),"X","")</f>
        <v/>
      </c>
      <c r="J66" s="73" t="str">
        <f t="shared" si="51"/>
        <v/>
      </c>
      <c r="K66" s="73" t="str">
        <f t="shared" si="51"/>
        <v/>
      </c>
      <c r="L66" s="73" t="str">
        <f t="shared" si="51"/>
        <v/>
      </c>
      <c r="M66" s="73" t="str">
        <f t="shared" si="51"/>
        <v/>
      </c>
      <c r="N66" s="73" t="str">
        <f t="shared" si="51"/>
        <v/>
      </c>
      <c r="O66" s="73" t="str">
        <f t="shared" si="51"/>
        <v/>
      </c>
      <c r="P66" s="73" t="str">
        <f t="shared" si="51"/>
        <v/>
      </c>
      <c r="Q66" s="73" t="str">
        <f t="shared" si="51"/>
        <v/>
      </c>
      <c r="R66" s="73" t="str">
        <f t="shared" si="51"/>
        <v/>
      </c>
      <c r="S66" s="73" t="str">
        <f t="shared" si="51"/>
        <v/>
      </c>
      <c r="T66" s="73" t="str">
        <f t="shared" si="51"/>
        <v/>
      </c>
      <c r="U66" s="73" t="str">
        <f t="shared" si="51"/>
        <v/>
      </c>
      <c r="V66" s="73" t="str">
        <f t="shared" si="51"/>
        <v/>
      </c>
      <c r="W66" s="73" t="str">
        <f t="shared" si="51"/>
        <v/>
      </c>
      <c r="X66" s="73" t="str">
        <f t="shared" si="51"/>
        <v/>
      </c>
      <c r="Y66" s="73" t="str">
        <f t="shared" si="51"/>
        <v/>
      </c>
      <c r="Z66" s="73" t="str">
        <f t="shared" si="51"/>
        <v/>
      </c>
      <c r="AA66" s="73" t="str">
        <f t="shared" si="51"/>
        <v/>
      </c>
      <c r="AB66" s="73" t="str">
        <f t="shared" si="51"/>
        <v/>
      </c>
      <c r="AC66" s="73" t="str">
        <f t="shared" si="51"/>
        <v/>
      </c>
      <c r="AD66" s="73" t="str">
        <f t="shared" si="51"/>
        <v/>
      </c>
      <c r="AE66" s="73" t="str">
        <f t="shared" si="51"/>
        <v/>
      </c>
      <c r="AF66" s="73" t="str">
        <f t="shared" si="51"/>
        <v/>
      </c>
      <c r="AG66" s="73" t="str">
        <f t="shared" si="51"/>
        <v/>
      </c>
      <c r="AH66" s="73" t="str">
        <f t="shared" si="51"/>
        <v/>
      </c>
      <c r="AI66" s="73" t="str">
        <f t="shared" si="51"/>
        <v/>
      </c>
      <c r="AJ66" s="73" t="str">
        <f t="shared" si="51"/>
        <v/>
      </c>
      <c r="AK66" s="73" t="str">
        <f t="shared" si="51"/>
        <v/>
      </c>
      <c r="AL66" s="73" t="str">
        <f t="shared" si="51"/>
        <v/>
      </c>
      <c r="AM66" s="73" t="str">
        <f t="shared" si="51"/>
        <v/>
      </c>
      <c r="AN66" s="73" t="str">
        <f t="shared" si="51"/>
        <v/>
      </c>
      <c r="AO66" s="73" t="str">
        <f t="shared" si="51"/>
        <v/>
      </c>
      <c r="AP66" s="73" t="str">
        <f t="shared" si="51"/>
        <v/>
      </c>
      <c r="AQ66" s="73" t="str">
        <f t="shared" si="51"/>
        <v/>
      </c>
      <c r="AR66" s="73" t="str">
        <f t="shared" si="51"/>
        <v/>
      </c>
      <c r="AS66" s="73" t="str">
        <f t="shared" si="51"/>
        <v/>
      </c>
      <c r="AT66" s="73" t="str">
        <f t="shared" si="51"/>
        <v/>
      </c>
      <c r="AU66" s="73" t="str">
        <f t="shared" si="51"/>
        <v/>
      </c>
      <c r="AV66" s="73" t="str">
        <f t="shared" si="51"/>
        <v/>
      </c>
      <c r="AW66" s="73" t="str">
        <f t="shared" si="51"/>
        <v/>
      </c>
      <c r="AX66" s="73" t="str">
        <f t="shared" si="51"/>
        <v/>
      </c>
      <c r="AY66" s="73" t="str">
        <f t="shared" si="51"/>
        <v/>
      </c>
      <c r="AZ66" s="73" t="str">
        <f t="shared" si="51"/>
        <v/>
      </c>
      <c r="BA66" s="73" t="str">
        <f t="shared" si="51"/>
        <v/>
      </c>
      <c r="BB66" s="73" t="str">
        <f t="shared" si="51"/>
        <v/>
      </c>
      <c r="BC66" s="73" t="str">
        <f t="shared" si="51"/>
        <v/>
      </c>
      <c r="BD66" s="73" t="str">
        <f t="shared" si="51"/>
        <v/>
      </c>
      <c r="BE66" s="73" t="str">
        <f t="shared" si="51"/>
        <v/>
      </c>
      <c r="BF66" s="73" t="str">
        <f t="shared" si="51"/>
        <v/>
      </c>
      <c r="BG66" s="73" t="str">
        <f t="shared" si="51"/>
        <v/>
      </c>
      <c r="BH66" s="73" t="str">
        <f t="shared" si="51"/>
        <v/>
      </c>
      <c r="BI66" s="73" t="str">
        <f t="shared" si="51"/>
        <v/>
      </c>
      <c r="BJ66" s="73" t="str">
        <f t="shared" si="51"/>
        <v/>
      </c>
      <c r="BK66" s="73" t="str">
        <f t="shared" si="51"/>
        <v/>
      </c>
      <c r="BL66" s="73" t="str">
        <f t="shared" si="51"/>
        <v/>
      </c>
      <c r="BM66" s="73" t="str">
        <f t="shared" si="51"/>
        <v/>
      </c>
      <c r="BN66" s="73" t="str">
        <f t="shared" si="51"/>
        <v/>
      </c>
      <c r="BO66" s="73" t="str">
        <f t="shared" si="51"/>
        <v/>
      </c>
      <c r="BP66" s="76" t="str">
        <f t="shared" si="51"/>
        <v/>
      </c>
      <c r="BQ66" s="76" t="str">
        <f t="shared" si="51"/>
        <v/>
      </c>
      <c r="BR66" s="76" t="str">
        <f t="shared" si="51"/>
        <v/>
      </c>
      <c r="BS66" s="76" t="str">
        <f t="shared" si="51"/>
        <v/>
      </c>
      <c r="BT66" s="76" t="str">
        <f t="shared" si="51"/>
        <v/>
      </c>
      <c r="BU66" s="76" t="str">
        <f t="shared" si="51"/>
        <v/>
      </c>
      <c r="BV66" s="76" t="str">
        <f t="shared" si="51"/>
        <v/>
      </c>
      <c r="BW66" s="76" t="str">
        <f t="shared" si="51"/>
        <v/>
      </c>
      <c r="BX66" s="76" t="str">
        <f t="shared" si="51"/>
        <v/>
      </c>
      <c r="BY66" s="76" t="str">
        <f t="shared" si="51"/>
        <v/>
      </c>
      <c r="BZ66" s="76" t="str">
        <f t="shared" si="51"/>
        <v/>
      </c>
      <c r="CA66" s="76" t="str">
        <f t="shared" si="51"/>
        <v/>
      </c>
      <c r="CB66" s="76" t="str">
        <f t="shared" si="51"/>
        <v/>
      </c>
      <c r="CC66" s="76" t="str">
        <f t="shared" si="51"/>
        <v/>
      </c>
      <c r="CD66" s="76" t="str">
        <f t="shared" si="51"/>
        <v/>
      </c>
      <c r="CE66" s="76" t="str">
        <f t="shared" si="51"/>
        <v/>
      </c>
      <c r="CF66" s="76" t="str">
        <f t="shared" si="51"/>
        <v/>
      </c>
      <c r="CG66" s="76" t="str">
        <f t="shared" si="51"/>
        <v/>
      </c>
      <c r="CH66" s="76" t="str">
        <f t="shared" si="51"/>
        <v>X</v>
      </c>
      <c r="CI66" s="76" t="str">
        <f t="shared" si="51"/>
        <v>X</v>
      </c>
      <c r="CJ66" s="76" t="str">
        <f t="shared" si="51"/>
        <v>X</v>
      </c>
      <c r="CK66" s="76" t="str">
        <f t="shared" si="51"/>
        <v>X</v>
      </c>
      <c r="CL66" s="76" t="str">
        <f t="shared" si="51"/>
        <v>X</v>
      </c>
      <c r="CM66" s="76" t="str">
        <f t="shared" si="51"/>
        <v/>
      </c>
      <c r="CN66" s="76" t="str">
        <f t="shared" si="51"/>
        <v/>
      </c>
      <c r="CO66" s="76" t="str">
        <f t="shared" si="51"/>
        <v/>
      </c>
      <c r="CP66" s="76" t="str">
        <f t="shared" si="51"/>
        <v/>
      </c>
      <c r="CQ66" s="76" t="str">
        <f t="shared" si="51"/>
        <v/>
      </c>
      <c r="CR66" s="76" t="str">
        <f t="shared" si="51"/>
        <v/>
      </c>
      <c r="CS66" s="76" t="str">
        <f t="shared" si="51"/>
        <v/>
      </c>
      <c r="CT66" s="76" t="str">
        <f t="shared" si="51"/>
        <v/>
      </c>
      <c r="CU66" s="76" t="str">
        <f t="shared" si="51"/>
        <v/>
      </c>
      <c r="CV66" s="76" t="str">
        <f t="shared" si="51"/>
        <v/>
      </c>
      <c r="CW66" s="76" t="str">
        <f t="shared" si="51"/>
        <v/>
      </c>
      <c r="CX66" s="76" t="str">
        <f t="shared" si="51"/>
        <v/>
      </c>
      <c r="CY66" s="76" t="str">
        <f t="shared" si="51"/>
        <v/>
      </c>
      <c r="CZ66" s="76" t="str">
        <f t="shared" si="51"/>
        <v/>
      </c>
      <c r="DA66" s="76" t="str">
        <f t="shared" si="51"/>
        <v/>
      </c>
      <c r="DB66" s="76" t="str">
        <f t="shared" si="51"/>
        <v/>
      </c>
      <c r="DC66" s="76" t="str">
        <f t="shared" si="51"/>
        <v/>
      </c>
      <c r="DD66" s="76" t="str">
        <f t="shared" si="51"/>
        <v/>
      </c>
      <c r="DE66" s="76" t="str">
        <f t="shared" si="51"/>
        <v/>
      </c>
      <c r="DF66" s="76" t="str">
        <f t="shared" si="51"/>
        <v/>
      </c>
      <c r="DG66" s="76" t="str">
        <f t="shared" si="51"/>
        <v/>
      </c>
      <c r="DH66" s="76" t="str">
        <f t="shared" si="51"/>
        <v/>
      </c>
      <c r="DI66" s="76" t="str">
        <f t="shared" si="51"/>
        <v/>
      </c>
      <c r="DJ66" s="76" t="str">
        <f t="shared" si="51"/>
        <v/>
      </c>
      <c r="DK66" s="76" t="str">
        <f t="shared" si="51"/>
        <v/>
      </c>
      <c r="DL66" s="76" t="str">
        <f t="shared" si="51"/>
        <v/>
      </c>
      <c r="DM66" s="76" t="str">
        <f t="shared" si="51"/>
        <v/>
      </c>
      <c r="DN66" s="76" t="str">
        <f t="shared" si="51"/>
        <v/>
      </c>
      <c r="DO66" s="76" t="str">
        <f t="shared" si="51"/>
        <v/>
      </c>
      <c r="DP66" s="76" t="str">
        <f t="shared" si="51"/>
        <v/>
      </c>
      <c r="DQ66" s="76" t="str">
        <f t="shared" si="51"/>
        <v/>
      </c>
      <c r="DR66" s="76" t="str">
        <f t="shared" si="51"/>
        <v/>
      </c>
      <c r="DS66" s="76" t="str">
        <f t="shared" si="51"/>
        <v/>
      </c>
      <c r="DT66" s="76" t="str">
        <f t="shared" si="51"/>
        <v/>
      </c>
      <c r="DU66" s="76" t="str">
        <f t="shared" si="51"/>
        <v/>
      </c>
      <c r="DV66" s="76" t="str">
        <f t="shared" si="51"/>
        <v/>
      </c>
      <c r="DW66" s="76" t="str">
        <f t="shared" si="51"/>
        <v/>
      </c>
      <c r="DX66" s="76" t="str">
        <f t="shared" si="51"/>
        <v/>
      </c>
      <c r="DY66" s="76" t="str">
        <f t="shared" si="51"/>
        <v/>
      </c>
      <c r="DZ66" s="76" t="str">
        <f t="shared" si="51"/>
        <v/>
      </c>
      <c r="EA66" s="76" t="str">
        <f t="shared" si="51"/>
        <v/>
      </c>
      <c r="EB66" s="76" t="str">
        <f t="shared" si="51"/>
        <v/>
      </c>
      <c r="EC66" s="76" t="str">
        <f t="shared" si="51"/>
        <v/>
      </c>
      <c r="ED66" s="76" t="str">
        <f t="shared" si="51"/>
        <v/>
      </c>
      <c r="EE66" s="76" t="str">
        <f t="shared" si="51"/>
        <v/>
      </c>
      <c r="EF66" s="76" t="str">
        <f t="shared" si="51"/>
        <v/>
      </c>
      <c r="EG66" s="76" t="str">
        <f t="shared" si="51"/>
        <v/>
      </c>
      <c r="EH66" s="76" t="str">
        <f t="shared" si="51"/>
        <v/>
      </c>
      <c r="EI66" s="76" t="str">
        <f t="shared" si="51"/>
        <v/>
      </c>
      <c r="EJ66" s="76" t="str">
        <f t="shared" si="51"/>
        <v/>
      </c>
      <c r="EK66" s="76" t="str">
        <f t="shared" si="51"/>
        <v/>
      </c>
      <c r="EL66" s="76" t="str">
        <f t="shared" si="51"/>
        <v/>
      </c>
      <c r="EM66" s="76" t="str">
        <f t="shared" si="51"/>
        <v/>
      </c>
      <c r="EN66" s="76" t="str">
        <f t="shared" si="51"/>
        <v/>
      </c>
      <c r="EO66" s="76" t="str">
        <f t="shared" si="51"/>
        <v/>
      </c>
      <c r="EP66" s="76" t="str">
        <f t="shared" si="51"/>
        <v/>
      </c>
      <c r="EQ66" s="76" t="str">
        <f t="shared" si="51"/>
        <v/>
      </c>
      <c r="ER66" s="76" t="str">
        <f t="shared" si="51"/>
        <v/>
      </c>
      <c r="ES66" s="76" t="str">
        <f t="shared" si="51"/>
        <v/>
      </c>
    </row>
    <row r="67" outlineLevel="1">
      <c r="A67" s="33"/>
      <c r="B67" s="58">
        <v>43.0</v>
      </c>
      <c r="C67" s="68" t="s">
        <v>179</v>
      </c>
      <c r="D67" s="68"/>
      <c r="E67" s="70">
        <f>max(F49:F61)</f>
        <v>45946</v>
      </c>
      <c r="F67" s="70">
        <f t="shared" si="22"/>
        <v>45976</v>
      </c>
      <c r="G67" s="71">
        <v>30.0</v>
      </c>
      <c r="H67" s="72">
        <v>0.0</v>
      </c>
      <c r="I67" s="73" t="str">
        <f t="shared" ref="I67:ES67" si="52">IF(AND($E67&lt;=I$6,$F67&gt;=I$6),"X","")</f>
        <v/>
      </c>
      <c r="J67" s="73" t="str">
        <f t="shared" si="52"/>
        <v/>
      </c>
      <c r="K67" s="73" t="str">
        <f t="shared" si="52"/>
        <v/>
      </c>
      <c r="L67" s="73" t="str">
        <f t="shared" si="52"/>
        <v/>
      </c>
      <c r="M67" s="73" t="str">
        <f t="shared" si="52"/>
        <v/>
      </c>
      <c r="N67" s="73" t="str">
        <f t="shared" si="52"/>
        <v/>
      </c>
      <c r="O67" s="73" t="str">
        <f t="shared" si="52"/>
        <v/>
      </c>
      <c r="P67" s="73" t="str">
        <f t="shared" si="52"/>
        <v/>
      </c>
      <c r="Q67" s="73" t="str">
        <f t="shared" si="52"/>
        <v/>
      </c>
      <c r="R67" s="73" t="str">
        <f t="shared" si="52"/>
        <v/>
      </c>
      <c r="S67" s="73" t="str">
        <f t="shared" si="52"/>
        <v/>
      </c>
      <c r="T67" s="73" t="str">
        <f t="shared" si="52"/>
        <v/>
      </c>
      <c r="U67" s="73" t="str">
        <f t="shared" si="52"/>
        <v/>
      </c>
      <c r="V67" s="73" t="str">
        <f t="shared" si="52"/>
        <v/>
      </c>
      <c r="W67" s="73" t="str">
        <f t="shared" si="52"/>
        <v/>
      </c>
      <c r="X67" s="73" t="str">
        <f t="shared" si="52"/>
        <v/>
      </c>
      <c r="Y67" s="73" t="str">
        <f t="shared" si="52"/>
        <v/>
      </c>
      <c r="Z67" s="73" t="str">
        <f t="shared" si="52"/>
        <v/>
      </c>
      <c r="AA67" s="73" t="str">
        <f t="shared" si="52"/>
        <v/>
      </c>
      <c r="AB67" s="73" t="str">
        <f t="shared" si="52"/>
        <v/>
      </c>
      <c r="AC67" s="73" t="str">
        <f t="shared" si="52"/>
        <v/>
      </c>
      <c r="AD67" s="73" t="str">
        <f t="shared" si="52"/>
        <v/>
      </c>
      <c r="AE67" s="73" t="str">
        <f t="shared" si="52"/>
        <v/>
      </c>
      <c r="AF67" s="73" t="str">
        <f t="shared" si="52"/>
        <v/>
      </c>
      <c r="AG67" s="73" t="str">
        <f t="shared" si="52"/>
        <v/>
      </c>
      <c r="AH67" s="73" t="str">
        <f t="shared" si="52"/>
        <v/>
      </c>
      <c r="AI67" s="73" t="str">
        <f t="shared" si="52"/>
        <v/>
      </c>
      <c r="AJ67" s="73" t="str">
        <f t="shared" si="52"/>
        <v/>
      </c>
      <c r="AK67" s="73" t="str">
        <f t="shared" si="52"/>
        <v/>
      </c>
      <c r="AL67" s="73" t="str">
        <f t="shared" si="52"/>
        <v/>
      </c>
      <c r="AM67" s="73" t="str">
        <f t="shared" si="52"/>
        <v/>
      </c>
      <c r="AN67" s="73" t="str">
        <f t="shared" si="52"/>
        <v/>
      </c>
      <c r="AO67" s="73" t="str">
        <f t="shared" si="52"/>
        <v/>
      </c>
      <c r="AP67" s="73" t="str">
        <f t="shared" si="52"/>
        <v/>
      </c>
      <c r="AQ67" s="73" t="str">
        <f t="shared" si="52"/>
        <v/>
      </c>
      <c r="AR67" s="73" t="str">
        <f t="shared" si="52"/>
        <v/>
      </c>
      <c r="AS67" s="73" t="str">
        <f t="shared" si="52"/>
        <v/>
      </c>
      <c r="AT67" s="73" t="str">
        <f t="shared" si="52"/>
        <v/>
      </c>
      <c r="AU67" s="73" t="str">
        <f t="shared" si="52"/>
        <v/>
      </c>
      <c r="AV67" s="73" t="str">
        <f t="shared" si="52"/>
        <v/>
      </c>
      <c r="AW67" s="73" t="str">
        <f t="shared" si="52"/>
        <v/>
      </c>
      <c r="AX67" s="73" t="str">
        <f t="shared" si="52"/>
        <v/>
      </c>
      <c r="AY67" s="73" t="str">
        <f t="shared" si="52"/>
        <v/>
      </c>
      <c r="AZ67" s="73" t="str">
        <f t="shared" si="52"/>
        <v/>
      </c>
      <c r="BA67" s="73" t="str">
        <f t="shared" si="52"/>
        <v/>
      </c>
      <c r="BB67" s="73" t="str">
        <f t="shared" si="52"/>
        <v/>
      </c>
      <c r="BC67" s="73" t="str">
        <f t="shared" si="52"/>
        <v/>
      </c>
      <c r="BD67" s="73" t="str">
        <f t="shared" si="52"/>
        <v/>
      </c>
      <c r="BE67" s="73" t="str">
        <f t="shared" si="52"/>
        <v/>
      </c>
      <c r="BF67" s="73" t="str">
        <f t="shared" si="52"/>
        <v/>
      </c>
      <c r="BG67" s="73" t="str">
        <f t="shared" si="52"/>
        <v/>
      </c>
      <c r="BH67" s="73" t="str">
        <f t="shared" si="52"/>
        <v/>
      </c>
      <c r="BI67" s="73" t="str">
        <f t="shared" si="52"/>
        <v/>
      </c>
      <c r="BJ67" s="73" t="str">
        <f t="shared" si="52"/>
        <v/>
      </c>
      <c r="BK67" s="73" t="str">
        <f t="shared" si="52"/>
        <v/>
      </c>
      <c r="BL67" s="73" t="str">
        <f t="shared" si="52"/>
        <v/>
      </c>
      <c r="BM67" s="73" t="str">
        <f t="shared" si="52"/>
        <v/>
      </c>
      <c r="BN67" s="73" t="str">
        <f t="shared" si="52"/>
        <v/>
      </c>
      <c r="BO67" s="73" t="str">
        <f t="shared" si="52"/>
        <v/>
      </c>
      <c r="BP67" s="76" t="str">
        <f t="shared" si="52"/>
        <v/>
      </c>
      <c r="BQ67" s="76" t="str">
        <f t="shared" si="52"/>
        <v/>
      </c>
      <c r="BR67" s="76" t="str">
        <f t="shared" si="52"/>
        <v/>
      </c>
      <c r="BS67" s="76" t="str">
        <f t="shared" si="52"/>
        <v/>
      </c>
      <c r="BT67" s="76" t="str">
        <f t="shared" si="52"/>
        <v/>
      </c>
      <c r="BU67" s="76" t="str">
        <f t="shared" si="52"/>
        <v/>
      </c>
      <c r="BV67" s="76" t="str">
        <f t="shared" si="52"/>
        <v/>
      </c>
      <c r="BW67" s="76" t="str">
        <f t="shared" si="52"/>
        <v/>
      </c>
      <c r="BX67" s="76" t="str">
        <f t="shared" si="52"/>
        <v/>
      </c>
      <c r="BY67" s="76" t="str">
        <f t="shared" si="52"/>
        <v/>
      </c>
      <c r="BZ67" s="76" t="str">
        <f t="shared" si="52"/>
        <v/>
      </c>
      <c r="CA67" s="76" t="str">
        <f t="shared" si="52"/>
        <v/>
      </c>
      <c r="CB67" s="76" t="str">
        <f t="shared" si="52"/>
        <v/>
      </c>
      <c r="CC67" s="76" t="str">
        <f t="shared" si="52"/>
        <v/>
      </c>
      <c r="CD67" s="76" t="str">
        <f t="shared" si="52"/>
        <v/>
      </c>
      <c r="CE67" s="76" t="str">
        <f t="shared" si="52"/>
        <v/>
      </c>
      <c r="CF67" s="76" t="str">
        <f t="shared" si="52"/>
        <v/>
      </c>
      <c r="CG67" s="76" t="str">
        <f t="shared" si="52"/>
        <v/>
      </c>
      <c r="CH67" s="76" t="str">
        <f t="shared" si="52"/>
        <v>X</v>
      </c>
      <c r="CI67" s="76" t="str">
        <f t="shared" si="52"/>
        <v>X</v>
      </c>
      <c r="CJ67" s="76" t="str">
        <f t="shared" si="52"/>
        <v>X</v>
      </c>
      <c r="CK67" s="76" t="str">
        <f t="shared" si="52"/>
        <v>X</v>
      </c>
      <c r="CL67" s="76" t="str">
        <f t="shared" si="52"/>
        <v/>
      </c>
      <c r="CM67" s="76" t="str">
        <f t="shared" si="52"/>
        <v/>
      </c>
      <c r="CN67" s="76" t="str">
        <f t="shared" si="52"/>
        <v/>
      </c>
      <c r="CO67" s="76" t="str">
        <f t="shared" si="52"/>
        <v/>
      </c>
      <c r="CP67" s="76" t="str">
        <f t="shared" si="52"/>
        <v/>
      </c>
      <c r="CQ67" s="76" t="str">
        <f t="shared" si="52"/>
        <v/>
      </c>
      <c r="CR67" s="76" t="str">
        <f t="shared" si="52"/>
        <v/>
      </c>
      <c r="CS67" s="76" t="str">
        <f t="shared" si="52"/>
        <v/>
      </c>
      <c r="CT67" s="76" t="str">
        <f t="shared" si="52"/>
        <v/>
      </c>
      <c r="CU67" s="76" t="str">
        <f t="shared" si="52"/>
        <v/>
      </c>
      <c r="CV67" s="76" t="str">
        <f t="shared" si="52"/>
        <v/>
      </c>
      <c r="CW67" s="76" t="str">
        <f t="shared" si="52"/>
        <v/>
      </c>
      <c r="CX67" s="76" t="str">
        <f t="shared" si="52"/>
        <v/>
      </c>
      <c r="CY67" s="76" t="str">
        <f t="shared" si="52"/>
        <v/>
      </c>
      <c r="CZ67" s="76" t="str">
        <f t="shared" si="52"/>
        <v/>
      </c>
      <c r="DA67" s="76" t="str">
        <f t="shared" si="52"/>
        <v/>
      </c>
      <c r="DB67" s="76" t="str">
        <f t="shared" si="52"/>
        <v/>
      </c>
      <c r="DC67" s="76" t="str">
        <f t="shared" si="52"/>
        <v/>
      </c>
      <c r="DD67" s="76" t="str">
        <f t="shared" si="52"/>
        <v/>
      </c>
      <c r="DE67" s="76" t="str">
        <f t="shared" si="52"/>
        <v/>
      </c>
      <c r="DF67" s="76" t="str">
        <f t="shared" si="52"/>
        <v/>
      </c>
      <c r="DG67" s="76" t="str">
        <f t="shared" si="52"/>
        <v/>
      </c>
      <c r="DH67" s="76" t="str">
        <f t="shared" si="52"/>
        <v/>
      </c>
      <c r="DI67" s="76" t="str">
        <f t="shared" si="52"/>
        <v/>
      </c>
      <c r="DJ67" s="76" t="str">
        <f t="shared" si="52"/>
        <v/>
      </c>
      <c r="DK67" s="76" t="str">
        <f t="shared" si="52"/>
        <v/>
      </c>
      <c r="DL67" s="76" t="str">
        <f t="shared" si="52"/>
        <v/>
      </c>
      <c r="DM67" s="76" t="str">
        <f t="shared" si="52"/>
        <v/>
      </c>
      <c r="DN67" s="76" t="str">
        <f t="shared" si="52"/>
        <v/>
      </c>
      <c r="DO67" s="76" t="str">
        <f t="shared" si="52"/>
        <v/>
      </c>
      <c r="DP67" s="76" t="str">
        <f t="shared" si="52"/>
        <v/>
      </c>
      <c r="DQ67" s="76" t="str">
        <f t="shared" si="52"/>
        <v/>
      </c>
      <c r="DR67" s="76" t="str">
        <f t="shared" si="52"/>
        <v/>
      </c>
      <c r="DS67" s="76" t="str">
        <f t="shared" si="52"/>
        <v/>
      </c>
      <c r="DT67" s="76" t="str">
        <f t="shared" si="52"/>
        <v/>
      </c>
      <c r="DU67" s="76" t="str">
        <f t="shared" si="52"/>
        <v/>
      </c>
      <c r="DV67" s="76" t="str">
        <f t="shared" si="52"/>
        <v/>
      </c>
      <c r="DW67" s="76" t="str">
        <f t="shared" si="52"/>
        <v/>
      </c>
      <c r="DX67" s="76" t="str">
        <f t="shared" si="52"/>
        <v/>
      </c>
      <c r="DY67" s="76" t="str">
        <f t="shared" si="52"/>
        <v/>
      </c>
      <c r="DZ67" s="76" t="str">
        <f t="shared" si="52"/>
        <v/>
      </c>
      <c r="EA67" s="76" t="str">
        <f t="shared" si="52"/>
        <v/>
      </c>
      <c r="EB67" s="76" t="str">
        <f t="shared" si="52"/>
        <v/>
      </c>
      <c r="EC67" s="76" t="str">
        <f t="shared" si="52"/>
        <v/>
      </c>
      <c r="ED67" s="76" t="str">
        <f t="shared" si="52"/>
        <v/>
      </c>
      <c r="EE67" s="76" t="str">
        <f t="shared" si="52"/>
        <v/>
      </c>
      <c r="EF67" s="76" t="str">
        <f t="shared" si="52"/>
        <v/>
      </c>
      <c r="EG67" s="76" t="str">
        <f t="shared" si="52"/>
        <v/>
      </c>
      <c r="EH67" s="76" t="str">
        <f t="shared" si="52"/>
        <v/>
      </c>
      <c r="EI67" s="76" t="str">
        <f t="shared" si="52"/>
        <v/>
      </c>
      <c r="EJ67" s="76" t="str">
        <f t="shared" si="52"/>
        <v/>
      </c>
      <c r="EK67" s="76" t="str">
        <f t="shared" si="52"/>
        <v/>
      </c>
      <c r="EL67" s="76" t="str">
        <f t="shared" si="52"/>
        <v/>
      </c>
      <c r="EM67" s="76" t="str">
        <f t="shared" si="52"/>
        <v/>
      </c>
      <c r="EN67" s="76" t="str">
        <f t="shared" si="52"/>
        <v/>
      </c>
      <c r="EO67" s="76" t="str">
        <f t="shared" si="52"/>
        <v/>
      </c>
      <c r="EP67" s="76" t="str">
        <f t="shared" si="52"/>
        <v/>
      </c>
      <c r="EQ67" s="76" t="str">
        <f t="shared" si="52"/>
        <v/>
      </c>
      <c r="ER67" s="76" t="str">
        <f t="shared" si="52"/>
        <v/>
      </c>
      <c r="ES67" s="76" t="str">
        <f t="shared" si="52"/>
        <v/>
      </c>
    </row>
    <row r="68" outlineLevel="1">
      <c r="A68" s="33"/>
      <c r="B68" s="58">
        <v>44.0</v>
      </c>
      <c r="C68" s="68" t="s">
        <v>180</v>
      </c>
      <c r="D68" s="68"/>
      <c r="E68" s="70">
        <f>E67</f>
        <v>45946</v>
      </c>
      <c r="F68" s="70">
        <f t="shared" si="22"/>
        <v>46036</v>
      </c>
      <c r="G68" s="71">
        <v>90.0</v>
      </c>
      <c r="H68" s="72">
        <v>0.0</v>
      </c>
      <c r="I68" s="73" t="str">
        <f t="shared" ref="I68:ES68" si="53">IF(AND($E68&lt;=I$6,$F68&gt;=I$6),"X","")</f>
        <v/>
      </c>
      <c r="J68" s="73" t="str">
        <f t="shared" si="53"/>
        <v/>
      </c>
      <c r="K68" s="73" t="str">
        <f t="shared" si="53"/>
        <v/>
      </c>
      <c r="L68" s="73" t="str">
        <f t="shared" si="53"/>
        <v/>
      </c>
      <c r="M68" s="73" t="str">
        <f t="shared" si="53"/>
        <v/>
      </c>
      <c r="N68" s="73" t="str">
        <f t="shared" si="53"/>
        <v/>
      </c>
      <c r="O68" s="73" t="str">
        <f t="shared" si="53"/>
        <v/>
      </c>
      <c r="P68" s="73" t="str">
        <f t="shared" si="53"/>
        <v/>
      </c>
      <c r="Q68" s="73" t="str">
        <f t="shared" si="53"/>
        <v/>
      </c>
      <c r="R68" s="73" t="str">
        <f t="shared" si="53"/>
        <v/>
      </c>
      <c r="S68" s="73" t="str">
        <f t="shared" si="53"/>
        <v/>
      </c>
      <c r="T68" s="73" t="str">
        <f t="shared" si="53"/>
        <v/>
      </c>
      <c r="U68" s="73" t="str">
        <f t="shared" si="53"/>
        <v/>
      </c>
      <c r="V68" s="73" t="str">
        <f t="shared" si="53"/>
        <v/>
      </c>
      <c r="W68" s="73" t="str">
        <f t="shared" si="53"/>
        <v/>
      </c>
      <c r="X68" s="73" t="str">
        <f t="shared" si="53"/>
        <v/>
      </c>
      <c r="Y68" s="73" t="str">
        <f t="shared" si="53"/>
        <v/>
      </c>
      <c r="Z68" s="73" t="str">
        <f t="shared" si="53"/>
        <v/>
      </c>
      <c r="AA68" s="73" t="str">
        <f t="shared" si="53"/>
        <v/>
      </c>
      <c r="AB68" s="73" t="str">
        <f t="shared" si="53"/>
        <v/>
      </c>
      <c r="AC68" s="73" t="str">
        <f t="shared" si="53"/>
        <v/>
      </c>
      <c r="AD68" s="73" t="str">
        <f t="shared" si="53"/>
        <v/>
      </c>
      <c r="AE68" s="73" t="str">
        <f t="shared" si="53"/>
        <v/>
      </c>
      <c r="AF68" s="73" t="str">
        <f t="shared" si="53"/>
        <v/>
      </c>
      <c r="AG68" s="73" t="str">
        <f t="shared" si="53"/>
        <v/>
      </c>
      <c r="AH68" s="73" t="str">
        <f t="shared" si="53"/>
        <v/>
      </c>
      <c r="AI68" s="73" t="str">
        <f t="shared" si="53"/>
        <v/>
      </c>
      <c r="AJ68" s="73" t="str">
        <f t="shared" si="53"/>
        <v/>
      </c>
      <c r="AK68" s="73" t="str">
        <f t="shared" si="53"/>
        <v/>
      </c>
      <c r="AL68" s="73" t="str">
        <f t="shared" si="53"/>
        <v/>
      </c>
      <c r="AM68" s="73" t="str">
        <f t="shared" si="53"/>
        <v/>
      </c>
      <c r="AN68" s="73" t="str">
        <f t="shared" si="53"/>
        <v/>
      </c>
      <c r="AO68" s="73" t="str">
        <f t="shared" si="53"/>
        <v/>
      </c>
      <c r="AP68" s="73" t="str">
        <f t="shared" si="53"/>
        <v/>
      </c>
      <c r="AQ68" s="73" t="str">
        <f t="shared" si="53"/>
        <v/>
      </c>
      <c r="AR68" s="73" t="str">
        <f t="shared" si="53"/>
        <v/>
      </c>
      <c r="AS68" s="73" t="str">
        <f t="shared" si="53"/>
        <v/>
      </c>
      <c r="AT68" s="73" t="str">
        <f t="shared" si="53"/>
        <v/>
      </c>
      <c r="AU68" s="73" t="str">
        <f t="shared" si="53"/>
        <v/>
      </c>
      <c r="AV68" s="73" t="str">
        <f t="shared" si="53"/>
        <v/>
      </c>
      <c r="AW68" s="73" t="str">
        <f t="shared" si="53"/>
        <v/>
      </c>
      <c r="AX68" s="73" t="str">
        <f t="shared" si="53"/>
        <v/>
      </c>
      <c r="AY68" s="73" t="str">
        <f t="shared" si="53"/>
        <v/>
      </c>
      <c r="AZ68" s="73" t="str">
        <f t="shared" si="53"/>
        <v/>
      </c>
      <c r="BA68" s="73" t="str">
        <f t="shared" si="53"/>
        <v/>
      </c>
      <c r="BB68" s="73" t="str">
        <f t="shared" si="53"/>
        <v/>
      </c>
      <c r="BC68" s="73" t="str">
        <f t="shared" si="53"/>
        <v/>
      </c>
      <c r="BD68" s="73" t="str">
        <f t="shared" si="53"/>
        <v/>
      </c>
      <c r="BE68" s="73" t="str">
        <f t="shared" si="53"/>
        <v/>
      </c>
      <c r="BF68" s="73" t="str">
        <f t="shared" si="53"/>
        <v/>
      </c>
      <c r="BG68" s="73" t="str">
        <f t="shared" si="53"/>
        <v/>
      </c>
      <c r="BH68" s="73" t="str">
        <f t="shared" si="53"/>
        <v/>
      </c>
      <c r="BI68" s="73" t="str">
        <f t="shared" si="53"/>
        <v/>
      </c>
      <c r="BJ68" s="73" t="str">
        <f t="shared" si="53"/>
        <v/>
      </c>
      <c r="BK68" s="73" t="str">
        <f t="shared" si="53"/>
        <v/>
      </c>
      <c r="BL68" s="73" t="str">
        <f t="shared" si="53"/>
        <v/>
      </c>
      <c r="BM68" s="73" t="str">
        <f t="shared" si="53"/>
        <v/>
      </c>
      <c r="BN68" s="73" t="str">
        <f t="shared" si="53"/>
        <v/>
      </c>
      <c r="BO68" s="73" t="str">
        <f t="shared" si="53"/>
        <v/>
      </c>
      <c r="BP68" s="76" t="str">
        <f t="shared" si="53"/>
        <v/>
      </c>
      <c r="BQ68" s="76" t="str">
        <f t="shared" si="53"/>
        <v/>
      </c>
      <c r="BR68" s="76" t="str">
        <f t="shared" si="53"/>
        <v/>
      </c>
      <c r="BS68" s="76" t="str">
        <f t="shared" si="53"/>
        <v/>
      </c>
      <c r="BT68" s="76" t="str">
        <f t="shared" si="53"/>
        <v/>
      </c>
      <c r="BU68" s="76" t="str">
        <f t="shared" si="53"/>
        <v/>
      </c>
      <c r="BV68" s="76" t="str">
        <f t="shared" si="53"/>
        <v/>
      </c>
      <c r="BW68" s="76" t="str">
        <f t="shared" si="53"/>
        <v/>
      </c>
      <c r="BX68" s="76" t="str">
        <f t="shared" si="53"/>
        <v/>
      </c>
      <c r="BY68" s="76" t="str">
        <f t="shared" si="53"/>
        <v/>
      </c>
      <c r="BZ68" s="76" t="str">
        <f t="shared" si="53"/>
        <v/>
      </c>
      <c r="CA68" s="76" t="str">
        <f t="shared" si="53"/>
        <v/>
      </c>
      <c r="CB68" s="76" t="str">
        <f t="shared" si="53"/>
        <v/>
      </c>
      <c r="CC68" s="76" t="str">
        <f t="shared" si="53"/>
        <v/>
      </c>
      <c r="CD68" s="76" t="str">
        <f t="shared" si="53"/>
        <v/>
      </c>
      <c r="CE68" s="76" t="str">
        <f t="shared" si="53"/>
        <v/>
      </c>
      <c r="CF68" s="76" t="str">
        <f t="shared" si="53"/>
        <v/>
      </c>
      <c r="CG68" s="76" t="str">
        <f t="shared" si="53"/>
        <v/>
      </c>
      <c r="CH68" s="76" t="str">
        <f t="shared" si="53"/>
        <v>X</v>
      </c>
      <c r="CI68" s="76" t="str">
        <f t="shared" si="53"/>
        <v>X</v>
      </c>
      <c r="CJ68" s="76" t="str">
        <f t="shared" si="53"/>
        <v>X</v>
      </c>
      <c r="CK68" s="76" t="str">
        <f t="shared" si="53"/>
        <v>X</v>
      </c>
      <c r="CL68" s="76" t="str">
        <f t="shared" si="53"/>
        <v>X</v>
      </c>
      <c r="CM68" s="76" t="str">
        <f t="shared" si="53"/>
        <v>X</v>
      </c>
      <c r="CN68" s="76" t="str">
        <f t="shared" si="53"/>
        <v>X</v>
      </c>
      <c r="CO68" s="76" t="str">
        <f t="shared" si="53"/>
        <v>X</v>
      </c>
      <c r="CP68" s="76" t="str">
        <f t="shared" si="53"/>
        <v>X</v>
      </c>
      <c r="CQ68" s="76" t="str">
        <f t="shared" si="53"/>
        <v>X</v>
      </c>
      <c r="CR68" s="76" t="str">
        <f t="shared" si="53"/>
        <v>X</v>
      </c>
      <c r="CS68" s="76" t="str">
        <f t="shared" si="53"/>
        <v>X</v>
      </c>
      <c r="CT68" s="76" t="str">
        <f t="shared" si="53"/>
        <v>X</v>
      </c>
      <c r="CU68" s="76" t="str">
        <f t="shared" si="53"/>
        <v/>
      </c>
      <c r="CV68" s="76" t="str">
        <f t="shared" si="53"/>
        <v/>
      </c>
      <c r="CW68" s="76" t="str">
        <f t="shared" si="53"/>
        <v/>
      </c>
      <c r="CX68" s="76" t="str">
        <f t="shared" si="53"/>
        <v/>
      </c>
      <c r="CY68" s="76" t="str">
        <f t="shared" si="53"/>
        <v/>
      </c>
      <c r="CZ68" s="76" t="str">
        <f t="shared" si="53"/>
        <v/>
      </c>
      <c r="DA68" s="76" t="str">
        <f t="shared" si="53"/>
        <v/>
      </c>
      <c r="DB68" s="76" t="str">
        <f t="shared" si="53"/>
        <v/>
      </c>
      <c r="DC68" s="76" t="str">
        <f t="shared" si="53"/>
        <v/>
      </c>
      <c r="DD68" s="76" t="str">
        <f t="shared" si="53"/>
        <v/>
      </c>
      <c r="DE68" s="76" t="str">
        <f t="shared" si="53"/>
        <v/>
      </c>
      <c r="DF68" s="76" t="str">
        <f t="shared" si="53"/>
        <v/>
      </c>
      <c r="DG68" s="76" t="str">
        <f t="shared" si="53"/>
        <v/>
      </c>
      <c r="DH68" s="76" t="str">
        <f t="shared" si="53"/>
        <v/>
      </c>
      <c r="DI68" s="76" t="str">
        <f t="shared" si="53"/>
        <v/>
      </c>
      <c r="DJ68" s="76" t="str">
        <f t="shared" si="53"/>
        <v/>
      </c>
      <c r="DK68" s="76" t="str">
        <f t="shared" si="53"/>
        <v/>
      </c>
      <c r="DL68" s="76" t="str">
        <f t="shared" si="53"/>
        <v/>
      </c>
      <c r="DM68" s="76" t="str">
        <f t="shared" si="53"/>
        <v/>
      </c>
      <c r="DN68" s="76" t="str">
        <f t="shared" si="53"/>
        <v/>
      </c>
      <c r="DO68" s="76" t="str">
        <f t="shared" si="53"/>
        <v/>
      </c>
      <c r="DP68" s="76" t="str">
        <f t="shared" si="53"/>
        <v/>
      </c>
      <c r="DQ68" s="76" t="str">
        <f t="shared" si="53"/>
        <v/>
      </c>
      <c r="DR68" s="76" t="str">
        <f t="shared" si="53"/>
        <v/>
      </c>
      <c r="DS68" s="76" t="str">
        <f t="shared" si="53"/>
        <v/>
      </c>
      <c r="DT68" s="76" t="str">
        <f t="shared" si="53"/>
        <v/>
      </c>
      <c r="DU68" s="76" t="str">
        <f t="shared" si="53"/>
        <v/>
      </c>
      <c r="DV68" s="76" t="str">
        <f t="shared" si="53"/>
        <v/>
      </c>
      <c r="DW68" s="76" t="str">
        <f t="shared" si="53"/>
        <v/>
      </c>
      <c r="DX68" s="76" t="str">
        <f t="shared" si="53"/>
        <v/>
      </c>
      <c r="DY68" s="76" t="str">
        <f t="shared" si="53"/>
        <v/>
      </c>
      <c r="DZ68" s="76" t="str">
        <f t="shared" si="53"/>
        <v/>
      </c>
      <c r="EA68" s="76" t="str">
        <f t="shared" si="53"/>
        <v/>
      </c>
      <c r="EB68" s="76" t="str">
        <f t="shared" si="53"/>
        <v/>
      </c>
      <c r="EC68" s="76" t="str">
        <f t="shared" si="53"/>
        <v/>
      </c>
      <c r="ED68" s="76" t="str">
        <f t="shared" si="53"/>
        <v/>
      </c>
      <c r="EE68" s="76" t="str">
        <f t="shared" si="53"/>
        <v/>
      </c>
      <c r="EF68" s="76" t="str">
        <f t="shared" si="53"/>
        <v/>
      </c>
      <c r="EG68" s="76" t="str">
        <f t="shared" si="53"/>
        <v/>
      </c>
      <c r="EH68" s="76" t="str">
        <f t="shared" si="53"/>
        <v/>
      </c>
      <c r="EI68" s="76" t="str">
        <f t="shared" si="53"/>
        <v/>
      </c>
      <c r="EJ68" s="76" t="str">
        <f t="shared" si="53"/>
        <v/>
      </c>
      <c r="EK68" s="76" t="str">
        <f t="shared" si="53"/>
        <v/>
      </c>
      <c r="EL68" s="76" t="str">
        <f t="shared" si="53"/>
        <v/>
      </c>
      <c r="EM68" s="76" t="str">
        <f t="shared" si="53"/>
        <v/>
      </c>
      <c r="EN68" s="76" t="str">
        <f t="shared" si="53"/>
        <v/>
      </c>
      <c r="EO68" s="76" t="str">
        <f t="shared" si="53"/>
        <v/>
      </c>
      <c r="EP68" s="76" t="str">
        <f t="shared" si="53"/>
        <v/>
      </c>
      <c r="EQ68" s="76" t="str">
        <f t="shared" si="53"/>
        <v/>
      </c>
      <c r="ER68" s="76" t="str">
        <f t="shared" si="53"/>
        <v/>
      </c>
      <c r="ES68" s="76" t="str">
        <f t="shared" si="53"/>
        <v/>
      </c>
    </row>
    <row r="69">
      <c r="A69" s="33"/>
      <c r="B69" s="58">
        <v>45.0</v>
      </c>
      <c r="C69" s="80"/>
      <c r="D69" s="77"/>
      <c r="E69" s="78"/>
      <c r="F69" s="78"/>
      <c r="G69" s="78"/>
      <c r="H69" s="78"/>
      <c r="I69" s="79" t="str">
        <f t="shared" ref="I69:ES69" si="54">IF(AND($E69&lt;=I$6,$F69&gt;=I$6),"X","")</f>
        <v/>
      </c>
      <c r="J69" s="65" t="str">
        <f t="shared" si="54"/>
        <v/>
      </c>
      <c r="K69" s="67" t="str">
        <f t="shared" si="54"/>
        <v/>
      </c>
      <c r="L69" s="67" t="str">
        <f t="shared" si="54"/>
        <v/>
      </c>
      <c r="M69" s="67" t="str">
        <f t="shared" si="54"/>
        <v/>
      </c>
      <c r="N69" s="67" t="str">
        <f t="shared" si="54"/>
        <v/>
      </c>
      <c r="O69" s="67" t="str">
        <f t="shared" si="54"/>
        <v/>
      </c>
      <c r="P69" s="67" t="str">
        <f t="shared" si="54"/>
        <v/>
      </c>
      <c r="Q69" s="67" t="str">
        <f t="shared" si="54"/>
        <v/>
      </c>
      <c r="R69" s="67" t="str">
        <f t="shared" si="54"/>
        <v/>
      </c>
      <c r="S69" s="67" t="str">
        <f t="shared" si="54"/>
        <v/>
      </c>
      <c r="T69" s="67" t="str">
        <f t="shared" si="54"/>
        <v/>
      </c>
      <c r="U69" s="67" t="str">
        <f t="shared" si="54"/>
        <v/>
      </c>
      <c r="V69" s="67" t="str">
        <f t="shared" si="54"/>
        <v/>
      </c>
      <c r="W69" s="67" t="str">
        <f t="shared" si="54"/>
        <v/>
      </c>
      <c r="X69" s="67" t="str">
        <f t="shared" si="54"/>
        <v/>
      </c>
      <c r="Y69" s="67" t="str">
        <f t="shared" si="54"/>
        <v/>
      </c>
      <c r="Z69" s="67" t="str">
        <f t="shared" si="54"/>
        <v/>
      </c>
      <c r="AA69" s="67" t="str">
        <f t="shared" si="54"/>
        <v/>
      </c>
      <c r="AB69" s="67" t="str">
        <f t="shared" si="54"/>
        <v/>
      </c>
      <c r="AC69" s="67" t="str">
        <f t="shared" si="54"/>
        <v/>
      </c>
      <c r="AD69" s="67" t="str">
        <f t="shared" si="54"/>
        <v/>
      </c>
      <c r="AE69" s="67" t="str">
        <f t="shared" si="54"/>
        <v/>
      </c>
      <c r="AF69" s="67" t="str">
        <f t="shared" si="54"/>
        <v/>
      </c>
      <c r="AG69" s="67" t="str">
        <f t="shared" si="54"/>
        <v/>
      </c>
      <c r="AH69" s="67" t="str">
        <f t="shared" si="54"/>
        <v/>
      </c>
      <c r="AI69" s="67" t="str">
        <f t="shared" si="54"/>
        <v/>
      </c>
      <c r="AJ69" s="67" t="str">
        <f t="shared" si="54"/>
        <v/>
      </c>
      <c r="AK69" s="67" t="str">
        <f t="shared" si="54"/>
        <v/>
      </c>
      <c r="AL69" s="67" t="str">
        <f t="shared" si="54"/>
        <v/>
      </c>
      <c r="AM69" s="67" t="str">
        <f t="shared" si="54"/>
        <v/>
      </c>
      <c r="AN69" s="67" t="str">
        <f t="shared" si="54"/>
        <v/>
      </c>
      <c r="AO69" s="67" t="str">
        <f t="shared" si="54"/>
        <v/>
      </c>
      <c r="AP69" s="67" t="str">
        <f t="shared" si="54"/>
        <v/>
      </c>
      <c r="AQ69" s="67" t="str">
        <f t="shared" si="54"/>
        <v/>
      </c>
      <c r="AR69" s="67" t="str">
        <f t="shared" si="54"/>
        <v/>
      </c>
      <c r="AS69" s="67" t="str">
        <f t="shared" si="54"/>
        <v/>
      </c>
      <c r="AT69" s="67" t="str">
        <f t="shared" si="54"/>
        <v/>
      </c>
      <c r="AU69" s="67" t="str">
        <f t="shared" si="54"/>
        <v/>
      </c>
      <c r="AV69" s="67" t="str">
        <f t="shared" si="54"/>
        <v/>
      </c>
      <c r="AW69" s="67" t="str">
        <f t="shared" si="54"/>
        <v/>
      </c>
      <c r="AX69" s="67" t="str">
        <f t="shared" si="54"/>
        <v/>
      </c>
      <c r="AY69" s="67" t="str">
        <f t="shared" si="54"/>
        <v/>
      </c>
      <c r="AZ69" s="67" t="str">
        <f t="shared" si="54"/>
        <v/>
      </c>
      <c r="BA69" s="67" t="str">
        <f t="shared" si="54"/>
        <v/>
      </c>
      <c r="BB69" s="67" t="str">
        <f t="shared" si="54"/>
        <v/>
      </c>
      <c r="BC69" s="67" t="str">
        <f t="shared" si="54"/>
        <v/>
      </c>
      <c r="BD69" s="67" t="str">
        <f t="shared" si="54"/>
        <v/>
      </c>
      <c r="BE69" s="67" t="str">
        <f t="shared" si="54"/>
        <v/>
      </c>
      <c r="BF69" s="67" t="str">
        <f t="shared" si="54"/>
        <v/>
      </c>
      <c r="BG69" s="67" t="str">
        <f t="shared" si="54"/>
        <v/>
      </c>
      <c r="BH69" s="67" t="str">
        <f t="shared" si="54"/>
        <v/>
      </c>
      <c r="BI69" s="67" t="str">
        <f t="shared" si="54"/>
        <v/>
      </c>
      <c r="BJ69" s="67" t="str">
        <f t="shared" si="54"/>
        <v/>
      </c>
      <c r="BK69" s="67" t="str">
        <f t="shared" si="54"/>
        <v/>
      </c>
      <c r="BL69" s="67" t="str">
        <f t="shared" si="54"/>
        <v/>
      </c>
      <c r="BM69" s="67" t="str">
        <f t="shared" si="54"/>
        <v/>
      </c>
      <c r="BN69" s="67" t="str">
        <f t="shared" si="54"/>
        <v/>
      </c>
      <c r="BO69" s="67" t="str">
        <f t="shared" si="54"/>
        <v/>
      </c>
      <c r="BP69" s="67" t="str">
        <f t="shared" si="54"/>
        <v/>
      </c>
      <c r="BQ69" s="67" t="str">
        <f t="shared" si="54"/>
        <v/>
      </c>
      <c r="BR69" s="67" t="str">
        <f t="shared" si="54"/>
        <v/>
      </c>
      <c r="BS69" s="67" t="str">
        <f t="shared" si="54"/>
        <v/>
      </c>
      <c r="BT69" s="67" t="str">
        <f t="shared" si="54"/>
        <v/>
      </c>
      <c r="BU69" s="67" t="str">
        <f t="shared" si="54"/>
        <v/>
      </c>
      <c r="BV69" s="67" t="str">
        <f t="shared" si="54"/>
        <v/>
      </c>
      <c r="BW69" s="67" t="str">
        <f t="shared" si="54"/>
        <v/>
      </c>
      <c r="BX69" s="67" t="str">
        <f t="shared" si="54"/>
        <v/>
      </c>
      <c r="BY69" s="67" t="str">
        <f t="shared" si="54"/>
        <v/>
      </c>
      <c r="BZ69" s="67" t="str">
        <f t="shared" si="54"/>
        <v/>
      </c>
      <c r="CA69" s="67" t="str">
        <f t="shared" si="54"/>
        <v/>
      </c>
      <c r="CB69" s="67" t="str">
        <f t="shared" si="54"/>
        <v/>
      </c>
      <c r="CC69" s="67" t="str">
        <f t="shared" si="54"/>
        <v/>
      </c>
      <c r="CD69" s="67" t="str">
        <f t="shared" si="54"/>
        <v/>
      </c>
      <c r="CE69" s="67" t="str">
        <f t="shared" si="54"/>
        <v/>
      </c>
      <c r="CF69" s="67" t="str">
        <f t="shared" si="54"/>
        <v/>
      </c>
      <c r="CG69" s="67" t="str">
        <f t="shared" si="54"/>
        <v/>
      </c>
      <c r="CH69" s="67" t="str">
        <f t="shared" si="54"/>
        <v/>
      </c>
      <c r="CI69" s="67" t="str">
        <f t="shared" si="54"/>
        <v/>
      </c>
      <c r="CJ69" s="67" t="str">
        <f t="shared" si="54"/>
        <v/>
      </c>
      <c r="CK69" s="67" t="str">
        <f t="shared" si="54"/>
        <v/>
      </c>
      <c r="CL69" s="67" t="str">
        <f t="shared" si="54"/>
        <v/>
      </c>
      <c r="CM69" s="67" t="str">
        <f t="shared" si="54"/>
        <v/>
      </c>
      <c r="CN69" s="67" t="str">
        <f t="shared" si="54"/>
        <v/>
      </c>
      <c r="CO69" s="67" t="str">
        <f t="shared" si="54"/>
        <v/>
      </c>
      <c r="CP69" s="67" t="str">
        <f t="shared" si="54"/>
        <v/>
      </c>
      <c r="CQ69" s="67" t="str">
        <f t="shared" si="54"/>
        <v/>
      </c>
      <c r="CR69" s="67" t="str">
        <f t="shared" si="54"/>
        <v/>
      </c>
      <c r="CS69" s="67" t="str">
        <f t="shared" si="54"/>
        <v/>
      </c>
      <c r="CT69" s="67" t="str">
        <f t="shared" si="54"/>
        <v/>
      </c>
      <c r="CU69" s="67" t="str">
        <f t="shared" si="54"/>
        <v/>
      </c>
      <c r="CV69" s="67" t="str">
        <f t="shared" si="54"/>
        <v/>
      </c>
      <c r="CW69" s="67" t="str">
        <f t="shared" si="54"/>
        <v/>
      </c>
      <c r="CX69" s="67" t="str">
        <f t="shared" si="54"/>
        <v/>
      </c>
      <c r="CY69" s="67" t="str">
        <f t="shared" si="54"/>
        <v/>
      </c>
      <c r="CZ69" s="67" t="str">
        <f t="shared" si="54"/>
        <v/>
      </c>
      <c r="DA69" s="67" t="str">
        <f t="shared" si="54"/>
        <v/>
      </c>
      <c r="DB69" s="67" t="str">
        <f t="shared" si="54"/>
        <v/>
      </c>
      <c r="DC69" s="67" t="str">
        <f t="shared" si="54"/>
        <v/>
      </c>
      <c r="DD69" s="67" t="str">
        <f t="shared" si="54"/>
        <v/>
      </c>
      <c r="DE69" s="67" t="str">
        <f t="shared" si="54"/>
        <v/>
      </c>
      <c r="DF69" s="67" t="str">
        <f t="shared" si="54"/>
        <v/>
      </c>
      <c r="DG69" s="67" t="str">
        <f t="shared" si="54"/>
        <v/>
      </c>
      <c r="DH69" s="67" t="str">
        <f t="shared" si="54"/>
        <v/>
      </c>
      <c r="DI69" s="67" t="str">
        <f t="shared" si="54"/>
        <v/>
      </c>
      <c r="DJ69" s="67" t="str">
        <f t="shared" si="54"/>
        <v/>
      </c>
      <c r="DK69" s="67" t="str">
        <f t="shared" si="54"/>
        <v/>
      </c>
      <c r="DL69" s="67" t="str">
        <f t="shared" si="54"/>
        <v/>
      </c>
      <c r="DM69" s="67" t="str">
        <f t="shared" si="54"/>
        <v/>
      </c>
      <c r="DN69" s="67" t="str">
        <f t="shared" si="54"/>
        <v/>
      </c>
      <c r="DO69" s="67" t="str">
        <f t="shared" si="54"/>
        <v/>
      </c>
      <c r="DP69" s="67" t="str">
        <f t="shared" si="54"/>
        <v/>
      </c>
      <c r="DQ69" s="67" t="str">
        <f t="shared" si="54"/>
        <v/>
      </c>
      <c r="DR69" s="67" t="str">
        <f t="shared" si="54"/>
        <v/>
      </c>
      <c r="DS69" s="67" t="str">
        <f t="shared" si="54"/>
        <v/>
      </c>
      <c r="DT69" s="67" t="str">
        <f t="shared" si="54"/>
        <v/>
      </c>
      <c r="DU69" s="67" t="str">
        <f t="shared" si="54"/>
        <v/>
      </c>
      <c r="DV69" s="67" t="str">
        <f t="shared" si="54"/>
        <v/>
      </c>
      <c r="DW69" s="67" t="str">
        <f t="shared" si="54"/>
        <v/>
      </c>
      <c r="DX69" s="67" t="str">
        <f t="shared" si="54"/>
        <v/>
      </c>
      <c r="DY69" s="67" t="str">
        <f t="shared" si="54"/>
        <v/>
      </c>
      <c r="DZ69" s="67" t="str">
        <f t="shared" si="54"/>
        <v/>
      </c>
      <c r="EA69" s="67" t="str">
        <f t="shared" si="54"/>
        <v/>
      </c>
      <c r="EB69" s="67" t="str">
        <f t="shared" si="54"/>
        <v/>
      </c>
      <c r="EC69" s="67" t="str">
        <f t="shared" si="54"/>
        <v/>
      </c>
      <c r="ED69" s="67" t="str">
        <f t="shared" si="54"/>
        <v/>
      </c>
      <c r="EE69" s="67" t="str">
        <f t="shared" si="54"/>
        <v/>
      </c>
      <c r="EF69" s="67" t="str">
        <f t="shared" si="54"/>
        <v/>
      </c>
      <c r="EG69" s="67" t="str">
        <f t="shared" si="54"/>
        <v/>
      </c>
      <c r="EH69" s="67" t="str">
        <f t="shared" si="54"/>
        <v/>
      </c>
      <c r="EI69" s="67" t="str">
        <f t="shared" si="54"/>
        <v/>
      </c>
      <c r="EJ69" s="67" t="str">
        <f t="shared" si="54"/>
        <v/>
      </c>
      <c r="EK69" s="67" t="str">
        <f t="shared" si="54"/>
        <v/>
      </c>
      <c r="EL69" s="67" t="str">
        <f t="shared" si="54"/>
        <v/>
      </c>
      <c r="EM69" s="67" t="str">
        <f t="shared" si="54"/>
        <v/>
      </c>
      <c r="EN69" s="67" t="str">
        <f t="shared" si="54"/>
        <v/>
      </c>
      <c r="EO69" s="67" t="str">
        <f t="shared" si="54"/>
        <v/>
      </c>
      <c r="EP69" s="67" t="str">
        <f t="shared" si="54"/>
        <v/>
      </c>
      <c r="EQ69" s="67" t="str">
        <f t="shared" si="54"/>
        <v/>
      </c>
      <c r="ER69" s="67" t="str">
        <f t="shared" si="54"/>
        <v/>
      </c>
      <c r="ES69" s="67" t="str">
        <f t="shared" si="54"/>
        <v/>
      </c>
    </row>
    <row r="70">
      <c r="A70" s="33"/>
      <c r="B70" s="58">
        <v>46.0</v>
      </c>
      <c r="C70" s="68"/>
      <c r="D70" s="68"/>
      <c r="E70" s="81"/>
      <c r="F70" s="81"/>
      <c r="G70" s="71"/>
      <c r="H70" s="72"/>
      <c r="I70" s="73" t="str">
        <f t="shared" ref="I70:ES70" si="55">IF(AND($E70&lt;=I$6,$F70&gt;=I$6),"X","")</f>
        <v/>
      </c>
      <c r="J70" s="73" t="str">
        <f t="shared" si="55"/>
        <v/>
      </c>
      <c r="K70" s="73" t="str">
        <f t="shared" si="55"/>
        <v/>
      </c>
      <c r="L70" s="73" t="str">
        <f t="shared" si="55"/>
        <v/>
      </c>
      <c r="M70" s="73" t="str">
        <f t="shared" si="55"/>
        <v/>
      </c>
      <c r="N70" s="73" t="str">
        <f t="shared" si="55"/>
        <v/>
      </c>
      <c r="O70" s="73" t="str">
        <f t="shared" si="55"/>
        <v/>
      </c>
      <c r="P70" s="73" t="str">
        <f t="shared" si="55"/>
        <v/>
      </c>
      <c r="Q70" s="73" t="str">
        <f t="shared" si="55"/>
        <v/>
      </c>
      <c r="R70" s="73" t="str">
        <f t="shared" si="55"/>
        <v/>
      </c>
      <c r="S70" s="73" t="str">
        <f t="shared" si="55"/>
        <v/>
      </c>
      <c r="T70" s="73" t="str">
        <f t="shared" si="55"/>
        <v/>
      </c>
      <c r="U70" s="73" t="str">
        <f t="shared" si="55"/>
        <v/>
      </c>
      <c r="V70" s="73" t="str">
        <f t="shared" si="55"/>
        <v/>
      </c>
      <c r="W70" s="73" t="str">
        <f t="shared" si="55"/>
        <v/>
      </c>
      <c r="X70" s="73" t="str">
        <f t="shared" si="55"/>
        <v/>
      </c>
      <c r="Y70" s="73" t="str">
        <f t="shared" si="55"/>
        <v/>
      </c>
      <c r="Z70" s="73" t="str">
        <f t="shared" si="55"/>
        <v/>
      </c>
      <c r="AA70" s="73" t="str">
        <f t="shared" si="55"/>
        <v/>
      </c>
      <c r="AB70" s="73" t="str">
        <f t="shared" si="55"/>
        <v/>
      </c>
      <c r="AC70" s="73" t="str">
        <f t="shared" si="55"/>
        <v/>
      </c>
      <c r="AD70" s="73" t="str">
        <f t="shared" si="55"/>
        <v/>
      </c>
      <c r="AE70" s="73" t="str">
        <f t="shared" si="55"/>
        <v/>
      </c>
      <c r="AF70" s="73" t="str">
        <f t="shared" si="55"/>
        <v/>
      </c>
      <c r="AG70" s="73" t="str">
        <f t="shared" si="55"/>
        <v/>
      </c>
      <c r="AH70" s="73" t="str">
        <f t="shared" si="55"/>
        <v/>
      </c>
      <c r="AI70" s="73" t="str">
        <f t="shared" si="55"/>
        <v/>
      </c>
      <c r="AJ70" s="73" t="str">
        <f t="shared" si="55"/>
        <v/>
      </c>
      <c r="AK70" s="73" t="str">
        <f t="shared" si="55"/>
        <v/>
      </c>
      <c r="AL70" s="73" t="str">
        <f t="shared" si="55"/>
        <v/>
      </c>
      <c r="AM70" s="73" t="str">
        <f t="shared" si="55"/>
        <v/>
      </c>
      <c r="AN70" s="73" t="str">
        <f t="shared" si="55"/>
        <v/>
      </c>
      <c r="AO70" s="73" t="str">
        <f t="shared" si="55"/>
        <v/>
      </c>
      <c r="AP70" s="73" t="str">
        <f t="shared" si="55"/>
        <v/>
      </c>
      <c r="AQ70" s="73" t="str">
        <f t="shared" si="55"/>
        <v/>
      </c>
      <c r="AR70" s="73" t="str">
        <f t="shared" si="55"/>
        <v/>
      </c>
      <c r="AS70" s="73" t="str">
        <f t="shared" si="55"/>
        <v/>
      </c>
      <c r="AT70" s="73" t="str">
        <f t="shared" si="55"/>
        <v/>
      </c>
      <c r="AU70" s="73" t="str">
        <f t="shared" si="55"/>
        <v/>
      </c>
      <c r="AV70" s="73" t="str">
        <f t="shared" si="55"/>
        <v/>
      </c>
      <c r="AW70" s="73" t="str">
        <f t="shared" si="55"/>
        <v/>
      </c>
      <c r="AX70" s="73" t="str">
        <f t="shared" si="55"/>
        <v/>
      </c>
      <c r="AY70" s="73" t="str">
        <f t="shared" si="55"/>
        <v/>
      </c>
      <c r="AZ70" s="73" t="str">
        <f t="shared" si="55"/>
        <v/>
      </c>
      <c r="BA70" s="73" t="str">
        <f t="shared" si="55"/>
        <v/>
      </c>
      <c r="BB70" s="73" t="str">
        <f t="shared" si="55"/>
        <v/>
      </c>
      <c r="BC70" s="73" t="str">
        <f t="shared" si="55"/>
        <v/>
      </c>
      <c r="BD70" s="73" t="str">
        <f t="shared" si="55"/>
        <v/>
      </c>
      <c r="BE70" s="73" t="str">
        <f t="shared" si="55"/>
        <v/>
      </c>
      <c r="BF70" s="73" t="str">
        <f t="shared" si="55"/>
        <v/>
      </c>
      <c r="BG70" s="73" t="str">
        <f t="shared" si="55"/>
        <v/>
      </c>
      <c r="BH70" s="73" t="str">
        <f t="shared" si="55"/>
        <v/>
      </c>
      <c r="BI70" s="73" t="str">
        <f t="shared" si="55"/>
        <v/>
      </c>
      <c r="BJ70" s="73" t="str">
        <f t="shared" si="55"/>
        <v/>
      </c>
      <c r="BK70" s="73" t="str">
        <f t="shared" si="55"/>
        <v/>
      </c>
      <c r="BL70" s="73" t="str">
        <f t="shared" si="55"/>
        <v/>
      </c>
      <c r="BM70" s="73" t="str">
        <f t="shared" si="55"/>
        <v/>
      </c>
      <c r="BN70" s="73" t="str">
        <f t="shared" si="55"/>
        <v/>
      </c>
      <c r="BO70" s="76" t="str">
        <f t="shared" si="55"/>
        <v/>
      </c>
      <c r="BP70" s="76" t="str">
        <f t="shared" si="55"/>
        <v/>
      </c>
      <c r="BQ70" s="76" t="str">
        <f t="shared" si="55"/>
        <v/>
      </c>
      <c r="BR70" s="76" t="str">
        <f t="shared" si="55"/>
        <v/>
      </c>
      <c r="BS70" s="76" t="str">
        <f t="shared" si="55"/>
        <v/>
      </c>
      <c r="BT70" s="76" t="str">
        <f t="shared" si="55"/>
        <v/>
      </c>
      <c r="BU70" s="76" t="str">
        <f t="shared" si="55"/>
        <v/>
      </c>
      <c r="BV70" s="76" t="str">
        <f t="shared" si="55"/>
        <v/>
      </c>
      <c r="BW70" s="76" t="str">
        <f t="shared" si="55"/>
        <v/>
      </c>
      <c r="BX70" s="76" t="str">
        <f t="shared" si="55"/>
        <v/>
      </c>
      <c r="BY70" s="76" t="str">
        <f t="shared" si="55"/>
        <v/>
      </c>
      <c r="BZ70" s="76" t="str">
        <f t="shared" si="55"/>
        <v/>
      </c>
      <c r="CA70" s="76" t="str">
        <f t="shared" si="55"/>
        <v/>
      </c>
      <c r="CB70" s="76" t="str">
        <f t="shared" si="55"/>
        <v/>
      </c>
      <c r="CC70" s="76" t="str">
        <f t="shared" si="55"/>
        <v/>
      </c>
      <c r="CD70" s="76" t="str">
        <f t="shared" si="55"/>
        <v/>
      </c>
      <c r="CE70" s="76" t="str">
        <f t="shared" si="55"/>
        <v/>
      </c>
      <c r="CF70" s="76" t="str">
        <f t="shared" si="55"/>
        <v/>
      </c>
      <c r="CG70" s="76" t="str">
        <f t="shared" si="55"/>
        <v/>
      </c>
      <c r="CH70" s="76" t="str">
        <f t="shared" si="55"/>
        <v/>
      </c>
      <c r="CI70" s="76" t="str">
        <f t="shared" si="55"/>
        <v/>
      </c>
      <c r="CJ70" s="76" t="str">
        <f t="shared" si="55"/>
        <v/>
      </c>
      <c r="CK70" s="76" t="str">
        <f t="shared" si="55"/>
        <v/>
      </c>
      <c r="CL70" s="76" t="str">
        <f t="shared" si="55"/>
        <v/>
      </c>
      <c r="CM70" s="76" t="str">
        <f t="shared" si="55"/>
        <v/>
      </c>
      <c r="CN70" s="76" t="str">
        <f t="shared" si="55"/>
        <v/>
      </c>
      <c r="CO70" s="76" t="str">
        <f t="shared" si="55"/>
        <v/>
      </c>
      <c r="CP70" s="76" t="str">
        <f t="shared" si="55"/>
        <v/>
      </c>
      <c r="CQ70" s="76" t="str">
        <f t="shared" si="55"/>
        <v/>
      </c>
      <c r="CR70" s="76" t="str">
        <f t="shared" si="55"/>
        <v/>
      </c>
      <c r="CS70" s="76" t="str">
        <f t="shared" si="55"/>
        <v/>
      </c>
      <c r="CT70" s="76" t="str">
        <f t="shared" si="55"/>
        <v/>
      </c>
      <c r="CU70" s="76" t="str">
        <f t="shared" si="55"/>
        <v/>
      </c>
      <c r="CV70" s="76" t="str">
        <f t="shared" si="55"/>
        <v/>
      </c>
      <c r="CW70" s="76" t="str">
        <f t="shared" si="55"/>
        <v/>
      </c>
      <c r="CX70" s="76" t="str">
        <f t="shared" si="55"/>
        <v/>
      </c>
      <c r="CY70" s="76" t="str">
        <f t="shared" si="55"/>
        <v/>
      </c>
      <c r="CZ70" s="76" t="str">
        <f t="shared" si="55"/>
        <v/>
      </c>
      <c r="DA70" s="76" t="str">
        <f t="shared" si="55"/>
        <v/>
      </c>
      <c r="DB70" s="76" t="str">
        <f t="shared" si="55"/>
        <v/>
      </c>
      <c r="DC70" s="76" t="str">
        <f t="shared" si="55"/>
        <v/>
      </c>
      <c r="DD70" s="76" t="str">
        <f t="shared" si="55"/>
        <v/>
      </c>
      <c r="DE70" s="76" t="str">
        <f t="shared" si="55"/>
        <v/>
      </c>
      <c r="DF70" s="76" t="str">
        <f t="shared" si="55"/>
        <v/>
      </c>
      <c r="DG70" s="76" t="str">
        <f t="shared" si="55"/>
        <v/>
      </c>
      <c r="DH70" s="76" t="str">
        <f t="shared" si="55"/>
        <v/>
      </c>
      <c r="DI70" s="76" t="str">
        <f t="shared" si="55"/>
        <v/>
      </c>
      <c r="DJ70" s="76" t="str">
        <f t="shared" si="55"/>
        <v/>
      </c>
      <c r="DK70" s="76" t="str">
        <f t="shared" si="55"/>
        <v/>
      </c>
      <c r="DL70" s="76" t="str">
        <f t="shared" si="55"/>
        <v/>
      </c>
      <c r="DM70" s="76" t="str">
        <f t="shared" si="55"/>
        <v/>
      </c>
      <c r="DN70" s="76" t="str">
        <f t="shared" si="55"/>
        <v/>
      </c>
      <c r="DO70" s="76" t="str">
        <f t="shared" si="55"/>
        <v/>
      </c>
      <c r="DP70" s="76" t="str">
        <f t="shared" si="55"/>
        <v/>
      </c>
      <c r="DQ70" s="76" t="str">
        <f t="shared" si="55"/>
        <v/>
      </c>
      <c r="DR70" s="76" t="str">
        <f t="shared" si="55"/>
        <v/>
      </c>
      <c r="DS70" s="76" t="str">
        <f t="shared" si="55"/>
        <v/>
      </c>
      <c r="DT70" s="76" t="str">
        <f t="shared" si="55"/>
        <v/>
      </c>
      <c r="DU70" s="76" t="str">
        <f t="shared" si="55"/>
        <v/>
      </c>
      <c r="DV70" s="76" t="str">
        <f t="shared" si="55"/>
        <v/>
      </c>
      <c r="DW70" s="76" t="str">
        <f t="shared" si="55"/>
        <v/>
      </c>
      <c r="DX70" s="76" t="str">
        <f t="shared" si="55"/>
        <v/>
      </c>
      <c r="DY70" s="76" t="str">
        <f t="shared" si="55"/>
        <v/>
      </c>
      <c r="DZ70" s="76" t="str">
        <f t="shared" si="55"/>
        <v/>
      </c>
      <c r="EA70" s="76" t="str">
        <f t="shared" si="55"/>
        <v/>
      </c>
      <c r="EB70" s="76" t="str">
        <f t="shared" si="55"/>
        <v/>
      </c>
      <c r="EC70" s="76" t="str">
        <f t="shared" si="55"/>
        <v/>
      </c>
      <c r="ED70" s="76" t="str">
        <f t="shared" si="55"/>
        <v/>
      </c>
      <c r="EE70" s="76" t="str">
        <f t="shared" si="55"/>
        <v/>
      </c>
      <c r="EF70" s="76" t="str">
        <f t="shared" si="55"/>
        <v/>
      </c>
      <c r="EG70" s="76" t="str">
        <f t="shared" si="55"/>
        <v/>
      </c>
      <c r="EH70" s="76" t="str">
        <f t="shared" si="55"/>
        <v/>
      </c>
      <c r="EI70" s="76" t="str">
        <f t="shared" si="55"/>
        <v/>
      </c>
      <c r="EJ70" s="76" t="str">
        <f t="shared" si="55"/>
        <v/>
      </c>
      <c r="EK70" s="76" t="str">
        <f t="shared" si="55"/>
        <v/>
      </c>
      <c r="EL70" s="76" t="str">
        <f t="shared" si="55"/>
        <v/>
      </c>
      <c r="EM70" s="76" t="str">
        <f t="shared" si="55"/>
        <v/>
      </c>
      <c r="EN70" s="76" t="str">
        <f t="shared" si="55"/>
        <v/>
      </c>
      <c r="EO70" s="76" t="str">
        <f t="shared" si="55"/>
        <v/>
      </c>
      <c r="EP70" s="76" t="str">
        <f t="shared" si="55"/>
        <v/>
      </c>
      <c r="EQ70" s="76" t="str">
        <f t="shared" si="55"/>
        <v/>
      </c>
      <c r="ER70" s="76" t="str">
        <f t="shared" si="55"/>
        <v/>
      </c>
      <c r="ES70" s="76" t="str">
        <f t="shared" si="55"/>
        <v/>
      </c>
    </row>
    <row r="71">
      <c r="A71" s="33"/>
      <c r="B71" s="58">
        <v>47.0</v>
      </c>
      <c r="C71" s="68"/>
      <c r="D71" s="68"/>
      <c r="E71" s="82"/>
      <c r="F71" s="82"/>
      <c r="G71" s="71"/>
      <c r="H71" s="72"/>
      <c r="I71" s="73" t="str">
        <f t="shared" ref="I71:ES71" si="56">IF(AND($E71&lt;=I$6,$F71&gt;=I$6),"X","")</f>
        <v/>
      </c>
      <c r="J71" s="73" t="str">
        <f t="shared" si="56"/>
        <v/>
      </c>
      <c r="K71" s="73" t="str">
        <f t="shared" si="56"/>
        <v/>
      </c>
      <c r="L71" s="73" t="str">
        <f t="shared" si="56"/>
        <v/>
      </c>
      <c r="M71" s="73" t="str">
        <f t="shared" si="56"/>
        <v/>
      </c>
      <c r="N71" s="73" t="str">
        <f t="shared" si="56"/>
        <v/>
      </c>
      <c r="O71" s="73" t="str">
        <f t="shared" si="56"/>
        <v/>
      </c>
      <c r="P71" s="73" t="str">
        <f t="shared" si="56"/>
        <v/>
      </c>
      <c r="Q71" s="73" t="str">
        <f t="shared" si="56"/>
        <v/>
      </c>
      <c r="R71" s="73" t="str">
        <f t="shared" si="56"/>
        <v/>
      </c>
      <c r="S71" s="73" t="str">
        <f t="shared" si="56"/>
        <v/>
      </c>
      <c r="T71" s="73" t="str">
        <f t="shared" si="56"/>
        <v/>
      </c>
      <c r="U71" s="73" t="str">
        <f t="shared" si="56"/>
        <v/>
      </c>
      <c r="V71" s="73" t="str">
        <f t="shared" si="56"/>
        <v/>
      </c>
      <c r="W71" s="73" t="str">
        <f t="shared" si="56"/>
        <v/>
      </c>
      <c r="X71" s="73" t="str">
        <f t="shared" si="56"/>
        <v/>
      </c>
      <c r="Y71" s="73" t="str">
        <f t="shared" si="56"/>
        <v/>
      </c>
      <c r="Z71" s="73" t="str">
        <f t="shared" si="56"/>
        <v/>
      </c>
      <c r="AA71" s="73" t="str">
        <f t="shared" si="56"/>
        <v/>
      </c>
      <c r="AB71" s="73" t="str">
        <f t="shared" si="56"/>
        <v/>
      </c>
      <c r="AC71" s="73" t="str">
        <f t="shared" si="56"/>
        <v/>
      </c>
      <c r="AD71" s="73" t="str">
        <f t="shared" si="56"/>
        <v/>
      </c>
      <c r="AE71" s="73" t="str">
        <f t="shared" si="56"/>
        <v/>
      </c>
      <c r="AF71" s="73" t="str">
        <f t="shared" si="56"/>
        <v/>
      </c>
      <c r="AG71" s="73" t="str">
        <f t="shared" si="56"/>
        <v/>
      </c>
      <c r="AH71" s="73" t="str">
        <f t="shared" si="56"/>
        <v/>
      </c>
      <c r="AI71" s="73" t="str">
        <f t="shared" si="56"/>
        <v/>
      </c>
      <c r="AJ71" s="73" t="str">
        <f t="shared" si="56"/>
        <v/>
      </c>
      <c r="AK71" s="73" t="str">
        <f t="shared" si="56"/>
        <v/>
      </c>
      <c r="AL71" s="73" t="str">
        <f t="shared" si="56"/>
        <v/>
      </c>
      <c r="AM71" s="73" t="str">
        <f t="shared" si="56"/>
        <v/>
      </c>
      <c r="AN71" s="73" t="str">
        <f t="shared" si="56"/>
        <v/>
      </c>
      <c r="AO71" s="73" t="str">
        <f t="shared" si="56"/>
        <v/>
      </c>
      <c r="AP71" s="73" t="str">
        <f t="shared" si="56"/>
        <v/>
      </c>
      <c r="AQ71" s="73" t="str">
        <f t="shared" si="56"/>
        <v/>
      </c>
      <c r="AR71" s="73" t="str">
        <f t="shared" si="56"/>
        <v/>
      </c>
      <c r="AS71" s="73" t="str">
        <f t="shared" si="56"/>
        <v/>
      </c>
      <c r="AT71" s="73" t="str">
        <f t="shared" si="56"/>
        <v/>
      </c>
      <c r="AU71" s="73" t="str">
        <f t="shared" si="56"/>
        <v/>
      </c>
      <c r="AV71" s="73" t="str">
        <f t="shared" si="56"/>
        <v/>
      </c>
      <c r="AW71" s="73" t="str">
        <f t="shared" si="56"/>
        <v/>
      </c>
      <c r="AX71" s="73" t="str">
        <f t="shared" si="56"/>
        <v/>
      </c>
      <c r="AY71" s="73" t="str">
        <f t="shared" si="56"/>
        <v/>
      </c>
      <c r="AZ71" s="73" t="str">
        <f t="shared" si="56"/>
        <v/>
      </c>
      <c r="BA71" s="73" t="str">
        <f t="shared" si="56"/>
        <v/>
      </c>
      <c r="BB71" s="73" t="str">
        <f t="shared" si="56"/>
        <v/>
      </c>
      <c r="BC71" s="73" t="str">
        <f t="shared" si="56"/>
        <v/>
      </c>
      <c r="BD71" s="73" t="str">
        <f t="shared" si="56"/>
        <v/>
      </c>
      <c r="BE71" s="73" t="str">
        <f t="shared" si="56"/>
        <v/>
      </c>
      <c r="BF71" s="73" t="str">
        <f t="shared" si="56"/>
        <v/>
      </c>
      <c r="BG71" s="73" t="str">
        <f t="shared" si="56"/>
        <v/>
      </c>
      <c r="BH71" s="73" t="str">
        <f t="shared" si="56"/>
        <v/>
      </c>
      <c r="BI71" s="73" t="str">
        <f t="shared" si="56"/>
        <v/>
      </c>
      <c r="BJ71" s="73" t="str">
        <f t="shared" si="56"/>
        <v/>
      </c>
      <c r="BK71" s="73" t="str">
        <f t="shared" si="56"/>
        <v/>
      </c>
      <c r="BL71" s="73" t="str">
        <f t="shared" si="56"/>
        <v/>
      </c>
      <c r="BM71" s="73" t="str">
        <f t="shared" si="56"/>
        <v/>
      </c>
      <c r="BN71" s="73" t="str">
        <f t="shared" si="56"/>
        <v/>
      </c>
      <c r="BO71" s="76" t="str">
        <f t="shared" si="56"/>
        <v/>
      </c>
      <c r="BP71" s="76" t="str">
        <f t="shared" si="56"/>
        <v/>
      </c>
      <c r="BQ71" s="76" t="str">
        <f t="shared" si="56"/>
        <v/>
      </c>
      <c r="BR71" s="76" t="str">
        <f t="shared" si="56"/>
        <v/>
      </c>
      <c r="BS71" s="76" t="str">
        <f t="shared" si="56"/>
        <v/>
      </c>
      <c r="BT71" s="76" t="str">
        <f t="shared" si="56"/>
        <v/>
      </c>
      <c r="BU71" s="76" t="str">
        <f t="shared" si="56"/>
        <v/>
      </c>
      <c r="BV71" s="76" t="str">
        <f t="shared" si="56"/>
        <v/>
      </c>
      <c r="BW71" s="76" t="str">
        <f t="shared" si="56"/>
        <v/>
      </c>
      <c r="BX71" s="76" t="str">
        <f t="shared" si="56"/>
        <v/>
      </c>
      <c r="BY71" s="76" t="str">
        <f t="shared" si="56"/>
        <v/>
      </c>
      <c r="BZ71" s="76" t="str">
        <f t="shared" si="56"/>
        <v/>
      </c>
      <c r="CA71" s="76" t="str">
        <f t="shared" si="56"/>
        <v/>
      </c>
      <c r="CB71" s="76" t="str">
        <f t="shared" si="56"/>
        <v/>
      </c>
      <c r="CC71" s="76" t="str">
        <f t="shared" si="56"/>
        <v/>
      </c>
      <c r="CD71" s="76" t="str">
        <f t="shared" si="56"/>
        <v/>
      </c>
      <c r="CE71" s="76" t="str">
        <f t="shared" si="56"/>
        <v/>
      </c>
      <c r="CF71" s="76" t="str">
        <f t="shared" si="56"/>
        <v/>
      </c>
      <c r="CG71" s="76" t="str">
        <f t="shared" si="56"/>
        <v/>
      </c>
      <c r="CH71" s="76" t="str">
        <f t="shared" si="56"/>
        <v/>
      </c>
      <c r="CI71" s="76" t="str">
        <f t="shared" si="56"/>
        <v/>
      </c>
      <c r="CJ71" s="76" t="str">
        <f t="shared" si="56"/>
        <v/>
      </c>
      <c r="CK71" s="76" t="str">
        <f t="shared" si="56"/>
        <v/>
      </c>
      <c r="CL71" s="76" t="str">
        <f t="shared" si="56"/>
        <v/>
      </c>
      <c r="CM71" s="76" t="str">
        <f t="shared" si="56"/>
        <v/>
      </c>
      <c r="CN71" s="76" t="str">
        <f t="shared" si="56"/>
        <v/>
      </c>
      <c r="CO71" s="76" t="str">
        <f t="shared" si="56"/>
        <v/>
      </c>
      <c r="CP71" s="76" t="str">
        <f t="shared" si="56"/>
        <v/>
      </c>
      <c r="CQ71" s="76" t="str">
        <f t="shared" si="56"/>
        <v/>
      </c>
      <c r="CR71" s="76" t="str">
        <f t="shared" si="56"/>
        <v/>
      </c>
      <c r="CS71" s="76" t="str">
        <f t="shared" si="56"/>
        <v/>
      </c>
      <c r="CT71" s="76" t="str">
        <f t="shared" si="56"/>
        <v/>
      </c>
      <c r="CU71" s="76" t="str">
        <f t="shared" si="56"/>
        <v/>
      </c>
      <c r="CV71" s="76" t="str">
        <f t="shared" si="56"/>
        <v/>
      </c>
      <c r="CW71" s="76" t="str">
        <f t="shared" si="56"/>
        <v/>
      </c>
      <c r="CX71" s="76" t="str">
        <f t="shared" si="56"/>
        <v/>
      </c>
      <c r="CY71" s="76" t="str">
        <f t="shared" si="56"/>
        <v/>
      </c>
      <c r="CZ71" s="76" t="str">
        <f t="shared" si="56"/>
        <v/>
      </c>
      <c r="DA71" s="76" t="str">
        <f t="shared" si="56"/>
        <v/>
      </c>
      <c r="DB71" s="76" t="str">
        <f t="shared" si="56"/>
        <v/>
      </c>
      <c r="DC71" s="76" t="str">
        <f t="shared" si="56"/>
        <v/>
      </c>
      <c r="DD71" s="76" t="str">
        <f t="shared" si="56"/>
        <v/>
      </c>
      <c r="DE71" s="76" t="str">
        <f t="shared" si="56"/>
        <v/>
      </c>
      <c r="DF71" s="76" t="str">
        <f t="shared" si="56"/>
        <v/>
      </c>
      <c r="DG71" s="76" t="str">
        <f t="shared" si="56"/>
        <v/>
      </c>
      <c r="DH71" s="76" t="str">
        <f t="shared" si="56"/>
        <v/>
      </c>
      <c r="DI71" s="76" t="str">
        <f t="shared" si="56"/>
        <v/>
      </c>
      <c r="DJ71" s="76" t="str">
        <f t="shared" si="56"/>
        <v/>
      </c>
      <c r="DK71" s="76" t="str">
        <f t="shared" si="56"/>
        <v/>
      </c>
      <c r="DL71" s="76" t="str">
        <f t="shared" si="56"/>
        <v/>
      </c>
      <c r="DM71" s="76" t="str">
        <f t="shared" si="56"/>
        <v/>
      </c>
      <c r="DN71" s="76" t="str">
        <f t="shared" si="56"/>
        <v/>
      </c>
      <c r="DO71" s="76" t="str">
        <f t="shared" si="56"/>
        <v/>
      </c>
      <c r="DP71" s="76" t="str">
        <f t="shared" si="56"/>
        <v/>
      </c>
      <c r="DQ71" s="76" t="str">
        <f t="shared" si="56"/>
        <v/>
      </c>
      <c r="DR71" s="76" t="str">
        <f t="shared" si="56"/>
        <v/>
      </c>
      <c r="DS71" s="76" t="str">
        <f t="shared" si="56"/>
        <v/>
      </c>
      <c r="DT71" s="76" t="str">
        <f t="shared" si="56"/>
        <v/>
      </c>
      <c r="DU71" s="76" t="str">
        <f t="shared" si="56"/>
        <v/>
      </c>
      <c r="DV71" s="76" t="str">
        <f t="shared" si="56"/>
        <v/>
      </c>
      <c r="DW71" s="76" t="str">
        <f t="shared" si="56"/>
        <v/>
      </c>
      <c r="DX71" s="76" t="str">
        <f t="shared" si="56"/>
        <v/>
      </c>
      <c r="DY71" s="76" t="str">
        <f t="shared" si="56"/>
        <v/>
      </c>
      <c r="DZ71" s="76" t="str">
        <f t="shared" si="56"/>
        <v/>
      </c>
      <c r="EA71" s="76" t="str">
        <f t="shared" si="56"/>
        <v/>
      </c>
      <c r="EB71" s="76" t="str">
        <f t="shared" si="56"/>
        <v/>
      </c>
      <c r="EC71" s="76" t="str">
        <f t="shared" si="56"/>
        <v/>
      </c>
      <c r="ED71" s="76" t="str">
        <f t="shared" si="56"/>
        <v/>
      </c>
      <c r="EE71" s="76" t="str">
        <f t="shared" si="56"/>
        <v/>
      </c>
      <c r="EF71" s="76" t="str">
        <f t="shared" si="56"/>
        <v/>
      </c>
      <c r="EG71" s="76" t="str">
        <f t="shared" si="56"/>
        <v/>
      </c>
      <c r="EH71" s="76" t="str">
        <f t="shared" si="56"/>
        <v/>
      </c>
      <c r="EI71" s="76" t="str">
        <f t="shared" si="56"/>
        <v/>
      </c>
      <c r="EJ71" s="76" t="str">
        <f t="shared" si="56"/>
        <v/>
      </c>
      <c r="EK71" s="76" t="str">
        <f t="shared" si="56"/>
        <v/>
      </c>
      <c r="EL71" s="76" t="str">
        <f t="shared" si="56"/>
        <v/>
      </c>
      <c r="EM71" s="76" t="str">
        <f t="shared" si="56"/>
        <v/>
      </c>
      <c r="EN71" s="76" t="str">
        <f t="shared" si="56"/>
        <v/>
      </c>
      <c r="EO71" s="76" t="str">
        <f t="shared" si="56"/>
        <v/>
      </c>
      <c r="EP71" s="76" t="str">
        <f t="shared" si="56"/>
        <v/>
      </c>
      <c r="EQ71" s="76" t="str">
        <f t="shared" si="56"/>
        <v/>
      </c>
      <c r="ER71" s="76" t="str">
        <f t="shared" si="56"/>
        <v/>
      </c>
      <c r="ES71" s="76" t="str">
        <f t="shared" si="56"/>
        <v/>
      </c>
    </row>
    <row r="72">
      <c r="A72" s="33"/>
      <c r="B72" s="58">
        <v>48.0</v>
      </c>
      <c r="C72" s="68"/>
      <c r="D72" s="68"/>
      <c r="E72" s="81"/>
      <c r="F72" s="81"/>
      <c r="G72" s="71"/>
      <c r="H72" s="72"/>
      <c r="I72" s="73" t="str">
        <f t="shared" ref="I72:ES72" si="57">IF(AND($E72&lt;=I$6,$F72&gt;=I$6),"X","")</f>
        <v/>
      </c>
      <c r="J72" s="73" t="str">
        <f t="shared" si="57"/>
        <v/>
      </c>
      <c r="K72" s="73" t="str">
        <f t="shared" si="57"/>
        <v/>
      </c>
      <c r="L72" s="73" t="str">
        <f t="shared" si="57"/>
        <v/>
      </c>
      <c r="M72" s="73" t="str">
        <f t="shared" si="57"/>
        <v/>
      </c>
      <c r="N72" s="73" t="str">
        <f t="shared" si="57"/>
        <v/>
      </c>
      <c r="O72" s="73" t="str">
        <f t="shared" si="57"/>
        <v/>
      </c>
      <c r="P72" s="73" t="str">
        <f t="shared" si="57"/>
        <v/>
      </c>
      <c r="Q72" s="73" t="str">
        <f t="shared" si="57"/>
        <v/>
      </c>
      <c r="R72" s="73" t="str">
        <f t="shared" si="57"/>
        <v/>
      </c>
      <c r="S72" s="73" t="str">
        <f t="shared" si="57"/>
        <v/>
      </c>
      <c r="T72" s="73" t="str">
        <f t="shared" si="57"/>
        <v/>
      </c>
      <c r="U72" s="73" t="str">
        <f t="shared" si="57"/>
        <v/>
      </c>
      <c r="V72" s="73" t="str">
        <f t="shared" si="57"/>
        <v/>
      </c>
      <c r="W72" s="73" t="str">
        <f t="shared" si="57"/>
        <v/>
      </c>
      <c r="X72" s="73" t="str">
        <f t="shared" si="57"/>
        <v/>
      </c>
      <c r="Y72" s="73" t="str">
        <f t="shared" si="57"/>
        <v/>
      </c>
      <c r="Z72" s="73" t="str">
        <f t="shared" si="57"/>
        <v/>
      </c>
      <c r="AA72" s="73" t="str">
        <f t="shared" si="57"/>
        <v/>
      </c>
      <c r="AB72" s="73" t="str">
        <f t="shared" si="57"/>
        <v/>
      </c>
      <c r="AC72" s="73" t="str">
        <f t="shared" si="57"/>
        <v/>
      </c>
      <c r="AD72" s="73" t="str">
        <f t="shared" si="57"/>
        <v/>
      </c>
      <c r="AE72" s="73" t="str">
        <f t="shared" si="57"/>
        <v/>
      </c>
      <c r="AF72" s="73" t="str">
        <f t="shared" si="57"/>
        <v/>
      </c>
      <c r="AG72" s="73" t="str">
        <f t="shared" si="57"/>
        <v/>
      </c>
      <c r="AH72" s="73" t="str">
        <f t="shared" si="57"/>
        <v/>
      </c>
      <c r="AI72" s="73" t="str">
        <f t="shared" si="57"/>
        <v/>
      </c>
      <c r="AJ72" s="73" t="str">
        <f t="shared" si="57"/>
        <v/>
      </c>
      <c r="AK72" s="73" t="str">
        <f t="shared" si="57"/>
        <v/>
      </c>
      <c r="AL72" s="73" t="str">
        <f t="shared" si="57"/>
        <v/>
      </c>
      <c r="AM72" s="73" t="str">
        <f t="shared" si="57"/>
        <v/>
      </c>
      <c r="AN72" s="73" t="str">
        <f t="shared" si="57"/>
        <v/>
      </c>
      <c r="AO72" s="73" t="str">
        <f t="shared" si="57"/>
        <v/>
      </c>
      <c r="AP72" s="73" t="str">
        <f t="shared" si="57"/>
        <v/>
      </c>
      <c r="AQ72" s="73" t="str">
        <f t="shared" si="57"/>
        <v/>
      </c>
      <c r="AR72" s="73" t="str">
        <f t="shared" si="57"/>
        <v/>
      </c>
      <c r="AS72" s="73" t="str">
        <f t="shared" si="57"/>
        <v/>
      </c>
      <c r="AT72" s="73" t="str">
        <f t="shared" si="57"/>
        <v/>
      </c>
      <c r="AU72" s="73" t="str">
        <f t="shared" si="57"/>
        <v/>
      </c>
      <c r="AV72" s="73" t="str">
        <f t="shared" si="57"/>
        <v/>
      </c>
      <c r="AW72" s="73" t="str">
        <f t="shared" si="57"/>
        <v/>
      </c>
      <c r="AX72" s="73" t="str">
        <f t="shared" si="57"/>
        <v/>
      </c>
      <c r="AY72" s="73" t="str">
        <f t="shared" si="57"/>
        <v/>
      </c>
      <c r="AZ72" s="73" t="str">
        <f t="shared" si="57"/>
        <v/>
      </c>
      <c r="BA72" s="73" t="str">
        <f t="shared" si="57"/>
        <v/>
      </c>
      <c r="BB72" s="73" t="str">
        <f t="shared" si="57"/>
        <v/>
      </c>
      <c r="BC72" s="73" t="str">
        <f t="shared" si="57"/>
        <v/>
      </c>
      <c r="BD72" s="73" t="str">
        <f t="shared" si="57"/>
        <v/>
      </c>
      <c r="BE72" s="73" t="str">
        <f t="shared" si="57"/>
        <v/>
      </c>
      <c r="BF72" s="73" t="str">
        <f t="shared" si="57"/>
        <v/>
      </c>
      <c r="BG72" s="73" t="str">
        <f t="shared" si="57"/>
        <v/>
      </c>
      <c r="BH72" s="73" t="str">
        <f t="shared" si="57"/>
        <v/>
      </c>
      <c r="BI72" s="73" t="str">
        <f t="shared" si="57"/>
        <v/>
      </c>
      <c r="BJ72" s="73" t="str">
        <f t="shared" si="57"/>
        <v/>
      </c>
      <c r="BK72" s="73" t="str">
        <f t="shared" si="57"/>
        <v/>
      </c>
      <c r="BL72" s="73" t="str">
        <f t="shared" si="57"/>
        <v/>
      </c>
      <c r="BM72" s="73" t="str">
        <f t="shared" si="57"/>
        <v/>
      </c>
      <c r="BN72" s="73" t="str">
        <f t="shared" si="57"/>
        <v/>
      </c>
      <c r="BO72" s="76" t="str">
        <f t="shared" si="57"/>
        <v/>
      </c>
      <c r="BP72" s="76" t="str">
        <f t="shared" si="57"/>
        <v/>
      </c>
      <c r="BQ72" s="76" t="str">
        <f t="shared" si="57"/>
        <v/>
      </c>
      <c r="BR72" s="76" t="str">
        <f t="shared" si="57"/>
        <v/>
      </c>
      <c r="BS72" s="76" t="str">
        <f t="shared" si="57"/>
        <v/>
      </c>
      <c r="BT72" s="76" t="str">
        <f t="shared" si="57"/>
        <v/>
      </c>
      <c r="BU72" s="76" t="str">
        <f t="shared" si="57"/>
        <v/>
      </c>
      <c r="BV72" s="76" t="str">
        <f t="shared" si="57"/>
        <v/>
      </c>
      <c r="BW72" s="76" t="str">
        <f t="shared" si="57"/>
        <v/>
      </c>
      <c r="BX72" s="76" t="str">
        <f t="shared" si="57"/>
        <v/>
      </c>
      <c r="BY72" s="76" t="str">
        <f t="shared" si="57"/>
        <v/>
      </c>
      <c r="BZ72" s="76" t="str">
        <f t="shared" si="57"/>
        <v/>
      </c>
      <c r="CA72" s="76" t="str">
        <f t="shared" si="57"/>
        <v/>
      </c>
      <c r="CB72" s="76" t="str">
        <f t="shared" si="57"/>
        <v/>
      </c>
      <c r="CC72" s="76" t="str">
        <f t="shared" si="57"/>
        <v/>
      </c>
      <c r="CD72" s="76" t="str">
        <f t="shared" si="57"/>
        <v/>
      </c>
      <c r="CE72" s="76" t="str">
        <f t="shared" si="57"/>
        <v/>
      </c>
      <c r="CF72" s="76" t="str">
        <f t="shared" si="57"/>
        <v/>
      </c>
      <c r="CG72" s="76" t="str">
        <f t="shared" si="57"/>
        <v/>
      </c>
      <c r="CH72" s="76" t="str">
        <f t="shared" si="57"/>
        <v/>
      </c>
      <c r="CI72" s="76" t="str">
        <f t="shared" si="57"/>
        <v/>
      </c>
      <c r="CJ72" s="76" t="str">
        <f t="shared" si="57"/>
        <v/>
      </c>
      <c r="CK72" s="76" t="str">
        <f t="shared" si="57"/>
        <v/>
      </c>
      <c r="CL72" s="76" t="str">
        <f t="shared" si="57"/>
        <v/>
      </c>
      <c r="CM72" s="76" t="str">
        <f t="shared" si="57"/>
        <v/>
      </c>
      <c r="CN72" s="76" t="str">
        <f t="shared" si="57"/>
        <v/>
      </c>
      <c r="CO72" s="76" t="str">
        <f t="shared" si="57"/>
        <v/>
      </c>
      <c r="CP72" s="76" t="str">
        <f t="shared" si="57"/>
        <v/>
      </c>
      <c r="CQ72" s="76" t="str">
        <f t="shared" si="57"/>
        <v/>
      </c>
      <c r="CR72" s="76" t="str">
        <f t="shared" si="57"/>
        <v/>
      </c>
      <c r="CS72" s="76" t="str">
        <f t="shared" si="57"/>
        <v/>
      </c>
      <c r="CT72" s="76" t="str">
        <f t="shared" si="57"/>
        <v/>
      </c>
      <c r="CU72" s="76" t="str">
        <f t="shared" si="57"/>
        <v/>
      </c>
      <c r="CV72" s="76" t="str">
        <f t="shared" si="57"/>
        <v/>
      </c>
      <c r="CW72" s="76" t="str">
        <f t="shared" si="57"/>
        <v/>
      </c>
      <c r="CX72" s="76" t="str">
        <f t="shared" si="57"/>
        <v/>
      </c>
      <c r="CY72" s="76" t="str">
        <f t="shared" si="57"/>
        <v/>
      </c>
      <c r="CZ72" s="76" t="str">
        <f t="shared" si="57"/>
        <v/>
      </c>
      <c r="DA72" s="76" t="str">
        <f t="shared" si="57"/>
        <v/>
      </c>
      <c r="DB72" s="76" t="str">
        <f t="shared" si="57"/>
        <v/>
      </c>
      <c r="DC72" s="76" t="str">
        <f t="shared" si="57"/>
        <v/>
      </c>
      <c r="DD72" s="76" t="str">
        <f t="shared" si="57"/>
        <v/>
      </c>
      <c r="DE72" s="76" t="str">
        <f t="shared" si="57"/>
        <v/>
      </c>
      <c r="DF72" s="76" t="str">
        <f t="shared" si="57"/>
        <v/>
      </c>
      <c r="DG72" s="76" t="str">
        <f t="shared" si="57"/>
        <v/>
      </c>
      <c r="DH72" s="76" t="str">
        <f t="shared" si="57"/>
        <v/>
      </c>
      <c r="DI72" s="76" t="str">
        <f t="shared" si="57"/>
        <v/>
      </c>
      <c r="DJ72" s="76" t="str">
        <f t="shared" si="57"/>
        <v/>
      </c>
      <c r="DK72" s="76" t="str">
        <f t="shared" si="57"/>
        <v/>
      </c>
      <c r="DL72" s="76" t="str">
        <f t="shared" si="57"/>
        <v/>
      </c>
      <c r="DM72" s="76" t="str">
        <f t="shared" si="57"/>
        <v/>
      </c>
      <c r="DN72" s="76" t="str">
        <f t="shared" si="57"/>
        <v/>
      </c>
      <c r="DO72" s="76" t="str">
        <f t="shared" si="57"/>
        <v/>
      </c>
      <c r="DP72" s="76" t="str">
        <f t="shared" si="57"/>
        <v/>
      </c>
      <c r="DQ72" s="76" t="str">
        <f t="shared" si="57"/>
        <v/>
      </c>
      <c r="DR72" s="76" t="str">
        <f t="shared" si="57"/>
        <v/>
      </c>
      <c r="DS72" s="76" t="str">
        <f t="shared" si="57"/>
        <v/>
      </c>
      <c r="DT72" s="76" t="str">
        <f t="shared" si="57"/>
        <v/>
      </c>
      <c r="DU72" s="76" t="str">
        <f t="shared" si="57"/>
        <v/>
      </c>
      <c r="DV72" s="76" t="str">
        <f t="shared" si="57"/>
        <v/>
      </c>
      <c r="DW72" s="76" t="str">
        <f t="shared" si="57"/>
        <v/>
      </c>
      <c r="DX72" s="76" t="str">
        <f t="shared" si="57"/>
        <v/>
      </c>
      <c r="DY72" s="76" t="str">
        <f t="shared" si="57"/>
        <v/>
      </c>
      <c r="DZ72" s="76" t="str">
        <f t="shared" si="57"/>
        <v/>
      </c>
      <c r="EA72" s="76" t="str">
        <f t="shared" si="57"/>
        <v/>
      </c>
      <c r="EB72" s="76" t="str">
        <f t="shared" si="57"/>
        <v/>
      </c>
      <c r="EC72" s="76" t="str">
        <f t="shared" si="57"/>
        <v/>
      </c>
      <c r="ED72" s="76" t="str">
        <f t="shared" si="57"/>
        <v/>
      </c>
      <c r="EE72" s="76" t="str">
        <f t="shared" si="57"/>
        <v/>
      </c>
      <c r="EF72" s="76" t="str">
        <f t="shared" si="57"/>
        <v/>
      </c>
      <c r="EG72" s="76" t="str">
        <f t="shared" si="57"/>
        <v/>
      </c>
      <c r="EH72" s="76" t="str">
        <f t="shared" si="57"/>
        <v/>
      </c>
      <c r="EI72" s="76" t="str">
        <f t="shared" si="57"/>
        <v/>
      </c>
      <c r="EJ72" s="76" t="str">
        <f t="shared" si="57"/>
        <v/>
      </c>
      <c r="EK72" s="76" t="str">
        <f t="shared" si="57"/>
        <v/>
      </c>
      <c r="EL72" s="76" t="str">
        <f t="shared" si="57"/>
        <v/>
      </c>
      <c r="EM72" s="76" t="str">
        <f t="shared" si="57"/>
        <v/>
      </c>
      <c r="EN72" s="76" t="str">
        <f t="shared" si="57"/>
        <v/>
      </c>
      <c r="EO72" s="76" t="str">
        <f t="shared" si="57"/>
        <v/>
      </c>
      <c r="EP72" s="76" t="str">
        <f t="shared" si="57"/>
        <v/>
      </c>
      <c r="EQ72" s="76" t="str">
        <f t="shared" si="57"/>
        <v/>
      </c>
      <c r="ER72" s="76" t="str">
        <f t="shared" si="57"/>
        <v/>
      </c>
      <c r="ES72" s="76" t="str">
        <f t="shared" si="57"/>
        <v/>
      </c>
    </row>
    <row r="73">
      <c r="A73" s="33"/>
      <c r="B73" s="58">
        <v>49.0</v>
      </c>
      <c r="C73" s="68"/>
      <c r="D73" s="68"/>
      <c r="E73" s="81"/>
      <c r="F73" s="81"/>
      <c r="G73" s="71"/>
      <c r="H73" s="72"/>
      <c r="I73" s="73" t="str">
        <f t="shared" ref="I73:ES73" si="58">IF(AND($E73&lt;=I$6,$F73&gt;=I$6),"X","")</f>
        <v/>
      </c>
      <c r="J73" s="73" t="str">
        <f t="shared" si="58"/>
        <v/>
      </c>
      <c r="K73" s="73" t="str">
        <f t="shared" si="58"/>
        <v/>
      </c>
      <c r="L73" s="73" t="str">
        <f t="shared" si="58"/>
        <v/>
      </c>
      <c r="M73" s="73" t="str">
        <f t="shared" si="58"/>
        <v/>
      </c>
      <c r="N73" s="73" t="str">
        <f t="shared" si="58"/>
        <v/>
      </c>
      <c r="O73" s="73" t="str">
        <f t="shared" si="58"/>
        <v/>
      </c>
      <c r="P73" s="73" t="str">
        <f t="shared" si="58"/>
        <v/>
      </c>
      <c r="Q73" s="73" t="str">
        <f t="shared" si="58"/>
        <v/>
      </c>
      <c r="R73" s="73" t="str">
        <f t="shared" si="58"/>
        <v/>
      </c>
      <c r="S73" s="73" t="str">
        <f t="shared" si="58"/>
        <v/>
      </c>
      <c r="T73" s="73" t="str">
        <f t="shared" si="58"/>
        <v/>
      </c>
      <c r="U73" s="73" t="str">
        <f t="shared" si="58"/>
        <v/>
      </c>
      <c r="V73" s="73" t="str">
        <f t="shared" si="58"/>
        <v/>
      </c>
      <c r="W73" s="73" t="str">
        <f t="shared" si="58"/>
        <v/>
      </c>
      <c r="X73" s="73" t="str">
        <f t="shared" si="58"/>
        <v/>
      </c>
      <c r="Y73" s="73" t="str">
        <f t="shared" si="58"/>
        <v/>
      </c>
      <c r="Z73" s="73" t="str">
        <f t="shared" si="58"/>
        <v/>
      </c>
      <c r="AA73" s="73" t="str">
        <f t="shared" si="58"/>
        <v/>
      </c>
      <c r="AB73" s="73" t="str">
        <f t="shared" si="58"/>
        <v/>
      </c>
      <c r="AC73" s="73" t="str">
        <f t="shared" si="58"/>
        <v/>
      </c>
      <c r="AD73" s="73" t="str">
        <f t="shared" si="58"/>
        <v/>
      </c>
      <c r="AE73" s="73" t="str">
        <f t="shared" si="58"/>
        <v/>
      </c>
      <c r="AF73" s="73" t="str">
        <f t="shared" si="58"/>
        <v/>
      </c>
      <c r="AG73" s="73" t="str">
        <f t="shared" si="58"/>
        <v/>
      </c>
      <c r="AH73" s="73" t="str">
        <f t="shared" si="58"/>
        <v/>
      </c>
      <c r="AI73" s="73" t="str">
        <f t="shared" si="58"/>
        <v/>
      </c>
      <c r="AJ73" s="73" t="str">
        <f t="shared" si="58"/>
        <v/>
      </c>
      <c r="AK73" s="73" t="str">
        <f t="shared" si="58"/>
        <v/>
      </c>
      <c r="AL73" s="73" t="str">
        <f t="shared" si="58"/>
        <v/>
      </c>
      <c r="AM73" s="73" t="str">
        <f t="shared" si="58"/>
        <v/>
      </c>
      <c r="AN73" s="73" t="str">
        <f t="shared" si="58"/>
        <v/>
      </c>
      <c r="AO73" s="73" t="str">
        <f t="shared" si="58"/>
        <v/>
      </c>
      <c r="AP73" s="73" t="str">
        <f t="shared" si="58"/>
        <v/>
      </c>
      <c r="AQ73" s="73" t="str">
        <f t="shared" si="58"/>
        <v/>
      </c>
      <c r="AR73" s="73" t="str">
        <f t="shared" si="58"/>
        <v/>
      </c>
      <c r="AS73" s="73" t="str">
        <f t="shared" si="58"/>
        <v/>
      </c>
      <c r="AT73" s="73" t="str">
        <f t="shared" si="58"/>
        <v/>
      </c>
      <c r="AU73" s="73" t="str">
        <f t="shared" si="58"/>
        <v/>
      </c>
      <c r="AV73" s="73" t="str">
        <f t="shared" si="58"/>
        <v/>
      </c>
      <c r="AW73" s="73" t="str">
        <f t="shared" si="58"/>
        <v/>
      </c>
      <c r="AX73" s="73" t="str">
        <f t="shared" si="58"/>
        <v/>
      </c>
      <c r="AY73" s="73" t="str">
        <f t="shared" si="58"/>
        <v/>
      </c>
      <c r="AZ73" s="73" t="str">
        <f t="shared" si="58"/>
        <v/>
      </c>
      <c r="BA73" s="73" t="str">
        <f t="shared" si="58"/>
        <v/>
      </c>
      <c r="BB73" s="73" t="str">
        <f t="shared" si="58"/>
        <v/>
      </c>
      <c r="BC73" s="73" t="str">
        <f t="shared" si="58"/>
        <v/>
      </c>
      <c r="BD73" s="73" t="str">
        <f t="shared" si="58"/>
        <v/>
      </c>
      <c r="BE73" s="73" t="str">
        <f t="shared" si="58"/>
        <v/>
      </c>
      <c r="BF73" s="73" t="str">
        <f t="shared" si="58"/>
        <v/>
      </c>
      <c r="BG73" s="73" t="str">
        <f t="shared" si="58"/>
        <v/>
      </c>
      <c r="BH73" s="73" t="str">
        <f t="shared" si="58"/>
        <v/>
      </c>
      <c r="BI73" s="73" t="str">
        <f t="shared" si="58"/>
        <v/>
      </c>
      <c r="BJ73" s="73" t="str">
        <f t="shared" si="58"/>
        <v/>
      </c>
      <c r="BK73" s="73" t="str">
        <f t="shared" si="58"/>
        <v/>
      </c>
      <c r="BL73" s="73" t="str">
        <f t="shared" si="58"/>
        <v/>
      </c>
      <c r="BM73" s="73" t="str">
        <f t="shared" si="58"/>
        <v/>
      </c>
      <c r="BN73" s="73" t="str">
        <f t="shared" si="58"/>
        <v/>
      </c>
      <c r="BO73" s="76" t="str">
        <f t="shared" si="58"/>
        <v/>
      </c>
      <c r="BP73" s="76" t="str">
        <f t="shared" si="58"/>
        <v/>
      </c>
      <c r="BQ73" s="76" t="str">
        <f t="shared" si="58"/>
        <v/>
      </c>
      <c r="BR73" s="76" t="str">
        <f t="shared" si="58"/>
        <v/>
      </c>
      <c r="BS73" s="76" t="str">
        <f t="shared" si="58"/>
        <v/>
      </c>
      <c r="BT73" s="76" t="str">
        <f t="shared" si="58"/>
        <v/>
      </c>
      <c r="BU73" s="76" t="str">
        <f t="shared" si="58"/>
        <v/>
      </c>
      <c r="BV73" s="76" t="str">
        <f t="shared" si="58"/>
        <v/>
      </c>
      <c r="BW73" s="76" t="str">
        <f t="shared" si="58"/>
        <v/>
      </c>
      <c r="BX73" s="76" t="str">
        <f t="shared" si="58"/>
        <v/>
      </c>
      <c r="BY73" s="76" t="str">
        <f t="shared" si="58"/>
        <v/>
      </c>
      <c r="BZ73" s="76" t="str">
        <f t="shared" si="58"/>
        <v/>
      </c>
      <c r="CA73" s="76" t="str">
        <f t="shared" si="58"/>
        <v/>
      </c>
      <c r="CB73" s="76" t="str">
        <f t="shared" si="58"/>
        <v/>
      </c>
      <c r="CC73" s="76" t="str">
        <f t="shared" si="58"/>
        <v/>
      </c>
      <c r="CD73" s="76" t="str">
        <f t="shared" si="58"/>
        <v/>
      </c>
      <c r="CE73" s="76" t="str">
        <f t="shared" si="58"/>
        <v/>
      </c>
      <c r="CF73" s="76" t="str">
        <f t="shared" si="58"/>
        <v/>
      </c>
      <c r="CG73" s="76" t="str">
        <f t="shared" si="58"/>
        <v/>
      </c>
      <c r="CH73" s="76" t="str">
        <f t="shared" si="58"/>
        <v/>
      </c>
      <c r="CI73" s="76" t="str">
        <f t="shared" si="58"/>
        <v/>
      </c>
      <c r="CJ73" s="76" t="str">
        <f t="shared" si="58"/>
        <v/>
      </c>
      <c r="CK73" s="76" t="str">
        <f t="shared" si="58"/>
        <v/>
      </c>
      <c r="CL73" s="76" t="str">
        <f t="shared" si="58"/>
        <v/>
      </c>
      <c r="CM73" s="76" t="str">
        <f t="shared" si="58"/>
        <v/>
      </c>
      <c r="CN73" s="76" t="str">
        <f t="shared" si="58"/>
        <v/>
      </c>
      <c r="CO73" s="76" t="str">
        <f t="shared" si="58"/>
        <v/>
      </c>
      <c r="CP73" s="76" t="str">
        <f t="shared" si="58"/>
        <v/>
      </c>
      <c r="CQ73" s="76" t="str">
        <f t="shared" si="58"/>
        <v/>
      </c>
      <c r="CR73" s="76" t="str">
        <f t="shared" si="58"/>
        <v/>
      </c>
      <c r="CS73" s="76" t="str">
        <f t="shared" si="58"/>
        <v/>
      </c>
      <c r="CT73" s="76" t="str">
        <f t="shared" si="58"/>
        <v/>
      </c>
      <c r="CU73" s="76" t="str">
        <f t="shared" si="58"/>
        <v/>
      </c>
      <c r="CV73" s="76" t="str">
        <f t="shared" si="58"/>
        <v/>
      </c>
      <c r="CW73" s="76" t="str">
        <f t="shared" si="58"/>
        <v/>
      </c>
      <c r="CX73" s="76" t="str">
        <f t="shared" si="58"/>
        <v/>
      </c>
      <c r="CY73" s="76" t="str">
        <f t="shared" si="58"/>
        <v/>
      </c>
      <c r="CZ73" s="76" t="str">
        <f t="shared" si="58"/>
        <v/>
      </c>
      <c r="DA73" s="76" t="str">
        <f t="shared" si="58"/>
        <v/>
      </c>
      <c r="DB73" s="76" t="str">
        <f t="shared" si="58"/>
        <v/>
      </c>
      <c r="DC73" s="76" t="str">
        <f t="shared" si="58"/>
        <v/>
      </c>
      <c r="DD73" s="76" t="str">
        <f t="shared" si="58"/>
        <v/>
      </c>
      <c r="DE73" s="76" t="str">
        <f t="shared" si="58"/>
        <v/>
      </c>
      <c r="DF73" s="76" t="str">
        <f t="shared" si="58"/>
        <v/>
      </c>
      <c r="DG73" s="76" t="str">
        <f t="shared" si="58"/>
        <v/>
      </c>
      <c r="DH73" s="76" t="str">
        <f t="shared" si="58"/>
        <v/>
      </c>
      <c r="DI73" s="76" t="str">
        <f t="shared" si="58"/>
        <v/>
      </c>
      <c r="DJ73" s="76" t="str">
        <f t="shared" si="58"/>
        <v/>
      </c>
      <c r="DK73" s="76" t="str">
        <f t="shared" si="58"/>
        <v/>
      </c>
      <c r="DL73" s="76" t="str">
        <f t="shared" si="58"/>
        <v/>
      </c>
      <c r="DM73" s="76" t="str">
        <f t="shared" si="58"/>
        <v/>
      </c>
      <c r="DN73" s="76" t="str">
        <f t="shared" si="58"/>
        <v/>
      </c>
      <c r="DO73" s="76" t="str">
        <f t="shared" si="58"/>
        <v/>
      </c>
      <c r="DP73" s="76" t="str">
        <f t="shared" si="58"/>
        <v/>
      </c>
      <c r="DQ73" s="76" t="str">
        <f t="shared" si="58"/>
        <v/>
      </c>
      <c r="DR73" s="76" t="str">
        <f t="shared" si="58"/>
        <v/>
      </c>
      <c r="DS73" s="76" t="str">
        <f t="shared" si="58"/>
        <v/>
      </c>
      <c r="DT73" s="76" t="str">
        <f t="shared" si="58"/>
        <v/>
      </c>
      <c r="DU73" s="76" t="str">
        <f t="shared" si="58"/>
        <v/>
      </c>
      <c r="DV73" s="76" t="str">
        <f t="shared" si="58"/>
        <v/>
      </c>
      <c r="DW73" s="76" t="str">
        <f t="shared" si="58"/>
        <v/>
      </c>
      <c r="DX73" s="76" t="str">
        <f t="shared" si="58"/>
        <v/>
      </c>
      <c r="DY73" s="76" t="str">
        <f t="shared" si="58"/>
        <v/>
      </c>
      <c r="DZ73" s="76" t="str">
        <f t="shared" si="58"/>
        <v/>
      </c>
      <c r="EA73" s="76" t="str">
        <f t="shared" si="58"/>
        <v/>
      </c>
      <c r="EB73" s="76" t="str">
        <f t="shared" si="58"/>
        <v/>
      </c>
      <c r="EC73" s="76" t="str">
        <f t="shared" si="58"/>
        <v/>
      </c>
      <c r="ED73" s="76" t="str">
        <f t="shared" si="58"/>
        <v/>
      </c>
      <c r="EE73" s="76" t="str">
        <f t="shared" si="58"/>
        <v/>
      </c>
      <c r="EF73" s="76" t="str">
        <f t="shared" si="58"/>
        <v/>
      </c>
      <c r="EG73" s="76" t="str">
        <f t="shared" si="58"/>
        <v/>
      </c>
      <c r="EH73" s="76" t="str">
        <f t="shared" si="58"/>
        <v/>
      </c>
      <c r="EI73" s="76" t="str">
        <f t="shared" si="58"/>
        <v/>
      </c>
      <c r="EJ73" s="76" t="str">
        <f t="shared" si="58"/>
        <v/>
      </c>
      <c r="EK73" s="76" t="str">
        <f t="shared" si="58"/>
        <v/>
      </c>
      <c r="EL73" s="76" t="str">
        <f t="shared" si="58"/>
        <v/>
      </c>
      <c r="EM73" s="76" t="str">
        <f t="shared" si="58"/>
        <v/>
      </c>
      <c r="EN73" s="76" t="str">
        <f t="shared" si="58"/>
        <v/>
      </c>
      <c r="EO73" s="76" t="str">
        <f t="shared" si="58"/>
        <v/>
      </c>
      <c r="EP73" s="76" t="str">
        <f t="shared" si="58"/>
        <v/>
      </c>
      <c r="EQ73" s="76" t="str">
        <f t="shared" si="58"/>
        <v/>
      </c>
      <c r="ER73" s="76" t="str">
        <f t="shared" si="58"/>
        <v/>
      </c>
      <c r="ES73" s="76" t="str">
        <f t="shared" si="58"/>
        <v/>
      </c>
    </row>
    <row r="74">
      <c r="A74" s="33"/>
      <c r="B74" s="58">
        <v>50.0</v>
      </c>
      <c r="C74" s="68"/>
      <c r="D74" s="68"/>
      <c r="E74" s="81"/>
      <c r="F74" s="81"/>
      <c r="G74" s="71"/>
      <c r="H74" s="72"/>
      <c r="I74" s="73" t="str">
        <f t="shared" ref="I74:ES74" si="59">IF(AND($E74&lt;=I$6,$F74&gt;=I$6),"X","")</f>
        <v/>
      </c>
      <c r="J74" s="73" t="str">
        <f t="shared" si="59"/>
        <v/>
      </c>
      <c r="K74" s="73" t="str">
        <f t="shared" si="59"/>
        <v/>
      </c>
      <c r="L74" s="73" t="str">
        <f t="shared" si="59"/>
        <v/>
      </c>
      <c r="M74" s="73" t="str">
        <f t="shared" si="59"/>
        <v/>
      </c>
      <c r="N74" s="73" t="str">
        <f t="shared" si="59"/>
        <v/>
      </c>
      <c r="O74" s="73" t="str">
        <f t="shared" si="59"/>
        <v/>
      </c>
      <c r="P74" s="73" t="str">
        <f t="shared" si="59"/>
        <v/>
      </c>
      <c r="Q74" s="73" t="str">
        <f t="shared" si="59"/>
        <v/>
      </c>
      <c r="R74" s="73" t="str">
        <f t="shared" si="59"/>
        <v/>
      </c>
      <c r="S74" s="73" t="str">
        <f t="shared" si="59"/>
        <v/>
      </c>
      <c r="T74" s="73" t="str">
        <f t="shared" si="59"/>
        <v/>
      </c>
      <c r="U74" s="73" t="str">
        <f t="shared" si="59"/>
        <v/>
      </c>
      <c r="V74" s="73" t="str">
        <f t="shared" si="59"/>
        <v/>
      </c>
      <c r="W74" s="73" t="str">
        <f t="shared" si="59"/>
        <v/>
      </c>
      <c r="X74" s="73" t="str">
        <f t="shared" si="59"/>
        <v/>
      </c>
      <c r="Y74" s="73" t="str">
        <f t="shared" si="59"/>
        <v/>
      </c>
      <c r="Z74" s="73" t="str">
        <f t="shared" si="59"/>
        <v/>
      </c>
      <c r="AA74" s="73" t="str">
        <f t="shared" si="59"/>
        <v/>
      </c>
      <c r="AB74" s="73" t="str">
        <f t="shared" si="59"/>
        <v/>
      </c>
      <c r="AC74" s="73" t="str">
        <f t="shared" si="59"/>
        <v/>
      </c>
      <c r="AD74" s="73" t="str">
        <f t="shared" si="59"/>
        <v/>
      </c>
      <c r="AE74" s="73" t="str">
        <f t="shared" si="59"/>
        <v/>
      </c>
      <c r="AF74" s="73" t="str">
        <f t="shared" si="59"/>
        <v/>
      </c>
      <c r="AG74" s="73" t="str">
        <f t="shared" si="59"/>
        <v/>
      </c>
      <c r="AH74" s="73" t="str">
        <f t="shared" si="59"/>
        <v/>
      </c>
      <c r="AI74" s="73" t="str">
        <f t="shared" si="59"/>
        <v/>
      </c>
      <c r="AJ74" s="73" t="str">
        <f t="shared" si="59"/>
        <v/>
      </c>
      <c r="AK74" s="73" t="str">
        <f t="shared" si="59"/>
        <v/>
      </c>
      <c r="AL74" s="73" t="str">
        <f t="shared" si="59"/>
        <v/>
      </c>
      <c r="AM74" s="73" t="str">
        <f t="shared" si="59"/>
        <v/>
      </c>
      <c r="AN74" s="73" t="str">
        <f t="shared" si="59"/>
        <v/>
      </c>
      <c r="AO74" s="73" t="str">
        <f t="shared" si="59"/>
        <v/>
      </c>
      <c r="AP74" s="73" t="str">
        <f t="shared" si="59"/>
        <v/>
      </c>
      <c r="AQ74" s="73" t="str">
        <f t="shared" si="59"/>
        <v/>
      </c>
      <c r="AR74" s="73" t="str">
        <f t="shared" si="59"/>
        <v/>
      </c>
      <c r="AS74" s="73" t="str">
        <f t="shared" si="59"/>
        <v/>
      </c>
      <c r="AT74" s="73" t="str">
        <f t="shared" si="59"/>
        <v/>
      </c>
      <c r="AU74" s="73" t="str">
        <f t="shared" si="59"/>
        <v/>
      </c>
      <c r="AV74" s="73" t="str">
        <f t="shared" si="59"/>
        <v/>
      </c>
      <c r="AW74" s="73" t="str">
        <f t="shared" si="59"/>
        <v/>
      </c>
      <c r="AX74" s="73" t="str">
        <f t="shared" si="59"/>
        <v/>
      </c>
      <c r="AY74" s="73" t="str">
        <f t="shared" si="59"/>
        <v/>
      </c>
      <c r="AZ74" s="73" t="str">
        <f t="shared" si="59"/>
        <v/>
      </c>
      <c r="BA74" s="73" t="str">
        <f t="shared" si="59"/>
        <v/>
      </c>
      <c r="BB74" s="73" t="str">
        <f t="shared" si="59"/>
        <v/>
      </c>
      <c r="BC74" s="73" t="str">
        <f t="shared" si="59"/>
        <v/>
      </c>
      <c r="BD74" s="73" t="str">
        <f t="shared" si="59"/>
        <v/>
      </c>
      <c r="BE74" s="73" t="str">
        <f t="shared" si="59"/>
        <v/>
      </c>
      <c r="BF74" s="73" t="str">
        <f t="shared" si="59"/>
        <v/>
      </c>
      <c r="BG74" s="73" t="str">
        <f t="shared" si="59"/>
        <v/>
      </c>
      <c r="BH74" s="73" t="str">
        <f t="shared" si="59"/>
        <v/>
      </c>
      <c r="BI74" s="73" t="str">
        <f t="shared" si="59"/>
        <v/>
      </c>
      <c r="BJ74" s="73" t="str">
        <f t="shared" si="59"/>
        <v/>
      </c>
      <c r="BK74" s="73" t="str">
        <f t="shared" si="59"/>
        <v/>
      </c>
      <c r="BL74" s="73" t="str">
        <f t="shared" si="59"/>
        <v/>
      </c>
      <c r="BM74" s="73" t="str">
        <f t="shared" si="59"/>
        <v/>
      </c>
      <c r="BN74" s="73" t="str">
        <f t="shared" si="59"/>
        <v/>
      </c>
      <c r="BO74" s="76" t="str">
        <f t="shared" si="59"/>
        <v/>
      </c>
      <c r="BP74" s="76" t="str">
        <f t="shared" si="59"/>
        <v/>
      </c>
      <c r="BQ74" s="76" t="str">
        <f t="shared" si="59"/>
        <v/>
      </c>
      <c r="BR74" s="76" t="str">
        <f t="shared" si="59"/>
        <v/>
      </c>
      <c r="BS74" s="76" t="str">
        <f t="shared" si="59"/>
        <v/>
      </c>
      <c r="BT74" s="76" t="str">
        <f t="shared" si="59"/>
        <v/>
      </c>
      <c r="BU74" s="76" t="str">
        <f t="shared" si="59"/>
        <v/>
      </c>
      <c r="BV74" s="76" t="str">
        <f t="shared" si="59"/>
        <v/>
      </c>
      <c r="BW74" s="76" t="str">
        <f t="shared" si="59"/>
        <v/>
      </c>
      <c r="BX74" s="76" t="str">
        <f t="shared" si="59"/>
        <v/>
      </c>
      <c r="BY74" s="76" t="str">
        <f t="shared" si="59"/>
        <v/>
      </c>
      <c r="BZ74" s="76" t="str">
        <f t="shared" si="59"/>
        <v/>
      </c>
      <c r="CA74" s="76" t="str">
        <f t="shared" si="59"/>
        <v/>
      </c>
      <c r="CB74" s="76" t="str">
        <f t="shared" si="59"/>
        <v/>
      </c>
      <c r="CC74" s="76" t="str">
        <f t="shared" si="59"/>
        <v/>
      </c>
      <c r="CD74" s="76" t="str">
        <f t="shared" si="59"/>
        <v/>
      </c>
      <c r="CE74" s="76" t="str">
        <f t="shared" si="59"/>
        <v/>
      </c>
      <c r="CF74" s="76" t="str">
        <f t="shared" si="59"/>
        <v/>
      </c>
      <c r="CG74" s="76" t="str">
        <f t="shared" si="59"/>
        <v/>
      </c>
      <c r="CH74" s="76" t="str">
        <f t="shared" si="59"/>
        <v/>
      </c>
      <c r="CI74" s="76" t="str">
        <f t="shared" si="59"/>
        <v/>
      </c>
      <c r="CJ74" s="76" t="str">
        <f t="shared" si="59"/>
        <v/>
      </c>
      <c r="CK74" s="76" t="str">
        <f t="shared" si="59"/>
        <v/>
      </c>
      <c r="CL74" s="76" t="str">
        <f t="shared" si="59"/>
        <v/>
      </c>
      <c r="CM74" s="76" t="str">
        <f t="shared" si="59"/>
        <v/>
      </c>
      <c r="CN74" s="76" t="str">
        <f t="shared" si="59"/>
        <v/>
      </c>
      <c r="CO74" s="76" t="str">
        <f t="shared" si="59"/>
        <v/>
      </c>
      <c r="CP74" s="76" t="str">
        <f t="shared" si="59"/>
        <v/>
      </c>
      <c r="CQ74" s="76" t="str">
        <f t="shared" si="59"/>
        <v/>
      </c>
      <c r="CR74" s="76" t="str">
        <f t="shared" si="59"/>
        <v/>
      </c>
      <c r="CS74" s="76" t="str">
        <f t="shared" si="59"/>
        <v/>
      </c>
      <c r="CT74" s="76" t="str">
        <f t="shared" si="59"/>
        <v/>
      </c>
      <c r="CU74" s="76" t="str">
        <f t="shared" si="59"/>
        <v/>
      </c>
      <c r="CV74" s="76" t="str">
        <f t="shared" si="59"/>
        <v/>
      </c>
      <c r="CW74" s="76" t="str">
        <f t="shared" si="59"/>
        <v/>
      </c>
      <c r="CX74" s="76" t="str">
        <f t="shared" si="59"/>
        <v/>
      </c>
      <c r="CY74" s="76" t="str">
        <f t="shared" si="59"/>
        <v/>
      </c>
      <c r="CZ74" s="76" t="str">
        <f t="shared" si="59"/>
        <v/>
      </c>
      <c r="DA74" s="76" t="str">
        <f t="shared" si="59"/>
        <v/>
      </c>
      <c r="DB74" s="76" t="str">
        <f t="shared" si="59"/>
        <v/>
      </c>
      <c r="DC74" s="76" t="str">
        <f t="shared" si="59"/>
        <v/>
      </c>
      <c r="DD74" s="76" t="str">
        <f t="shared" si="59"/>
        <v/>
      </c>
      <c r="DE74" s="76" t="str">
        <f t="shared" si="59"/>
        <v/>
      </c>
      <c r="DF74" s="76" t="str">
        <f t="shared" si="59"/>
        <v/>
      </c>
      <c r="DG74" s="76" t="str">
        <f t="shared" si="59"/>
        <v/>
      </c>
      <c r="DH74" s="76" t="str">
        <f t="shared" si="59"/>
        <v/>
      </c>
      <c r="DI74" s="76" t="str">
        <f t="shared" si="59"/>
        <v/>
      </c>
      <c r="DJ74" s="76" t="str">
        <f t="shared" si="59"/>
        <v/>
      </c>
      <c r="DK74" s="76" t="str">
        <f t="shared" si="59"/>
        <v/>
      </c>
      <c r="DL74" s="76" t="str">
        <f t="shared" si="59"/>
        <v/>
      </c>
      <c r="DM74" s="76" t="str">
        <f t="shared" si="59"/>
        <v/>
      </c>
      <c r="DN74" s="76" t="str">
        <f t="shared" si="59"/>
        <v/>
      </c>
      <c r="DO74" s="76" t="str">
        <f t="shared" si="59"/>
        <v/>
      </c>
      <c r="DP74" s="76" t="str">
        <f t="shared" si="59"/>
        <v/>
      </c>
      <c r="DQ74" s="76" t="str">
        <f t="shared" si="59"/>
        <v/>
      </c>
      <c r="DR74" s="76" t="str">
        <f t="shared" si="59"/>
        <v/>
      </c>
      <c r="DS74" s="76" t="str">
        <f t="shared" si="59"/>
        <v/>
      </c>
      <c r="DT74" s="76" t="str">
        <f t="shared" si="59"/>
        <v/>
      </c>
      <c r="DU74" s="76" t="str">
        <f t="shared" si="59"/>
        <v/>
      </c>
      <c r="DV74" s="76" t="str">
        <f t="shared" si="59"/>
        <v/>
      </c>
      <c r="DW74" s="76" t="str">
        <f t="shared" si="59"/>
        <v/>
      </c>
      <c r="DX74" s="76" t="str">
        <f t="shared" si="59"/>
        <v/>
      </c>
      <c r="DY74" s="76" t="str">
        <f t="shared" si="59"/>
        <v/>
      </c>
      <c r="DZ74" s="76" t="str">
        <f t="shared" si="59"/>
        <v/>
      </c>
      <c r="EA74" s="76" t="str">
        <f t="shared" si="59"/>
        <v/>
      </c>
      <c r="EB74" s="76" t="str">
        <f t="shared" si="59"/>
        <v/>
      </c>
      <c r="EC74" s="76" t="str">
        <f t="shared" si="59"/>
        <v/>
      </c>
      <c r="ED74" s="76" t="str">
        <f t="shared" si="59"/>
        <v/>
      </c>
      <c r="EE74" s="76" t="str">
        <f t="shared" si="59"/>
        <v/>
      </c>
      <c r="EF74" s="76" t="str">
        <f t="shared" si="59"/>
        <v/>
      </c>
      <c r="EG74" s="76" t="str">
        <f t="shared" si="59"/>
        <v/>
      </c>
      <c r="EH74" s="76" t="str">
        <f t="shared" si="59"/>
        <v/>
      </c>
      <c r="EI74" s="76" t="str">
        <f t="shared" si="59"/>
        <v/>
      </c>
      <c r="EJ74" s="76" t="str">
        <f t="shared" si="59"/>
        <v/>
      </c>
      <c r="EK74" s="76" t="str">
        <f t="shared" si="59"/>
        <v/>
      </c>
      <c r="EL74" s="76" t="str">
        <f t="shared" si="59"/>
        <v/>
      </c>
      <c r="EM74" s="76" t="str">
        <f t="shared" si="59"/>
        <v/>
      </c>
      <c r="EN74" s="76" t="str">
        <f t="shared" si="59"/>
        <v/>
      </c>
      <c r="EO74" s="76" t="str">
        <f t="shared" si="59"/>
        <v/>
      </c>
      <c r="EP74" s="76" t="str">
        <f t="shared" si="59"/>
        <v/>
      </c>
      <c r="EQ74" s="76" t="str">
        <f t="shared" si="59"/>
        <v/>
      </c>
      <c r="ER74" s="76" t="str">
        <f t="shared" si="59"/>
        <v/>
      </c>
      <c r="ES74" s="76" t="str">
        <f t="shared" si="59"/>
        <v/>
      </c>
    </row>
    <row r="75">
      <c r="A75" s="33"/>
      <c r="B75" s="58">
        <v>51.0</v>
      </c>
      <c r="C75" s="68"/>
      <c r="D75" s="68"/>
      <c r="E75" s="81"/>
      <c r="F75" s="81"/>
      <c r="G75" s="71"/>
      <c r="H75" s="72"/>
      <c r="I75" s="73" t="str">
        <f t="shared" ref="I75:ES75" si="60">IF(AND($E75&lt;=I$6,$F75&gt;=I$6),"X","")</f>
        <v/>
      </c>
      <c r="J75" s="73" t="str">
        <f t="shared" si="60"/>
        <v/>
      </c>
      <c r="K75" s="73" t="str">
        <f t="shared" si="60"/>
        <v/>
      </c>
      <c r="L75" s="73" t="str">
        <f t="shared" si="60"/>
        <v/>
      </c>
      <c r="M75" s="73" t="str">
        <f t="shared" si="60"/>
        <v/>
      </c>
      <c r="N75" s="73" t="str">
        <f t="shared" si="60"/>
        <v/>
      </c>
      <c r="O75" s="73" t="str">
        <f t="shared" si="60"/>
        <v/>
      </c>
      <c r="P75" s="73" t="str">
        <f t="shared" si="60"/>
        <v/>
      </c>
      <c r="Q75" s="73" t="str">
        <f t="shared" si="60"/>
        <v/>
      </c>
      <c r="R75" s="73" t="str">
        <f t="shared" si="60"/>
        <v/>
      </c>
      <c r="S75" s="73" t="str">
        <f t="shared" si="60"/>
        <v/>
      </c>
      <c r="T75" s="73" t="str">
        <f t="shared" si="60"/>
        <v/>
      </c>
      <c r="U75" s="73" t="str">
        <f t="shared" si="60"/>
        <v/>
      </c>
      <c r="V75" s="73" t="str">
        <f t="shared" si="60"/>
        <v/>
      </c>
      <c r="W75" s="73" t="str">
        <f t="shared" si="60"/>
        <v/>
      </c>
      <c r="X75" s="73" t="str">
        <f t="shared" si="60"/>
        <v/>
      </c>
      <c r="Y75" s="73" t="str">
        <f t="shared" si="60"/>
        <v/>
      </c>
      <c r="Z75" s="73" t="str">
        <f t="shared" si="60"/>
        <v/>
      </c>
      <c r="AA75" s="73" t="str">
        <f t="shared" si="60"/>
        <v/>
      </c>
      <c r="AB75" s="73" t="str">
        <f t="shared" si="60"/>
        <v/>
      </c>
      <c r="AC75" s="73" t="str">
        <f t="shared" si="60"/>
        <v/>
      </c>
      <c r="AD75" s="73" t="str">
        <f t="shared" si="60"/>
        <v/>
      </c>
      <c r="AE75" s="73" t="str">
        <f t="shared" si="60"/>
        <v/>
      </c>
      <c r="AF75" s="73" t="str">
        <f t="shared" si="60"/>
        <v/>
      </c>
      <c r="AG75" s="73" t="str">
        <f t="shared" si="60"/>
        <v/>
      </c>
      <c r="AH75" s="73" t="str">
        <f t="shared" si="60"/>
        <v/>
      </c>
      <c r="AI75" s="73" t="str">
        <f t="shared" si="60"/>
        <v/>
      </c>
      <c r="AJ75" s="73" t="str">
        <f t="shared" si="60"/>
        <v/>
      </c>
      <c r="AK75" s="73" t="str">
        <f t="shared" si="60"/>
        <v/>
      </c>
      <c r="AL75" s="73" t="str">
        <f t="shared" si="60"/>
        <v/>
      </c>
      <c r="AM75" s="73" t="str">
        <f t="shared" si="60"/>
        <v/>
      </c>
      <c r="AN75" s="73" t="str">
        <f t="shared" si="60"/>
        <v/>
      </c>
      <c r="AO75" s="73" t="str">
        <f t="shared" si="60"/>
        <v/>
      </c>
      <c r="AP75" s="73" t="str">
        <f t="shared" si="60"/>
        <v/>
      </c>
      <c r="AQ75" s="73" t="str">
        <f t="shared" si="60"/>
        <v/>
      </c>
      <c r="AR75" s="73" t="str">
        <f t="shared" si="60"/>
        <v/>
      </c>
      <c r="AS75" s="73" t="str">
        <f t="shared" si="60"/>
        <v/>
      </c>
      <c r="AT75" s="73" t="str">
        <f t="shared" si="60"/>
        <v/>
      </c>
      <c r="AU75" s="73" t="str">
        <f t="shared" si="60"/>
        <v/>
      </c>
      <c r="AV75" s="73" t="str">
        <f t="shared" si="60"/>
        <v/>
      </c>
      <c r="AW75" s="73" t="str">
        <f t="shared" si="60"/>
        <v/>
      </c>
      <c r="AX75" s="73" t="str">
        <f t="shared" si="60"/>
        <v/>
      </c>
      <c r="AY75" s="73" t="str">
        <f t="shared" si="60"/>
        <v/>
      </c>
      <c r="AZ75" s="73" t="str">
        <f t="shared" si="60"/>
        <v/>
      </c>
      <c r="BA75" s="73" t="str">
        <f t="shared" si="60"/>
        <v/>
      </c>
      <c r="BB75" s="73" t="str">
        <f t="shared" si="60"/>
        <v/>
      </c>
      <c r="BC75" s="73" t="str">
        <f t="shared" si="60"/>
        <v/>
      </c>
      <c r="BD75" s="73" t="str">
        <f t="shared" si="60"/>
        <v/>
      </c>
      <c r="BE75" s="73" t="str">
        <f t="shared" si="60"/>
        <v/>
      </c>
      <c r="BF75" s="73" t="str">
        <f t="shared" si="60"/>
        <v/>
      </c>
      <c r="BG75" s="73" t="str">
        <f t="shared" si="60"/>
        <v/>
      </c>
      <c r="BH75" s="73" t="str">
        <f t="shared" si="60"/>
        <v/>
      </c>
      <c r="BI75" s="73" t="str">
        <f t="shared" si="60"/>
        <v/>
      </c>
      <c r="BJ75" s="73" t="str">
        <f t="shared" si="60"/>
        <v/>
      </c>
      <c r="BK75" s="73" t="str">
        <f t="shared" si="60"/>
        <v/>
      </c>
      <c r="BL75" s="73" t="str">
        <f t="shared" si="60"/>
        <v/>
      </c>
      <c r="BM75" s="73" t="str">
        <f t="shared" si="60"/>
        <v/>
      </c>
      <c r="BN75" s="73" t="str">
        <f t="shared" si="60"/>
        <v/>
      </c>
      <c r="BO75" s="76" t="str">
        <f t="shared" si="60"/>
        <v/>
      </c>
      <c r="BP75" s="76" t="str">
        <f t="shared" si="60"/>
        <v/>
      </c>
      <c r="BQ75" s="76" t="str">
        <f t="shared" si="60"/>
        <v/>
      </c>
      <c r="BR75" s="76" t="str">
        <f t="shared" si="60"/>
        <v/>
      </c>
      <c r="BS75" s="76" t="str">
        <f t="shared" si="60"/>
        <v/>
      </c>
      <c r="BT75" s="76" t="str">
        <f t="shared" si="60"/>
        <v/>
      </c>
      <c r="BU75" s="76" t="str">
        <f t="shared" si="60"/>
        <v/>
      </c>
      <c r="BV75" s="76" t="str">
        <f t="shared" si="60"/>
        <v/>
      </c>
      <c r="BW75" s="76" t="str">
        <f t="shared" si="60"/>
        <v/>
      </c>
      <c r="BX75" s="76" t="str">
        <f t="shared" si="60"/>
        <v/>
      </c>
      <c r="BY75" s="76" t="str">
        <f t="shared" si="60"/>
        <v/>
      </c>
      <c r="BZ75" s="76" t="str">
        <f t="shared" si="60"/>
        <v/>
      </c>
      <c r="CA75" s="76" t="str">
        <f t="shared" si="60"/>
        <v/>
      </c>
      <c r="CB75" s="76" t="str">
        <f t="shared" si="60"/>
        <v/>
      </c>
      <c r="CC75" s="76" t="str">
        <f t="shared" si="60"/>
        <v/>
      </c>
      <c r="CD75" s="76" t="str">
        <f t="shared" si="60"/>
        <v/>
      </c>
      <c r="CE75" s="76" t="str">
        <f t="shared" si="60"/>
        <v/>
      </c>
      <c r="CF75" s="76" t="str">
        <f t="shared" si="60"/>
        <v/>
      </c>
      <c r="CG75" s="76" t="str">
        <f t="shared" si="60"/>
        <v/>
      </c>
      <c r="CH75" s="76" t="str">
        <f t="shared" si="60"/>
        <v/>
      </c>
      <c r="CI75" s="76" t="str">
        <f t="shared" si="60"/>
        <v/>
      </c>
      <c r="CJ75" s="76" t="str">
        <f t="shared" si="60"/>
        <v/>
      </c>
      <c r="CK75" s="76" t="str">
        <f t="shared" si="60"/>
        <v/>
      </c>
      <c r="CL75" s="76" t="str">
        <f t="shared" si="60"/>
        <v/>
      </c>
      <c r="CM75" s="76" t="str">
        <f t="shared" si="60"/>
        <v/>
      </c>
      <c r="CN75" s="76" t="str">
        <f t="shared" si="60"/>
        <v/>
      </c>
      <c r="CO75" s="76" t="str">
        <f t="shared" si="60"/>
        <v/>
      </c>
      <c r="CP75" s="76" t="str">
        <f t="shared" si="60"/>
        <v/>
      </c>
      <c r="CQ75" s="76" t="str">
        <f t="shared" si="60"/>
        <v/>
      </c>
      <c r="CR75" s="76" t="str">
        <f t="shared" si="60"/>
        <v/>
      </c>
      <c r="CS75" s="76" t="str">
        <f t="shared" si="60"/>
        <v/>
      </c>
      <c r="CT75" s="76" t="str">
        <f t="shared" si="60"/>
        <v/>
      </c>
      <c r="CU75" s="76" t="str">
        <f t="shared" si="60"/>
        <v/>
      </c>
      <c r="CV75" s="76" t="str">
        <f t="shared" si="60"/>
        <v/>
      </c>
      <c r="CW75" s="76" t="str">
        <f t="shared" si="60"/>
        <v/>
      </c>
      <c r="CX75" s="76" t="str">
        <f t="shared" si="60"/>
        <v/>
      </c>
      <c r="CY75" s="76" t="str">
        <f t="shared" si="60"/>
        <v/>
      </c>
      <c r="CZ75" s="76" t="str">
        <f t="shared" si="60"/>
        <v/>
      </c>
      <c r="DA75" s="76" t="str">
        <f t="shared" si="60"/>
        <v/>
      </c>
      <c r="DB75" s="76" t="str">
        <f t="shared" si="60"/>
        <v/>
      </c>
      <c r="DC75" s="76" t="str">
        <f t="shared" si="60"/>
        <v/>
      </c>
      <c r="DD75" s="76" t="str">
        <f t="shared" si="60"/>
        <v/>
      </c>
      <c r="DE75" s="76" t="str">
        <f t="shared" si="60"/>
        <v/>
      </c>
      <c r="DF75" s="76" t="str">
        <f t="shared" si="60"/>
        <v/>
      </c>
      <c r="DG75" s="76" t="str">
        <f t="shared" si="60"/>
        <v/>
      </c>
      <c r="DH75" s="76" t="str">
        <f t="shared" si="60"/>
        <v/>
      </c>
      <c r="DI75" s="76" t="str">
        <f t="shared" si="60"/>
        <v/>
      </c>
      <c r="DJ75" s="76" t="str">
        <f t="shared" si="60"/>
        <v/>
      </c>
      <c r="DK75" s="76" t="str">
        <f t="shared" si="60"/>
        <v/>
      </c>
      <c r="DL75" s="76" t="str">
        <f t="shared" si="60"/>
        <v/>
      </c>
      <c r="DM75" s="76" t="str">
        <f t="shared" si="60"/>
        <v/>
      </c>
      <c r="DN75" s="76" t="str">
        <f t="shared" si="60"/>
        <v/>
      </c>
      <c r="DO75" s="76" t="str">
        <f t="shared" si="60"/>
        <v/>
      </c>
      <c r="DP75" s="76" t="str">
        <f t="shared" si="60"/>
        <v/>
      </c>
      <c r="DQ75" s="76" t="str">
        <f t="shared" si="60"/>
        <v/>
      </c>
      <c r="DR75" s="76" t="str">
        <f t="shared" si="60"/>
        <v/>
      </c>
      <c r="DS75" s="76" t="str">
        <f t="shared" si="60"/>
        <v/>
      </c>
      <c r="DT75" s="76" t="str">
        <f t="shared" si="60"/>
        <v/>
      </c>
      <c r="DU75" s="76" t="str">
        <f t="shared" si="60"/>
        <v/>
      </c>
      <c r="DV75" s="76" t="str">
        <f t="shared" si="60"/>
        <v/>
      </c>
      <c r="DW75" s="76" t="str">
        <f t="shared" si="60"/>
        <v/>
      </c>
      <c r="DX75" s="76" t="str">
        <f t="shared" si="60"/>
        <v/>
      </c>
      <c r="DY75" s="76" t="str">
        <f t="shared" si="60"/>
        <v/>
      </c>
      <c r="DZ75" s="76" t="str">
        <f t="shared" si="60"/>
        <v/>
      </c>
      <c r="EA75" s="76" t="str">
        <f t="shared" si="60"/>
        <v/>
      </c>
      <c r="EB75" s="76" t="str">
        <f t="shared" si="60"/>
        <v/>
      </c>
      <c r="EC75" s="76" t="str">
        <f t="shared" si="60"/>
        <v/>
      </c>
      <c r="ED75" s="76" t="str">
        <f t="shared" si="60"/>
        <v/>
      </c>
      <c r="EE75" s="76" t="str">
        <f t="shared" si="60"/>
        <v/>
      </c>
      <c r="EF75" s="76" t="str">
        <f t="shared" si="60"/>
        <v/>
      </c>
      <c r="EG75" s="76" t="str">
        <f t="shared" si="60"/>
        <v/>
      </c>
      <c r="EH75" s="76" t="str">
        <f t="shared" si="60"/>
        <v/>
      </c>
      <c r="EI75" s="76" t="str">
        <f t="shared" si="60"/>
        <v/>
      </c>
      <c r="EJ75" s="76" t="str">
        <f t="shared" si="60"/>
        <v/>
      </c>
      <c r="EK75" s="76" t="str">
        <f t="shared" si="60"/>
        <v/>
      </c>
      <c r="EL75" s="76" t="str">
        <f t="shared" si="60"/>
        <v/>
      </c>
      <c r="EM75" s="76" t="str">
        <f t="shared" si="60"/>
        <v/>
      </c>
      <c r="EN75" s="76" t="str">
        <f t="shared" si="60"/>
        <v/>
      </c>
      <c r="EO75" s="76" t="str">
        <f t="shared" si="60"/>
        <v/>
      </c>
      <c r="EP75" s="76" t="str">
        <f t="shared" si="60"/>
        <v/>
      </c>
      <c r="EQ75" s="76" t="str">
        <f t="shared" si="60"/>
        <v/>
      </c>
      <c r="ER75" s="76" t="str">
        <f t="shared" si="60"/>
        <v/>
      </c>
      <c r="ES75" s="76" t="str">
        <f t="shared" si="60"/>
        <v/>
      </c>
    </row>
    <row r="76">
      <c r="A76" s="33"/>
      <c r="B76" s="58">
        <v>52.0</v>
      </c>
      <c r="C76" s="80"/>
      <c r="D76" s="60"/>
      <c r="E76" s="63"/>
      <c r="F76" s="63"/>
      <c r="G76" s="83"/>
      <c r="H76" s="63"/>
      <c r="I76" s="79" t="str">
        <f t="shared" ref="I76:ES76" si="61">IF(AND($E76&lt;=I$6,$F76&gt;=I$6),"X","")</f>
        <v/>
      </c>
      <c r="J76" s="65" t="str">
        <f t="shared" si="61"/>
        <v/>
      </c>
      <c r="K76" s="64" t="str">
        <f t="shared" si="61"/>
        <v/>
      </c>
      <c r="L76" s="64" t="str">
        <f t="shared" si="61"/>
        <v/>
      </c>
      <c r="M76" s="67" t="str">
        <f t="shared" si="61"/>
        <v/>
      </c>
      <c r="N76" s="67" t="str">
        <f t="shared" si="61"/>
        <v/>
      </c>
      <c r="O76" s="67" t="str">
        <f t="shared" si="61"/>
        <v/>
      </c>
      <c r="P76" s="67" t="str">
        <f t="shared" si="61"/>
        <v/>
      </c>
      <c r="Q76" s="67" t="str">
        <f t="shared" si="61"/>
        <v/>
      </c>
      <c r="R76" s="67" t="str">
        <f t="shared" si="61"/>
        <v/>
      </c>
      <c r="S76" s="67" t="str">
        <f t="shared" si="61"/>
        <v/>
      </c>
      <c r="T76" s="67" t="str">
        <f t="shared" si="61"/>
        <v/>
      </c>
      <c r="U76" s="67" t="str">
        <f t="shared" si="61"/>
        <v/>
      </c>
      <c r="V76" s="67" t="str">
        <f t="shared" si="61"/>
        <v/>
      </c>
      <c r="W76" s="67" t="str">
        <f t="shared" si="61"/>
        <v/>
      </c>
      <c r="X76" s="67" t="str">
        <f t="shared" si="61"/>
        <v/>
      </c>
      <c r="Y76" s="67" t="str">
        <f t="shared" si="61"/>
        <v/>
      </c>
      <c r="Z76" s="67" t="str">
        <f t="shared" si="61"/>
        <v/>
      </c>
      <c r="AA76" s="67" t="str">
        <f t="shared" si="61"/>
        <v/>
      </c>
      <c r="AB76" s="67" t="str">
        <f t="shared" si="61"/>
        <v/>
      </c>
      <c r="AC76" s="67" t="str">
        <f t="shared" si="61"/>
        <v/>
      </c>
      <c r="AD76" s="67" t="str">
        <f t="shared" si="61"/>
        <v/>
      </c>
      <c r="AE76" s="67" t="str">
        <f t="shared" si="61"/>
        <v/>
      </c>
      <c r="AF76" s="67" t="str">
        <f t="shared" si="61"/>
        <v/>
      </c>
      <c r="AG76" s="67" t="str">
        <f t="shared" si="61"/>
        <v/>
      </c>
      <c r="AH76" s="67" t="str">
        <f t="shared" si="61"/>
        <v/>
      </c>
      <c r="AI76" s="67" t="str">
        <f t="shared" si="61"/>
        <v/>
      </c>
      <c r="AJ76" s="67" t="str">
        <f t="shared" si="61"/>
        <v/>
      </c>
      <c r="AK76" s="67" t="str">
        <f t="shared" si="61"/>
        <v/>
      </c>
      <c r="AL76" s="67" t="str">
        <f t="shared" si="61"/>
        <v/>
      </c>
      <c r="AM76" s="67" t="str">
        <f t="shared" si="61"/>
        <v/>
      </c>
      <c r="AN76" s="67" t="str">
        <f t="shared" si="61"/>
        <v/>
      </c>
      <c r="AO76" s="67" t="str">
        <f t="shared" si="61"/>
        <v/>
      </c>
      <c r="AP76" s="67" t="str">
        <f t="shared" si="61"/>
        <v/>
      </c>
      <c r="AQ76" s="67" t="str">
        <f t="shared" si="61"/>
        <v/>
      </c>
      <c r="AR76" s="67" t="str">
        <f t="shared" si="61"/>
        <v/>
      </c>
      <c r="AS76" s="67" t="str">
        <f t="shared" si="61"/>
        <v/>
      </c>
      <c r="AT76" s="67" t="str">
        <f t="shared" si="61"/>
        <v/>
      </c>
      <c r="AU76" s="67" t="str">
        <f t="shared" si="61"/>
        <v/>
      </c>
      <c r="AV76" s="67" t="str">
        <f t="shared" si="61"/>
        <v/>
      </c>
      <c r="AW76" s="67" t="str">
        <f t="shared" si="61"/>
        <v/>
      </c>
      <c r="AX76" s="67" t="str">
        <f t="shared" si="61"/>
        <v/>
      </c>
      <c r="AY76" s="67" t="str">
        <f t="shared" si="61"/>
        <v/>
      </c>
      <c r="AZ76" s="67" t="str">
        <f t="shared" si="61"/>
        <v/>
      </c>
      <c r="BA76" s="67" t="str">
        <f t="shared" si="61"/>
        <v/>
      </c>
      <c r="BB76" s="67" t="str">
        <f t="shared" si="61"/>
        <v/>
      </c>
      <c r="BC76" s="67" t="str">
        <f t="shared" si="61"/>
        <v/>
      </c>
      <c r="BD76" s="67" t="str">
        <f t="shared" si="61"/>
        <v/>
      </c>
      <c r="BE76" s="67" t="str">
        <f t="shared" si="61"/>
        <v/>
      </c>
      <c r="BF76" s="67" t="str">
        <f t="shared" si="61"/>
        <v/>
      </c>
      <c r="BG76" s="67" t="str">
        <f t="shared" si="61"/>
        <v/>
      </c>
      <c r="BH76" s="67" t="str">
        <f t="shared" si="61"/>
        <v/>
      </c>
      <c r="BI76" s="67" t="str">
        <f t="shared" si="61"/>
        <v/>
      </c>
      <c r="BJ76" s="67" t="str">
        <f t="shared" si="61"/>
        <v/>
      </c>
      <c r="BK76" s="67" t="str">
        <f t="shared" si="61"/>
        <v/>
      </c>
      <c r="BL76" s="67" t="str">
        <f t="shared" si="61"/>
        <v/>
      </c>
      <c r="BM76" s="67" t="str">
        <f t="shared" si="61"/>
        <v/>
      </c>
      <c r="BN76" s="67" t="str">
        <f t="shared" si="61"/>
        <v/>
      </c>
      <c r="BO76" s="67" t="str">
        <f t="shared" si="61"/>
        <v/>
      </c>
      <c r="BP76" s="67" t="str">
        <f t="shared" si="61"/>
        <v/>
      </c>
      <c r="BQ76" s="67" t="str">
        <f t="shared" si="61"/>
        <v/>
      </c>
      <c r="BR76" s="67" t="str">
        <f t="shared" si="61"/>
        <v/>
      </c>
      <c r="BS76" s="67" t="str">
        <f t="shared" si="61"/>
        <v/>
      </c>
      <c r="BT76" s="67" t="str">
        <f t="shared" si="61"/>
        <v/>
      </c>
      <c r="BU76" s="67" t="str">
        <f t="shared" si="61"/>
        <v/>
      </c>
      <c r="BV76" s="67" t="str">
        <f t="shared" si="61"/>
        <v/>
      </c>
      <c r="BW76" s="67" t="str">
        <f t="shared" si="61"/>
        <v/>
      </c>
      <c r="BX76" s="67" t="str">
        <f t="shared" si="61"/>
        <v/>
      </c>
      <c r="BY76" s="67" t="str">
        <f t="shared" si="61"/>
        <v/>
      </c>
      <c r="BZ76" s="67" t="str">
        <f t="shared" si="61"/>
        <v/>
      </c>
      <c r="CA76" s="67" t="str">
        <f t="shared" si="61"/>
        <v/>
      </c>
      <c r="CB76" s="67" t="str">
        <f t="shared" si="61"/>
        <v/>
      </c>
      <c r="CC76" s="67" t="str">
        <f t="shared" si="61"/>
        <v/>
      </c>
      <c r="CD76" s="67" t="str">
        <f t="shared" si="61"/>
        <v/>
      </c>
      <c r="CE76" s="67" t="str">
        <f t="shared" si="61"/>
        <v/>
      </c>
      <c r="CF76" s="67" t="str">
        <f t="shared" si="61"/>
        <v/>
      </c>
      <c r="CG76" s="67" t="str">
        <f t="shared" si="61"/>
        <v/>
      </c>
      <c r="CH76" s="67" t="str">
        <f t="shared" si="61"/>
        <v/>
      </c>
      <c r="CI76" s="67" t="str">
        <f t="shared" si="61"/>
        <v/>
      </c>
      <c r="CJ76" s="67" t="str">
        <f t="shared" si="61"/>
        <v/>
      </c>
      <c r="CK76" s="67" t="str">
        <f t="shared" si="61"/>
        <v/>
      </c>
      <c r="CL76" s="67" t="str">
        <f t="shared" si="61"/>
        <v/>
      </c>
      <c r="CM76" s="67" t="str">
        <f t="shared" si="61"/>
        <v/>
      </c>
      <c r="CN76" s="67" t="str">
        <f t="shared" si="61"/>
        <v/>
      </c>
      <c r="CO76" s="67" t="str">
        <f t="shared" si="61"/>
        <v/>
      </c>
      <c r="CP76" s="67" t="str">
        <f t="shared" si="61"/>
        <v/>
      </c>
      <c r="CQ76" s="67" t="str">
        <f t="shared" si="61"/>
        <v/>
      </c>
      <c r="CR76" s="67" t="str">
        <f t="shared" si="61"/>
        <v/>
      </c>
      <c r="CS76" s="67" t="str">
        <f t="shared" si="61"/>
        <v/>
      </c>
      <c r="CT76" s="67" t="str">
        <f t="shared" si="61"/>
        <v/>
      </c>
      <c r="CU76" s="67" t="str">
        <f t="shared" si="61"/>
        <v/>
      </c>
      <c r="CV76" s="67" t="str">
        <f t="shared" si="61"/>
        <v/>
      </c>
      <c r="CW76" s="67" t="str">
        <f t="shared" si="61"/>
        <v/>
      </c>
      <c r="CX76" s="67" t="str">
        <f t="shared" si="61"/>
        <v/>
      </c>
      <c r="CY76" s="67" t="str">
        <f t="shared" si="61"/>
        <v/>
      </c>
      <c r="CZ76" s="67" t="str">
        <f t="shared" si="61"/>
        <v/>
      </c>
      <c r="DA76" s="67" t="str">
        <f t="shared" si="61"/>
        <v/>
      </c>
      <c r="DB76" s="67" t="str">
        <f t="shared" si="61"/>
        <v/>
      </c>
      <c r="DC76" s="67" t="str">
        <f t="shared" si="61"/>
        <v/>
      </c>
      <c r="DD76" s="67" t="str">
        <f t="shared" si="61"/>
        <v/>
      </c>
      <c r="DE76" s="67" t="str">
        <f t="shared" si="61"/>
        <v/>
      </c>
      <c r="DF76" s="67" t="str">
        <f t="shared" si="61"/>
        <v/>
      </c>
      <c r="DG76" s="67" t="str">
        <f t="shared" si="61"/>
        <v/>
      </c>
      <c r="DH76" s="67" t="str">
        <f t="shared" si="61"/>
        <v/>
      </c>
      <c r="DI76" s="67" t="str">
        <f t="shared" si="61"/>
        <v/>
      </c>
      <c r="DJ76" s="67" t="str">
        <f t="shared" si="61"/>
        <v/>
      </c>
      <c r="DK76" s="67" t="str">
        <f t="shared" si="61"/>
        <v/>
      </c>
      <c r="DL76" s="67" t="str">
        <f t="shared" si="61"/>
        <v/>
      </c>
      <c r="DM76" s="67" t="str">
        <f t="shared" si="61"/>
        <v/>
      </c>
      <c r="DN76" s="67" t="str">
        <f t="shared" si="61"/>
        <v/>
      </c>
      <c r="DO76" s="67" t="str">
        <f t="shared" si="61"/>
        <v/>
      </c>
      <c r="DP76" s="67" t="str">
        <f t="shared" si="61"/>
        <v/>
      </c>
      <c r="DQ76" s="67" t="str">
        <f t="shared" si="61"/>
        <v/>
      </c>
      <c r="DR76" s="67" t="str">
        <f t="shared" si="61"/>
        <v/>
      </c>
      <c r="DS76" s="67" t="str">
        <f t="shared" si="61"/>
        <v/>
      </c>
      <c r="DT76" s="67" t="str">
        <f t="shared" si="61"/>
        <v/>
      </c>
      <c r="DU76" s="67" t="str">
        <f t="shared" si="61"/>
        <v/>
      </c>
      <c r="DV76" s="67" t="str">
        <f t="shared" si="61"/>
        <v/>
      </c>
      <c r="DW76" s="67" t="str">
        <f t="shared" si="61"/>
        <v/>
      </c>
      <c r="DX76" s="67" t="str">
        <f t="shared" si="61"/>
        <v/>
      </c>
      <c r="DY76" s="67" t="str">
        <f t="shared" si="61"/>
        <v/>
      </c>
      <c r="DZ76" s="67" t="str">
        <f t="shared" si="61"/>
        <v/>
      </c>
      <c r="EA76" s="67" t="str">
        <f t="shared" si="61"/>
        <v/>
      </c>
      <c r="EB76" s="67" t="str">
        <f t="shared" si="61"/>
        <v/>
      </c>
      <c r="EC76" s="67" t="str">
        <f t="shared" si="61"/>
        <v/>
      </c>
      <c r="ED76" s="67" t="str">
        <f t="shared" si="61"/>
        <v/>
      </c>
      <c r="EE76" s="67" t="str">
        <f t="shared" si="61"/>
        <v/>
      </c>
      <c r="EF76" s="67" t="str">
        <f t="shared" si="61"/>
        <v/>
      </c>
      <c r="EG76" s="67" t="str">
        <f t="shared" si="61"/>
        <v/>
      </c>
      <c r="EH76" s="67" t="str">
        <f t="shared" si="61"/>
        <v/>
      </c>
      <c r="EI76" s="67" t="str">
        <f t="shared" si="61"/>
        <v/>
      </c>
      <c r="EJ76" s="67" t="str">
        <f t="shared" si="61"/>
        <v/>
      </c>
      <c r="EK76" s="67" t="str">
        <f t="shared" si="61"/>
        <v/>
      </c>
      <c r="EL76" s="67" t="str">
        <f t="shared" si="61"/>
        <v/>
      </c>
      <c r="EM76" s="67" t="str">
        <f t="shared" si="61"/>
        <v/>
      </c>
      <c r="EN76" s="67" t="str">
        <f t="shared" si="61"/>
        <v/>
      </c>
      <c r="EO76" s="67" t="str">
        <f t="shared" si="61"/>
        <v/>
      </c>
      <c r="EP76" s="67" t="str">
        <f t="shared" si="61"/>
        <v/>
      </c>
      <c r="EQ76" s="67" t="str">
        <f t="shared" si="61"/>
        <v/>
      </c>
      <c r="ER76" s="67" t="str">
        <f t="shared" si="61"/>
        <v/>
      </c>
      <c r="ES76" s="67" t="str">
        <f t="shared" si="61"/>
        <v/>
      </c>
    </row>
    <row r="77">
      <c r="A77" s="33"/>
      <c r="B77" s="58">
        <v>53.0</v>
      </c>
      <c r="C77" s="68"/>
      <c r="D77" s="68"/>
      <c r="E77" s="81"/>
      <c r="F77" s="81"/>
      <c r="G77" s="71"/>
      <c r="H77" s="72"/>
      <c r="I77" s="84" t="str">
        <f t="shared" ref="I77:ES77" si="62">IF(AND($E77&lt;=I$6,$F77&gt;=I$6),"X","")</f>
        <v/>
      </c>
      <c r="J77" s="84" t="str">
        <f t="shared" si="62"/>
        <v/>
      </c>
      <c r="K77" s="84" t="str">
        <f t="shared" si="62"/>
        <v/>
      </c>
      <c r="L77" s="84" t="str">
        <f t="shared" si="62"/>
        <v/>
      </c>
      <c r="M77" s="84" t="str">
        <f t="shared" si="62"/>
        <v/>
      </c>
      <c r="N77" s="84" t="str">
        <f t="shared" si="62"/>
        <v/>
      </c>
      <c r="O77" s="84" t="str">
        <f t="shared" si="62"/>
        <v/>
      </c>
      <c r="P77" s="84" t="str">
        <f t="shared" si="62"/>
        <v/>
      </c>
      <c r="Q77" s="84" t="str">
        <f t="shared" si="62"/>
        <v/>
      </c>
      <c r="R77" s="84" t="str">
        <f t="shared" si="62"/>
        <v/>
      </c>
      <c r="S77" s="84" t="str">
        <f t="shared" si="62"/>
        <v/>
      </c>
      <c r="T77" s="84" t="str">
        <f t="shared" si="62"/>
        <v/>
      </c>
      <c r="U77" s="84" t="str">
        <f t="shared" si="62"/>
        <v/>
      </c>
      <c r="V77" s="84" t="str">
        <f t="shared" si="62"/>
        <v/>
      </c>
      <c r="W77" s="84" t="str">
        <f t="shared" si="62"/>
        <v/>
      </c>
      <c r="X77" s="84" t="str">
        <f t="shared" si="62"/>
        <v/>
      </c>
      <c r="Y77" s="84" t="str">
        <f t="shared" si="62"/>
        <v/>
      </c>
      <c r="Z77" s="84" t="str">
        <f t="shared" si="62"/>
        <v/>
      </c>
      <c r="AA77" s="84" t="str">
        <f t="shared" si="62"/>
        <v/>
      </c>
      <c r="AB77" s="84" t="str">
        <f t="shared" si="62"/>
        <v/>
      </c>
      <c r="AC77" s="84" t="str">
        <f t="shared" si="62"/>
        <v/>
      </c>
      <c r="AD77" s="84" t="str">
        <f t="shared" si="62"/>
        <v/>
      </c>
      <c r="AE77" s="84" t="str">
        <f t="shared" si="62"/>
        <v/>
      </c>
      <c r="AF77" s="84" t="str">
        <f t="shared" si="62"/>
        <v/>
      </c>
      <c r="AG77" s="84" t="str">
        <f t="shared" si="62"/>
        <v/>
      </c>
      <c r="AH77" s="84" t="str">
        <f t="shared" si="62"/>
        <v/>
      </c>
      <c r="AI77" s="84" t="str">
        <f t="shared" si="62"/>
        <v/>
      </c>
      <c r="AJ77" s="84" t="str">
        <f t="shared" si="62"/>
        <v/>
      </c>
      <c r="AK77" s="84" t="str">
        <f t="shared" si="62"/>
        <v/>
      </c>
      <c r="AL77" s="84" t="str">
        <f t="shared" si="62"/>
        <v/>
      </c>
      <c r="AM77" s="84" t="str">
        <f t="shared" si="62"/>
        <v/>
      </c>
      <c r="AN77" s="84" t="str">
        <f t="shared" si="62"/>
        <v/>
      </c>
      <c r="AO77" s="84" t="str">
        <f t="shared" si="62"/>
        <v/>
      </c>
      <c r="AP77" s="84" t="str">
        <f t="shared" si="62"/>
        <v/>
      </c>
      <c r="AQ77" s="84" t="str">
        <f t="shared" si="62"/>
        <v/>
      </c>
      <c r="AR77" s="84" t="str">
        <f t="shared" si="62"/>
        <v/>
      </c>
      <c r="AS77" s="84" t="str">
        <f t="shared" si="62"/>
        <v/>
      </c>
      <c r="AT77" s="84" t="str">
        <f t="shared" si="62"/>
        <v/>
      </c>
      <c r="AU77" s="84" t="str">
        <f t="shared" si="62"/>
        <v/>
      </c>
      <c r="AV77" s="84" t="str">
        <f t="shared" si="62"/>
        <v/>
      </c>
      <c r="AW77" s="84" t="str">
        <f t="shared" si="62"/>
        <v/>
      </c>
      <c r="AX77" s="84" t="str">
        <f t="shared" si="62"/>
        <v/>
      </c>
      <c r="AY77" s="84" t="str">
        <f t="shared" si="62"/>
        <v/>
      </c>
      <c r="AZ77" s="84" t="str">
        <f t="shared" si="62"/>
        <v/>
      </c>
      <c r="BA77" s="84" t="str">
        <f t="shared" si="62"/>
        <v/>
      </c>
      <c r="BB77" s="84" t="str">
        <f t="shared" si="62"/>
        <v/>
      </c>
      <c r="BC77" s="84" t="str">
        <f t="shared" si="62"/>
        <v/>
      </c>
      <c r="BD77" s="84" t="str">
        <f t="shared" si="62"/>
        <v/>
      </c>
      <c r="BE77" s="84" t="str">
        <f t="shared" si="62"/>
        <v/>
      </c>
      <c r="BF77" s="84" t="str">
        <f t="shared" si="62"/>
        <v/>
      </c>
      <c r="BG77" s="84" t="str">
        <f t="shared" si="62"/>
        <v/>
      </c>
      <c r="BH77" s="84" t="str">
        <f t="shared" si="62"/>
        <v/>
      </c>
      <c r="BI77" s="84" t="str">
        <f t="shared" si="62"/>
        <v/>
      </c>
      <c r="BJ77" s="84" t="str">
        <f t="shared" si="62"/>
        <v/>
      </c>
      <c r="BK77" s="84" t="str">
        <f t="shared" si="62"/>
        <v/>
      </c>
      <c r="BL77" s="84" t="str">
        <f t="shared" si="62"/>
        <v/>
      </c>
      <c r="BM77" s="84" t="str">
        <f t="shared" si="62"/>
        <v/>
      </c>
      <c r="BN77" s="84" t="str">
        <f t="shared" si="62"/>
        <v/>
      </c>
      <c r="BO77" s="84" t="str">
        <f t="shared" si="62"/>
        <v/>
      </c>
      <c r="BP77" s="84" t="str">
        <f t="shared" si="62"/>
        <v/>
      </c>
      <c r="BQ77" s="84" t="str">
        <f t="shared" si="62"/>
        <v/>
      </c>
      <c r="BR77" s="84" t="str">
        <f t="shared" si="62"/>
        <v/>
      </c>
      <c r="BS77" s="76" t="str">
        <f t="shared" si="62"/>
        <v/>
      </c>
      <c r="BT77" s="76" t="str">
        <f t="shared" si="62"/>
        <v/>
      </c>
      <c r="BU77" s="76" t="str">
        <f t="shared" si="62"/>
        <v/>
      </c>
      <c r="BV77" s="76" t="str">
        <f t="shared" si="62"/>
        <v/>
      </c>
      <c r="BW77" s="76" t="str">
        <f t="shared" si="62"/>
        <v/>
      </c>
      <c r="BX77" s="76" t="str">
        <f t="shared" si="62"/>
        <v/>
      </c>
      <c r="BY77" s="76" t="str">
        <f t="shared" si="62"/>
        <v/>
      </c>
      <c r="BZ77" s="76" t="str">
        <f t="shared" si="62"/>
        <v/>
      </c>
      <c r="CA77" s="76" t="str">
        <f t="shared" si="62"/>
        <v/>
      </c>
      <c r="CB77" s="76" t="str">
        <f t="shared" si="62"/>
        <v/>
      </c>
      <c r="CC77" s="76" t="str">
        <f t="shared" si="62"/>
        <v/>
      </c>
      <c r="CD77" s="76" t="str">
        <f t="shared" si="62"/>
        <v/>
      </c>
      <c r="CE77" s="76" t="str">
        <f t="shared" si="62"/>
        <v/>
      </c>
      <c r="CF77" s="76" t="str">
        <f t="shared" si="62"/>
        <v/>
      </c>
      <c r="CG77" s="76" t="str">
        <f t="shared" si="62"/>
        <v/>
      </c>
      <c r="CH77" s="76" t="str">
        <f t="shared" si="62"/>
        <v/>
      </c>
      <c r="CI77" s="76" t="str">
        <f t="shared" si="62"/>
        <v/>
      </c>
      <c r="CJ77" s="76" t="str">
        <f t="shared" si="62"/>
        <v/>
      </c>
      <c r="CK77" s="76" t="str">
        <f t="shared" si="62"/>
        <v/>
      </c>
      <c r="CL77" s="76" t="str">
        <f t="shared" si="62"/>
        <v/>
      </c>
      <c r="CM77" s="76" t="str">
        <f t="shared" si="62"/>
        <v/>
      </c>
      <c r="CN77" s="76" t="str">
        <f t="shared" si="62"/>
        <v/>
      </c>
      <c r="CO77" s="76" t="str">
        <f t="shared" si="62"/>
        <v/>
      </c>
      <c r="CP77" s="76" t="str">
        <f t="shared" si="62"/>
        <v/>
      </c>
      <c r="CQ77" s="76" t="str">
        <f t="shared" si="62"/>
        <v/>
      </c>
      <c r="CR77" s="76" t="str">
        <f t="shared" si="62"/>
        <v/>
      </c>
      <c r="CS77" s="76" t="str">
        <f t="shared" si="62"/>
        <v/>
      </c>
      <c r="CT77" s="76" t="str">
        <f t="shared" si="62"/>
        <v/>
      </c>
      <c r="CU77" s="76" t="str">
        <f t="shared" si="62"/>
        <v/>
      </c>
      <c r="CV77" s="76" t="str">
        <f t="shared" si="62"/>
        <v/>
      </c>
      <c r="CW77" s="76" t="str">
        <f t="shared" si="62"/>
        <v/>
      </c>
      <c r="CX77" s="76" t="str">
        <f t="shared" si="62"/>
        <v/>
      </c>
      <c r="CY77" s="76" t="str">
        <f t="shared" si="62"/>
        <v/>
      </c>
      <c r="CZ77" s="76" t="str">
        <f t="shared" si="62"/>
        <v/>
      </c>
      <c r="DA77" s="76" t="str">
        <f t="shared" si="62"/>
        <v/>
      </c>
      <c r="DB77" s="76" t="str">
        <f t="shared" si="62"/>
        <v/>
      </c>
      <c r="DC77" s="76" t="str">
        <f t="shared" si="62"/>
        <v/>
      </c>
      <c r="DD77" s="76" t="str">
        <f t="shared" si="62"/>
        <v/>
      </c>
      <c r="DE77" s="76" t="str">
        <f t="shared" si="62"/>
        <v/>
      </c>
      <c r="DF77" s="76" t="str">
        <f t="shared" si="62"/>
        <v/>
      </c>
      <c r="DG77" s="76" t="str">
        <f t="shared" si="62"/>
        <v/>
      </c>
      <c r="DH77" s="76" t="str">
        <f t="shared" si="62"/>
        <v/>
      </c>
      <c r="DI77" s="76" t="str">
        <f t="shared" si="62"/>
        <v/>
      </c>
      <c r="DJ77" s="76" t="str">
        <f t="shared" si="62"/>
        <v/>
      </c>
      <c r="DK77" s="76" t="str">
        <f t="shared" si="62"/>
        <v/>
      </c>
      <c r="DL77" s="76" t="str">
        <f t="shared" si="62"/>
        <v/>
      </c>
      <c r="DM77" s="76" t="str">
        <f t="shared" si="62"/>
        <v/>
      </c>
      <c r="DN77" s="76" t="str">
        <f t="shared" si="62"/>
        <v/>
      </c>
      <c r="DO77" s="76" t="str">
        <f t="shared" si="62"/>
        <v/>
      </c>
      <c r="DP77" s="76" t="str">
        <f t="shared" si="62"/>
        <v/>
      </c>
      <c r="DQ77" s="76" t="str">
        <f t="shared" si="62"/>
        <v/>
      </c>
      <c r="DR77" s="76" t="str">
        <f t="shared" si="62"/>
        <v/>
      </c>
      <c r="DS77" s="76" t="str">
        <f t="shared" si="62"/>
        <v/>
      </c>
      <c r="DT77" s="76" t="str">
        <f t="shared" si="62"/>
        <v/>
      </c>
      <c r="DU77" s="76" t="str">
        <f t="shared" si="62"/>
        <v/>
      </c>
      <c r="DV77" s="76" t="str">
        <f t="shared" si="62"/>
        <v/>
      </c>
      <c r="DW77" s="76" t="str">
        <f t="shared" si="62"/>
        <v/>
      </c>
      <c r="DX77" s="76" t="str">
        <f t="shared" si="62"/>
        <v/>
      </c>
      <c r="DY77" s="76" t="str">
        <f t="shared" si="62"/>
        <v/>
      </c>
      <c r="DZ77" s="76" t="str">
        <f t="shared" si="62"/>
        <v/>
      </c>
      <c r="EA77" s="76" t="str">
        <f t="shared" si="62"/>
        <v/>
      </c>
      <c r="EB77" s="76" t="str">
        <f t="shared" si="62"/>
        <v/>
      </c>
      <c r="EC77" s="76" t="str">
        <f t="shared" si="62"/>
        <v/>
      </c>
      <c r="ED77" s="76" t="str">
        <f t="shared" si="62"/>
        <v/>
      </c>
      <c r="EE77" s="76" t="str">
        <f t="shared" si="62"/>
        <v/>
      </c>
      <c r="EF77" s="76" t="str">
        <f t="shared" si="62"/>
        <v/>
      </c>
      <c r="EG77" s="76" t="str">
        <f t="shared" si="62"/>
        <v/>
      </c>
      <c r="EH77" s="76" t="str">
        <f t="shared" si="62"/>
        <v/>
      </c>
      <c r="EI77" s="76" t="str">
        <f t="shared" si="62"/>
        <v/>
      </c>
      <c r="EJ77" s="76" t="str">
        <f t="shared" si="62"/>
        <v/>
      </c>
      <c r="EK77" s="76" t="str">
        <f t="shared" si="62"/>
        <v/>
      </c>
      <c r="EL77" s="76" t="str">
        <f t="shared" si="62"/>
        <v/>
      </c>
      <c r="EM77" s="76" t="str">
        <f t="shared" si="62"/>
        <v/>
      </c>
      <c r="EN77" s="76" t="str">
        <f t="shared" si="62"/>
        <v/>
      </c>
      <c r="EO77" s="76" t="str">
        <f t="shared" si="62"/>
        <v/>
      </c>
      <c r="EP77" s="76" t="str">
        <f t="shared" si="62"/>
        <v/>
      </c>
      <c r="EQ77" s="76" t="str">
        <f t="shared" si="62"/>
        <v/>
      </c>
      <c r="ER77" s="76" t="str">
        <f t="shared" si="62"/>
        <v/>
      </c>
      <c r="ES77" s="76" t="str">
        <f t="shared" si="62"/>
        <v/>
      </c>
    </row>
    <row r="78">
      <c r="A78" s="33"/>
      <c r="B78" s="58">
        <v>54.0</v>
      </c>
      <c r="C78" s="68"/>
      <c r="D78" s="68"/>
      <c r="E78" s="81"/>
      <c r="F78" s="81"/>
      <c r="G78" s="71"/>
      <c r="H78" s="72"/>
      <c r="I78" s="84" t="str">
        <f t="shared" ref="I78:ES78" si="63">IF(AND($E78&lt;=I$6,$F78&gt;=I$6),"X","")</f>
        <v/>
      </c>
      <c r="J78" s="84" t="str">
        <f t="shared" si="63"/>
        <v/>
      </c>
      <c r="K78" s="84" t="str">
        <f t="shared" si="63"/>
        <v/>
      </c>
      <c r="L78" s="84" t="str">
        <f t="shared" si="63"/>
        <v/>
      </c>
      <c r="M78" s="84" t="str">
        <f t="shared" si="63"/>
        <v/>
      </c>
      <c r="N78" s="84" t="str">
        <f t="shared" si="63"/>
        <v/>
      </c>
      <c r="O78" s="84" t="str">
        <f t="shared" si="63"/>
        <v/>
      </c>
      <c r="P78" s="84" t="str">
        <f t="shared" si="63"/>
        <v/>
      </c>
      <c r="Q78" s="84" t="str">
        <f t="shared" si="63"/>
        <v/>
      </c>
      <c r="R78" s="84" t="str">
        <f t="shared" si="63"/>
        <v/>
      </c>
      <c r="S78" s="84" t="str">
        <f t="shared" si="63"/>
        <v/>
      </c>
      <c r="T78" s="84" t="str">
        <f t="shared" si="63"/>
        <v/>
      </c>
      <c r="U78" s="84" t="str">
        <f t="shared" si="63"/>
        <v/>
      </c>
      <c r="V78" s="84" t="str">
        <f t="shared" si="63"/>
        <v/>
      </c>
      <c r="W78" s="84" t="str">
        <f t="shared" si="63"/>
        <v/>
      </c>
      <c r="X78" s="84" t="str">
        <f t="shared" si="63"/>
        <v/>
      </c>
      <c r="Y78" s="84" t="str">
        <f t="shared" si="63"/>
        <v/>
      </c>
      <c r="Z78" s="84" t="str">
        <f t="shared" si="63"/>
        <v/>
      </c>
      <c r="AA78" s="84" t="str">
        <f t="shared" si="63"/>
        <v/>
      </c>
      <c r="AB78" s="84" t="str">
        <f t="shared" si="63"/>
        <v/>
      </c>
      <c r="AC78" s="84" t="str">
        <f t="shared" si="63"/>
        <v/>
      </c>
      <c r="AD78" s="84" t="str">
        <f t="shared" si="63"/>
        <v/>
      </c>
      <c r="AE78" s="84" t="str">
        <f t="shared" si="63"/>
        <v/>
      </c>
      <c r="AF78" s="84" t="str">
        <f t="shared" si="63"/>
        <v/>
      </c>
      <c r="AG78" s="84" t="str">
        <f t="shared" si="63"/>
        <v/>
      </c>
      <c r="AH78" s="84" t="str">
        <f t="shared" si="63"/>
        <v/>
      </c>
      <c r="AI78" s="84" t="str">
        <f t="shared" si="63"/>
        <v/>
      </c>
      <c r="AJ78" s="84" t="str">
        <f t="shared" si="63"/>
        <v/>
      </c>
      <c r="AK78" s="84" t="str">
        <f t="shared" si="63"/>
        <v/>
      </c>
      <c r="AL78" s="84" t="str">
        <f t="shared" si="63"/>
        <v/>
      </c>
      <c r="AM78" s="84" t="str">
        <f t="shared" si="63"/>
        <v/>
      </c>
      <c r="AN78" s="84" t="str">
        <f t="shared" si="63"/>
        <v/>
      </c>
      <c r="AO78" s="84" t="str">
        <f t="shared" si="63"/>
        <v/>
      </c>
      <c r="AP78" s="84" t="str">
        <f t="shared" si="63"/>
        <v/>
      </c>
      <c r="AQ78" s="84" t="str">
        <f t="shared" si="63"/>
        <v/>
      </c>
      <c r="AR78" s="84" t="str">
        <f t="shared" si="63"/>
        <v/>
      </c>
      <c r="AS78" s="84" t="str">
        <f t="shared" si="63"/>
        <v/>
      </c>
      <c r="AT78" s="84" t="str">
        <f t="shared" si="63"/>
        <v/>
      </c>
      <c r="AU78" s="84" t="str">
        <f t="shared" si="63"/>
        <v/>
      </c>
      <c r="AV78" s="84" t="str">
        <f t="shared" si="63"/>
        <v/>
      </c>
      <c r="AW78" s="84" t="str">
        <f t="shared" si="63"/>
        <v/>
      </c>
      <c r="AX78" s="84" t="str">
        <f t="shared" si="63"/>
        <v/>
      </c>
      <c r="AY78" s="84" t="str">
        <f t="shared" si="63"/>
        <v/>
      </c>
      <c r="AZ78" s="84" t="str">
        <f t="shared" si="63"/>
        <v/>
      </c>
      <c r="BA78" s="84" t="str">
        <f t="shared" si="63"/>
        <v/>
      </c>
      <c r="BB78" s="84" t="str">
        <f t="shared" si="63"/>
        <v/>
      </c>
      <c r="BC78" s="84" t="str">
        <f t="shared" si="63"/>
        <v/>
      </c>
      <c r="BD78" s="84" t="str">
        <f t="shared" si="63"/>
        <v/>
      </c>
      <c r="BE78" s="84" t="str">
        <f t="shared" si="63"/>
        <v/>
      </c>
      <c r="BF78" s="84" t="str">
        <f t="shared" si="63"/>
        <v/>
      </c>
      <c r="BG78" s="84" t="str">
        <f t="shared" si="63"/>
        <v/>
      </c>
      <c r="BH78" s="84" t="str">
        <f t="shared" si="63"/>
        <v/>
      </c>
      <c r="BI78" s="84" t="str">
        <f t="shared" si="63"/>
        <v/>
      </c>
      <c r="BJ78" s="84" t="str">
        <f t="shared" si="63"/>
        <v/>
      </c>
      <c r="BK78" s="84" t="str">
        <f t="shared" si="63"/>
        <v/>
      </c>
      <c r="BL78" s="84" t="str">
        <f t="shared" si="63"/>
        <v/>
      </c>
      <c r="BM78" s="84" t="str">
        <f t="shared" si="63"/>
        <v/>
      </c>
      <c r="BN78" s="84" t="str">
        <f t="shared" si="63"/>
        <v/>
      </c>
      <c r="BO78" s="84" t="str">
        <f t="shared" si="63"/>
        <v/>
      </c>
      <c r="BP78" s="84" t="str">
        <f t="shared" si="63"/>
        <v/>
      </c>
      <c r="BQ78" s="84" t="str">
        <f t="shared" si="63"/>
        <v/>
      </c>
      <c r="BR78" s="84" t="str">
        <f t="shared" si="63"/>
        <v/>
      </c>
      <c r="BS78" s="76" t="str">
        <f t="shared" si="63"/>
        <v/>
      </c>
      <c r="BT78" s="76" t="str">
        <f t="shared" si="63"/>
        <v/>
      </c>
      <c r="BU78" s="76" t="str">
        <f t="shared" si="63"/>
        <v/>
      </c>
      <c r="BV78" s="76" t="str">
        <f t="shared" si="63"/>
        <v/>
      </c>
      <c r="BW78" s="76" t="str">
        <f t="shared" si="63"/>
        <v/>
      </c>
      <c r="BX78" s="76" t="str">
        <f t="shared" si="63"/>
        <v/>
      </c>
      <c r="BY78" s="76" t="str">
        <f t="shared" si="63"/>
        <v/>
      </c>
      <c r="BZ78" s="76" t="str">
        <f t="shared" si="63"/>
        <v/>
      </c>
      <c r="CA78" s="76" t="str">
        <f t="shared" si="63"/>
        <v/>
      </c>
      <c r="CB78" s="76" t="str">
        <f t="shared" si="63"/>
        <v/>
      </c>
      <c r="CC78" s="76" t="str">
        <f t="shared" si="63"/>
        <v/>
      </c>
      <c r="CD78" s="76" t="str">
        <f t="shared" si="63"/>
        <v/>
      </c>
      <c r="CE78" s="76" t="str">
        <f t="shared" si="63"/>
        <v/>
      </c>
      <c r="CF78" s="76" t="str">
        <f t="shared" si="63"/>
        <v/>
      </c>
      <c r="CG78" s="76" t="str">
        <f t="shared" si="63"/>
        <v/>
      </c>
      <c r="CH78" s="76" t="str">
        <f t="shared" si="63"/>
        <v/>
      </c>
      <c r="CI78" s="76" t="str">
        <f t="shared" si="63"/>
        <v/>
      </c>
      <c r="CJ78" s="76" t="str">
        <f t="shared" si="63"/>
        <v/>
      </c>
      <c r="CK78" s="76" t="str">
        <f t="shared" si="63"/>
        <v/>
      </c>
      <c r="CL78" s="76" t="str">
        <f t="shared" si="63"/>
        <v/>
      </c>
      <c r="CM78" s="76" t="str">
        <f t="shared" si="63"/>
        <v/>
      </c>
      <c r="CN78" s="76" t="str">
        <f t="shared" si="63"/>
        <v/>
      </c>
      <c r="CO78" s="76" t="str">
        <f t="shared" si="63"/>
        <v/>
      </c>
      <c r="CP78" s="76" t="str">
        <f t="shared" si="63"/>
        <v/>
      </c>
      <c r="CQ78" s="76" t="str">
        <f t="shared" si="63"/>
        <v/>
      </c>
      <c r="CR78" s="76" t="str">
        <f t="shared" si="63"/>
        <v/>
      </c>
      <c r="CS78" s="76" t="str">
        <f t="shared" si="63"/>
        <v/>
      </c>
      <c r="CT78" s="76" t="str">
        <f t="shared" si="63"/>
        <v/>
      </c>
      <c r="CU78" s="76" t="str">
        <f t="shared" si="63"/>
        <v/>
      </c>
      <c r="CV78" s="76" t="str">
        <f t="shared" si="63"/>
        <v/>
      </c>
      <c r="CW78" s="76" t="str">
        <f t="shared" si="63"/>
        <v/>
      </c>
      <c r="CX78" s="76" t="str">
        <f t="shared" si="63"/>
        <v/>
      </c>
      <c r="CY78" s="76" t="str">
        <f t="shared" si="63"/>
        <v/>
      </c>
      <c r="CZ78" s="76" t="str">
        <f t="shared" si="63"/>
        <v/>
      </c>
      <c r="DA78" s="76" t="str">
        <f t="shared" si="63"/>
        <v/>
      </c>
      <c r="DB78" s="76" t="str">
        <f t="shared" si="63"/>
        <v/>
      </c>
      <c r="DC78" s="76" t="str">
        <f t="shared" si="63"/>
        <v/>
      </c>
      <c r="DD78" s="76" t="str">
        <f t="shared" si="63"/>
        <v/>
      </c>
      <c r="DE78" s="76" t="str">
        <f t="shared" si="63"/>
        <v/>
      </c>
      <c r="DF78" s="76" t="str">
        <f t="shared" si="63"/>
        <v/>
      </c>
      <c r="DG78" s="76" t="str">
        <f t="shared" si="63"/>
        <v/>
      </c>
      <c r="DH78" s="76" t="str">
        <f t="shared" si="63"/>
        <v/>
      </c>
      <c r="DI78" s="76" t="str">
        <f t="shared" si="63"/>
        <v/>
      </c>
      <c r="DJ78" s="76" t="str">
        <f t="shared" si="63"/>
        <v/>
      </c>
      <c r="DK78" s="76" t="str">
        <f t="shared" si="63"/>
        <v/>
      </c>
      <c r="DL78" s="76" t="str">
        <f t="shared" si="63"/>
        <v/>
      </c>
      <c r="DM78" s="76" t="str">
        <f t="shared" si="63"/>
        <v/>
      </c>
      <c r="DN78" s="76" t="str">
        <f t="shared" si="63"/>
        <v/>
      </c>
      <c r="DO78" s="76" t="str">
        <f t="shared" si="63"/>
        <v/>
      </c>
      <c r="DP78" s="76" t="str">
        <f t="shared" si="63"/>
        <v/>
      </c>
      <c r="DQ78" s="76" t="str">
        <f t="shared" si="63"/>
        <v/>
      </c>
      <c r="DR78" s="76" t="str">
        <f t="shared" si="63"/>
        <v/>
      </c>
      <c r="DS78" s="76" t="str">
        <f t="shared" si="63"/>
        <v/>
      </c>
      <c r="DT78" s="76" t="str">
        <f t="shared" si="63"/>
        <v/>
      </c>
      <c r="DU78" s="76" t="str">
        <f t="shared" si="63"/>
        <v/>
      </c>
      <c r="DV78" s="76" t="str">
        <f t="shared" si="63"/>
        <v/>
      </c>
      <c r="DW78" s="76" t="str">
        <f t="shared" si="63"/>
        <v/>
      </c>
      <c r="DX78" s="76" t="str">
        <f t="shared" si="63"/>
        <v/>
      </c>
      <c r="DY78" s="76" t="str">
        <f t="shared" si="63"/>
        <v/>
      </c>
      <c r="DZ78" s="76" t="str">
        <f t="shared" si="63"/>
        <v/>
      </c>
      <c r="EA78" s="76" t="str">
        <f t="shared" si="63"/>
        <v/>
      </c>
      <c r="EB78" s="76" t="str">
        <f t="shared" si="63"/>
        <v/>
      </c>
      <c r="EC78" s="76" t="str">
        <f t="shared" si="63"/>
        <v/>
      </c>
      <c r="ED78" s="76" t="str">
        <f t="shared" si="63"/>
        <v/>
      </c>
      <c r="EE78" s="76" t="str">
        <f t="shared" si="63"/>
        <v/>
      </c>
      <c r="EF78" s="76" t="str">
        <f t="shared" si="63"/>
        <v/>
      </c>
      <c r="EG78" s="76" t="str">
        <f t="shared" si="63"/>
        <v/>
      </c>
      <c r="EH78" s="76" t="str">
        <f t="shared" si="63"/>
        <v/>
      </c>
      <c r="EI78" s="76" t="str">
        <f t="shared" si="63"/>
        <v/>
      </c>
      <c r="EJ78" s="76" t="str">
        <f t="shared" si="63"/>
        <v/>
      </c>
      <c r="EK78" s="76" t="str">
        <f t="shared" si="63"/>
        <v/>
      </c>
      <c r="EL78" s="76" t="str">
        <f t="shared" si="63"/>
        <v/>
      </c>
      <c r="EM78" s="76" t="str">
        <f t="shared" si="63"/>
        <v/>
      </c>
      <c r="EN78" s="76" t="str">
        <f t="shared" si="63"/>
        <v/>
      </c>
      <c r="EO78" s="76" t="str">
        <f t="shared" si="63"/>
        <v/>
      </c>
      <c r="EP78" s="76" t="str">
        <f t="shared" si="63"/>
        <v/>
      </c>
      <c r="EQ78" s="76" t="str">
        <f t="shared" si="63"/>
        <v/>
      </c>
      <c r="ER78" s="76" t="str">
        <f t="shared" si="63"/>
        <v/>
      </c>
      <c r="ES78" s="76" t="str">
        <f t="shared" si="63"/>
        <v/>
      </c>
    </row>
    <row r="79">
      <c r="A79" s="33"/>
      <c r="B79" s="58">
        <v>55.0</v>
      </c>
      <c r="C79" s="68"/>
      <c r="D79" s="68"/>
      <c r="E79" s="81"/>
      <c r="F79" s="81"/>
      <c r="G79" s="71"/>
      <c r="H79" s="72"/>
      <c r="I79" s="84" t="str">
        <f t="shared" ref="I79:ES79" si="64">IF(AND($E79&lt;=I$6,$F79&gt;=I$6),"X","")</f>
        <v/>
      </c>
      <c r="J79" s="84" t="str">
        <f t="shared" si="64"/>
        <v/>
      </c>
      <c r="K79" s="84" t="str">
        <f t="shared" si="64"/>
        <v/>
      </c>
      <c r="L79" s="84" t="str">
        <f t="shared" si="64"/>
        <v/>
      </c>
      <c r="M79" s="84" t="str">
        <f t="shared" si="64"/>
        <v/>
      </c>
      <c r="N79" s="84" t="str">
        <f t="shared" si="64"/>
        <v/>
      </c>
      <c r="O79" s="84" t="str">
        <f t="shared" si="64"/>
        <v/>
      </c>
      <c r="P79" s="84" t="str">
        <f t="shared" si="64"/>
        <v/>
      </c>
      <c r="Q79" s="84" t="str">
        <f t="shared" si="64"/>
        <v/>
      </c>
      <c r="R79" s="84" t="str">
        <f t="shared" si="64"/>
        <v/>
      </c>
      <c r="S79" s="84" t="str">
        <f t="shared" si="64"/>
        <v/>
      </c>
      <c r="T79" s="84" t="str">
        <f t="shared" si="64"/>
        <v/>
      </c>
      <c r="U79" s="84" t="str">
        <f t="shared" si="64"/>
        <v/>
      </c>
      <c r="V79" s="84" t="str">
        <f t="shared" si="64"/>
        <v/>
      </c>
      <c r="W79" s="84" t="str">
        <f t="shared" si="64"/>
        <v/>
      </c>
      <c r="X79" s="84" t="str">
        <f t="shared" si="64"/>
        <v/>
      </c>
      <c r="Y79" s="84" t="str">
        <f t="shared" si="64"/>
        <v/>
      </c>
      <c r="Z79" s="84" t="str">
        <f t="shared" si="64"/>
        <v/>
      </c>
      <c r="AA79" s="84" t="str">
        <f t="shared" si="64"/>
        <v/>
      </c>
      <c r="AB79" s="84" t="str">
        <f t="shared" si="64"/>
        <v/>
      </c>
      <c r="AC79" s="84" t="str">
        <f t="shared" si="64"/>
        <v/>
      </c>
      <c r="AD79" s="84" t="str">
        <f t="shared" si="64"/>
        <v/>
      </c>
      <c r="AE79" s="84" t="str">
        <f t="shared" si="64"/>
        <v/>
      </c>
      <c r="AF79" s="84" t="str">
        <f t="shared" si="64"/>
        <v/>
      </c>
      <c r="AG79" s="84" t="str">
        <f t="shared" si="64"/>
        <v/>
      </c>
      <c r="AH79" s="84" t="str">
        <f t="shared" si="64"/>
        <v/>
      </c>
      <c r="AI79" s="84" t="str">
        <f t="shared" si="64"/>
        <v/>
      </c>
      <c r="AJ79" s="84" t="str">
        <f t="shared" si="64"/>
        <v/>
      </c>
      <c r="AK79" s="84" t="str">
        <f t="shared" si="64"/>
        <v/>
      </c>
      <c r="AL79" s="84" t="str">
        <f t="shared" si="64"/>
        <v/>
      </c>
      <c r="AM79" s="84" t="str">
        <f t="shared" si="64"/>
        <v/>
      </c>
      <c r="AN79" s="84" t="str">
        <f t="shared" si="64"/>
        <v/>
      </c>
      <c r="AO79" s="84" t="str">
        <f t="shared" si="64"/>
        <v/>
      </c>
      <c r="AP79" s="84" t="str">
        <f t="shared" si="64"/>
        <v/>
      </c>
      <c r="AQ79" s="84" t="str">
        <f t="shared" si="64"/>
        <v/>
      </c>
      <c r="AR79" s="84" t="str">
        <f t="shared" si="64"/>
        <v/>
      </c>
      <c r="AS79" s="84" t="str">
        <f t="shared" si="64"/>
        <v/>
      </c>
      <c r="AT79" s="84" t="str">
        <f t="shared" si="64"/>
        <v/>
      </c>
      <c r="AU79" s="84" t="str">
        <f t="shared" si="64"/>
        <v/>
      </c>
      <c r="AV79" s="84" t="str">
        <f t="shared" si="64"/>
        <v/>
      </c>
      <c r="AW79" s="84" t="str">
        <f t="shared" si="64"/>
        <v/>
      </c>
      <c r="AX79" s="84" t="str">
        <f t="shared" si="64"/>
        <v/>
      </c>
      <c r="AY79" s="84" t="str">
        <f t="shared" si="64"/>
        <v/>
      </c>
      <c r="AZ79" s="84" t="str">
        <f t="shared" si="64"/>
        <v/>
      </c>
      <c r="BA79" s="84" t="str">
        <f t="shared" si="64"/>
        <v/>
      </c>
      <c r="BB79" s="84" t="str">
        <f t="shared" si="64"/>
        <v/>
      </c>
      <c r="BC79" s="84" t="str">
        <f t="shared" si="64"/>
        <v/>
      </c>
      <c r="BD79" s="84" t="str">
        <f t="shared" si="64"/>
        <v/>
      </c>
      <c r="BE79" s="84" t="str">
        <f t="shared" si="64"/>
        <v/>
      </c>
      <c r="BF79" s="84" t="str">
        <f t="shared" si="64"/>
        <v/>
      </c>
      <c r="BG79" s="84" t="str">
        <f t="shared" si="64"/>
        <v/>
      </c>
      <c r="BH79" s="84" t="str">
        <f t="shared" si="64"/>
        <v/>
      </c>
      <c r="BI79" s="84" t="str">
        <f t="shared" si="64"/>
        <v/>
      </c>
      <c r="BJ79" s="84" t="str">
        <f t="shared" si="64"/>
        <v/>
      </c>
      <c r="BK79" s="84" t="str">
        <f t="shared" si="64"/>
        <v/>
      </c>
      <c r="BL79" s="84" t="str">
        <f t="shared" si="64"/>
        <v/>
      </c>
      <c r="BM79" s="84" t="str">
        <f t="shared" si="64"/>
        <v/>
      </c>
      <c r="BN79" s="84" t="str">
        <f t="shared" si="64"/>
        <v/>
      </c>
      <c r="BO79" s="84" t="str">
        <f t="shared" si="64"/>
        <v/>
      </c>
      <c r="BP79" s="84" t="str">
        <f t="shared" si="64"/>
        <v/>
      </c>
      <c r="BQ79" s="84" t="str">
        <f t="shared" si="64"/>
        <v/>
      </c>
      <c r="BR79" s="84" t="str">
        <f t="shared" si="64"/>
        <v/>
      </c>
      <c r="BS79" s="76" t="str">
        <f t="shared" si="64"/>
        <v/>
      </c>
      <c r="BT79" s="76" t="str">
        <f t="shared" si="64"/>
        <v/>
      </c>
      <c r="BU79" s="76" t="str">
        <f t="shared" si="64"/>
        <v/>
      </c>
      <c r="BV79" s="76" t="str">
        <f t="shared" si="64"/>
        <v/>
      </c>
      <c r="BW79" s="76" t="str">
        <f t="shared" si="64"/>
        <v/>
      </c>
      <c r="BX79" s="76" t="str">
        <f t="shared" si="64"/>
        <v/>
      </c>
      <c r="BY79" s="76" t="str">
        <f t="shared" si="64"/>
        <v/>
      </c>
      <c r="BZ79" s="76" t="str">
        <f t="shared" si="64"/>
        <v/>
      </c>
      <c r="CA79" s="76" t="str">
        <f t="shared" si="64"/>
        <v/>
      </c>
      <c r="CB79" s="76" t="str">
        <f t="shared" si="64"/>
        <v/>
      </c>
      <c r="CC79" s="76" t="str">
        <f t="shared" si="64"/>
        <v/>
      </c>
      <c r="CD79" s="76" t="str">
        <f t="shared" si="64"/>
        <v/>
      </c>
      <c r="CE79" s="76" t="str">
        <f t="shared" si="64"/>
        <v/>
      </c>
      <c r="CF79" s="76" t="str">
        <f t="shared" si="64"/>
        <v/>
      </c>
      <c r="CG79" s="76" t="str">
        <f t="shared" si="64"/>
        <v/>
      </c>
      <c r="CH79" s="76" t="str">
        <f t="shared" si="64"/>
        <v/>
      </c>
      <c r="CI79" s="76" t="str">
        <f t="shared" si="64"/>
        <v/>
      </c>
      <c r="CJ79" s="76" t="str">
        <f t="shared" si="64"/>
        <v/>
      </c>
      <c r="CK79" s="76" t="str">
        <f t="shared" si="64"/>
        <v/>
      </c>
      <c r="CL79" s="76" t="str">
        <f t="shared" si="64"/>
        <v/>
      </c>
      <c r="CM79" s="76" t="str">
        <f t="shared" si="64"/>
        <v/>
      </c>
      <c r="CN79" s="76" t="str">
        <f t="shared" si="64"/>
        <v/>
      </c>
      <c r="CO79" s="76" t="str">
        <f t="shared" si="64"/>
        <v/>
      </c>
      <c r="CP79" s="76" t="str">
        <f t="shared" si="64"/>
        <v/>
      </c>
      <c r="CQ79" s="76" t="str">
        <f t="shared" si="64"/>
        <v/>
      </c>
      <c r="CR79" s="76" t="str">
        <f t="shared" si="64"/>
        <v/>
      </c>
      <c r="CS79" s="76" t="str">
        <f t="shared" si="64"/>
        <v/>
      </c>
      <c r="CT79" s="76" t="str">
        <f t="shared" si="64"/>
        <v/>
      </c>
      <c r="CU79" s="76" t="str">
        <f t="shared" si="64"/>
        <v/>
      </c>
      <c r="CV79" s="76" t="str">
        <f t="shared" si="64"/>
        <v/>
      </c>
      <c r="CW79" s="76" t="str">
        <f t="shared" si="64"/>
        <v/>
      </c>
      <c r="CX79" s="76" t="str">
        <f t="shared" si="64"/>
        <v/>
      </c>
      <c r="CY79" s="76" t="str">
        <f t="shared" si="64"/>
        <v/>
      </c>
      <c r="CZ79" s="76" t="str">
        <f t="shared" si="64"/>
        <v/>
      </c>
      <c r="DA79" s="76" t="str">
        <f t="shared" si="64"/>
        <v/>
      </c>
      <c r="DB79" s="76" t="str">
        <f t="shared" si="64"/>
        <v/>
      </c>
      <c r="DC79" s="76" t="str">
        <f t="shared" si="64"/>
        <v/>
      </c>
      <c r="DD79" s="76" t="str">
        <f t="shared" si="64"/>
        <v/>
      </c>
      <c r="DE79" s="76" t="str">
        <f t="shared" si="64"/>
        <v/>
      </c>
      <c r="DF79" s="76" t="str">
        <f t="shared" si="64"/>
        <v/>
      </c>
      <c r="DG79" s="76" t="str">
        <f t="shared" si="64"/>
        <v/>
      </c>
      <c r="DH79" s="76" t="str">
        <f t="shared" si="64"/>
        <v/>
      </c>
      <c r="DI79" s="76" t="str">
        <f t="shared" si="64"/>
        <v/>
      </c>
      <c r="DJ79" s="76" t="str">
        <f t="shared" si="64"/>
        <v/>
      </c>
      <c r="DK79" s="76" t="str">
        <f t="shared" si="64"/>
        <v/>
      </c>
      <c r="DL79" s="76" t="str">
        <f t="shared" si="64"/>
        <v/>
      </c>
      <c r="DM79" s="76" t="str">
        <f t="shared" si="64"/>
        <v/>
      </c>
      <c r="DN79" s="76" t="str">
        <f t="shared" si="64"/>
        <v/>
      </c>
      <c r="DO79" s="76" t="str">
        <f t="shared" si="64"/>
        <v/>
      </c>
      <c r="DP79" s="76" t="str">
        <f t="shared" si="64"/>
        <v/>
      </c>
      <c r="DQ79" s="76" t="str">
        <f t="shared" si="64"/>
        <v/>
      </c>
      <c r="DR79" s="76" t="str">
        <f t="shared" si="64"/>
        <v/>
      </c>
      <c r="DS79" s="76" t="str">
        <f t="shared" si="64"/>
        <v/>
      </c>
      <c r="DT79" s="76" t="str">
        <f t="shared" si="64"/>
        <v/>
      </c>
      <c r="DU79" s="76" t="str">
        <f t="shared" si="64"/>
        <v/>
      </c>
      <c r="DV79" s="76" t="str">
        <f t="shared" si="64"/>
        <v/>
      </c>
      <c r="DW79" s="76" t="str">
        <f t="shared" si="64"/>
        <v/>
      </c>
      <c r="DX79" s="76" t="str">
        <f t="shared" si="64"/>
        <v/>
      </c>
      <c r="DY79" s="76" t="str">
        <f t="shared" si="64"/>
        <v/>
      </c>
      <c r="DZ79" s="76" t="str">
        <f t="shared" si="64"/>
        <v/>
      </c>
      <c r="EA79" s="76" t="str">
        <f t="shared" si="64"/>
        <v/>
      </c>
      <c r="EB79" s="76" t="str">
        <f t="shared" si="64"/>
        <v/>
      </c>
      <c r="EC79" s="76" t="str">
        <f t="shared" si="64"/>
        <v/>
      </c>
      <c r="ED79" s="76" t="str">
        <f t="shared" si="64"/>
        <v/>
      </c>
      <c r="EE79" s="76" t="str">
        <f t="shared" si="64"/>
        <v/>
      </c>
      <c r="EF79" s="76" t="str">
        <f t="shared" si="64"/>
        <v/>
      </c>
      <c r="EG79" s="76" t="str">
        <f t="shared" si="64"/>
        <v/>
      </c>
      <c r="EH79" s="76" t="str">
        <f t="shared" si="64"/>
        <v/>
      </c>
      <c r="EI79" s="76" t="str">
        <f t="shared" si="64"/>
        <v/>
      </c>
      <c r="EJ79" s="76" t="str">
        <f t="shared" si="64"/>
        <v/>
      </c>
      <c r="EK79" s="76" t="str">
        <f t="shared" si="64"/>
        <v/>
      </c>
      <c r="EL79" s="76" t="str">
        <f t="shared" si="64"/>
        <v/>
      </c>
      <c r="EM79" s="76" t="str">
        <f t="shared" si="64"/>
        <v/>
      </c>
      <c r="EN79" s="76" t="str">
        <f t="shared" si="64"/>
        <v/>
      </c>
      <c r="EO79" s="76" t="str">
        <f t="shared" si="64"/>
        <v/>
      </c>
      <c r="EP79" s="76" t="str">
        <f t="shared" si="64"/>
        <v/>
      </c>
      <c r="EQ79" s="76" t="str">
        <f t="shared" si="64"/>
        <v/>
      </c>
      <c r="ER79" s="76" t="str">
        <f t="shared" si="64"/>
        <v/>
      </c>
      <c r="ES79" s="76" t="str">
        <f t="shared" si="64"/>
        <v/>
      </c>
    </row>
    <row r="80">
      <c r="A80" s="33"/>
      <c r="B80" s="58">
        <v>56.0</v>
      </c>
      <c r="C80" s="68"/>
      <c r="D80" s="68"/>
      <c r="E80" s="81"/>
      <c r="F80" s="81"/>
      <c r="G80" s="71"/>
      <c r="H80" s="72"/>
      <c r="I80" s="84" t="str">
        <f t="shared" ref="I80:ES80" si="65">IF(AND($E80&lt;=I$6,$F80&gt;=I$6),"X","")</f>
        <v/>
      </c>
      <c r="J80" s="84" t="str">
        <f t="shared" si="65"/>
        <v/>
      </c>
      <c r="K80" s="84" t="str">
        <f t="shared" si="65"/>
        <v/>
      </c>
      <c r="L80" s="84" t="str">
        <f t="shared" si="65"/>
        <v/>
      </c>
      <c r="M80" s="84" t="str">
        <f t="shared" si="65"/>
        <v/>
      </c>
      <c r="N80" s="84" t="str">
        <f t="shared" si="65"/>
        <v/>
      </c>
      <c r="O80" s="84" t="str">
        <f t="shared" si="65"/>
        <v/>
      </c>
      <c r="P80" s="84" t="str">
        <f t="shared" si="65"/>
        <v/>
      </c>
      <c r="Q80" s="84" t="str">
        <f t="shared" si="65"/>
        <v/>
      </c>
      <c r="R80" s="84" t="str">
        <f t="shared" si="65"/>
        <v/>
      </c>
      <c r="S80" s="84" t="str">
        <f t="shared" si="65"/>
        <v/>
      </c>
      <c r="T80" s="84" t="str">
        <f t="shared" si="65"/>
        <v/>
      </c>
      <c r="U80" s="84" t="str">
        <f t="shared" si="65"/>
        <v/>
      </c>
      <c r="V80" s="84" t="str">
        <f t="shared" si="65"/>
        <v/>
      </c>
      <c r="W80" s="84" t="str">
        <f t="shared" si="65"/>
        <v/>
      </c>
      <c r="X80" s="84" t="str">
        <f t="shared" si="65"/>
        <v/>
      </c>
      <c r="Y80" s="84" t="str">
        <f t="shared" si="65"/>
        <v/>
      </c>
      <c r="Z80" s="84" t="str">
        <f t="shared" si="65"/>
        <v/>
      </c>
      <c r="AA80" s="84" t="str">
        <f t="shared" si="65"/>
        <v/>
      </c>
      <c r="AB80" s="84" t="str">
        <f t="shared" si="65"/>
        <v/>
      </c>
      <c r="AC80" s="84" t="str">
        <f t="shared" si="65"/>
        <v/>
      </c>
      <c r="AD80" s="84" t="str">
        <f t="shared" si="65"/>
        <v/>
      </c>
      <c r="AE80" s="84" t="str">
        <f t="shared" si="65"/>
        <v/>
      </c>
      <c r="AF80" s="84" t="str">
        <f t="shared" si="65"/>
        <v/>
      </c>
      <c r="AG80" s="84" t="str">
        <f t="shared" si="65"/>
        <v/>
      </c>
      <c r="AH80" s="84" t="str">
        <f t="shared" si="65"/>
        <v/>
      </c>
      <c r="AI80" s="84" t="str">
        <f t="shared" si="65"/>
        <v/>
      </c>
      <c r="AJ80" s="84" t="str">
        <f t="shared" si="65"/>
        <v/>
      </c>
      <c r="AK80" s="84" t="str">
        <f t="shared" si="65"/>
        <v/>
      </c>
      <c r="AL80" s="84" t="str">
        <f t="shared" si="65"/>
        <v/>
      </c>
      <c r="AM80" s="84" t="str">
        <f t="shared" si="65"/>
        <v/>
      </c>
      <c r="AN80" s="84" t="str">
        <f t="shared" si="65"/>
        <v/>
      </c>
      <c r="AO80" s="84" t="str">
        <f t="shared" si="65"/>
        <v/>
      </c>
      <c r="AP80" s="84" t="str">
        <f t="shared" si="65"/>
        <v/>
      </c>
      <c r="AQ80" s="84" t="str">
        <f t="shared" si="65"/>
        <v/>
      </c>
      <c r="AR80" s="84" t="str">
        <f t="shared" si="65"/>
        <v/>
      </c>
      <c r="AS80" s="84" t="str">
        <f t="shared" si="65"/>
        <v/>
      </c>
      <c r="AT80" s="84" t="str">
        <f t="shared" si="65"/>
        <v/>
      </c>
      <c r="AU80" s="84" t="str">
        <f t="shared" si="65"/>
        <v/>
      </c>
      <c r="AV80" s="84" t="str">
        <f t="shared" si="65"/>
        <v/>
      </c>
      <c r="AW80" s="84" t="str">
        <f t="shared" si="65"/>
        <v/>
      </c>
      <c r="AX80" s="84" t="str">
        <f t="shared" si="65"/>
        <v/>
      </c>
      <c r="AY80" s="84" t="str">
        <f t="shared" si="65"/>
        <v/>
      </c>
      <c r="AZ80" s="84" t="str">
        <f t="shared" si="65"/>
        <v/>
      </c>
      <c r="BA80" s="84" t="str">
        <f t="shared" si="65"/>
        <v/>
      </c>
      <c r="BB80" s="84" t="str">
        <f t="shared" si="65"/>
        <v/>
      </c>
      <c r="BC80" s="84" t="str">
        <f t="shared" si="65"/>
        <v/>
      </c>
      <c r="BD80" s="84" t="str">
        <f t="shared" si="65"/>
        <v/>
      </c>
      <c r="BE80" s="84" t="str">
        <f t="shared" si="65"/>
        <v/>
      </c>
      <c r="BF80" s="84" t="str">
        <f t="shared" si="65"/>
        <v/>
      </c>
      <c r="BG80" s="84" t="str">
        <f t="shared" si="65"/>
        <v/>
      </c>
      <c r="BH80" s="84" t="str">
        <f t="shared" si="65"/>
        <v/>
      </c>
      <c r="BI80" s="84" t="str">
        <f t="shared" si="65"/>
        <v/>
      </c>
      <c r="BJ80" s="84" t="str">
        <f t="shared" si="65"/>
        <v/>
      </c>
      <c r="BK80" s="84" t="str">
        <f t="shared" si="65"/>
        <v/>
      </c>
      <c r="BL80" s="84" t="str">
        <f t="shared" si="65"/>
        <v/>
      </c>
      <c r="BM80" s="84" t="str">
        <f t="shared" si="65"/>
        <v/>
      </c>
      <c r="BN80" s="84" t="str">
        <f t="shared" si="65"/>
        <v/>
      </c>
      <c r="BO80" s="84" t="str">
        <f t="shared" si="65"/>
        <v/>
      </c>
      <c r="BP80" s="84" t="str">
        <f t="shared" si="65"/>
        <v/>
      </c>
      <c r="BQ80" s="84" t="str">
        <f t="shared" si="65"/>
        <v/>
      </c>
      <c r="BR80" s="84" t="str">
        <f t="shared" si="65"/>
        <v/>
      </c>
      <c r="BS80" s="76" t="str">
        <f t="shared" si="65"/>
        <v/>
      </c>
      <c r="BT80" s="76" t="str">
        <f t="shared" si="65"/>
        <v/>
      </c>
      <c r="BU80" s="76" t="str">
        <f t="shared" si="65"/>
        <v/>
      </c>
      <c r="BV80" s="76" t="str">
        <f t="shared" si="65"/>
        <v/>
      </c>
      <c r="BW80" s="76" t="str">
        <f t="shared" si="65"/>
        <v/>
      </c>
      <c r="BX80" s="76" t="str">
        <f t="shared" si="65"/>
        <v/>
      </c>
      <c r="BY80" s="76" t="str">
        <f t="shared" si="65"/>
        <v/>
      </c>
      <c r="BZ80" s="76" t="str">
        <f t="shared" si="65"/>
        <v/>
      </c>
      <c r="CA80" s="76" t="str">
        <f t="shared" si="65"/>
        <v/>
      </c>
      <c r="CB80" s="76" t="str">
        <f t="shared" si="65"/>
        <v/>
      </c>
      <c r="CC80" s="76" t="str">
        <f t="shared" si="65"/>
        <v/>
      </c>
      <c r="CD80" s="76" t="str">
        <f t="shared" si="65"/>
        <v/>
      </c>
      <c r="CE80" s="76" t="str">
        <f t="shared" si="65"/>
        <v/>
      </c>
      <c r="CF80" s="76" t="str">
        <f t="shared" si="65"/>
        <v/>
      </c>
      <c r="CG80" s="76" t="str">
        <f t="shared" si="65"/>
        <v/>
      </c>
      <c r="CH80" s="76" t="str">
        <f t="shared" si="65"/>
        <v/>
      </c>
      <c r="CI80" s="76" t="str">
        <f t="shared" si="65"/>
        <v/>
      </c>
      <c r="CJ80" s="76" t="str">
        <f t="shared" si="65"/>
        <v/>
      </c>
      <c r="CK80" s="76" t="str">
        <f t="shared" si="65"/>
        <v/>
      </c>
      <c r="CL80" s="76" t="str">
        <f t="shared" si="65"/>
        <v/>
      </c>
      <c r="CM80" s="76" t="str">
        <f t="shared" si="65"/>
        <v/>
      </c>
      <c r="CN80" s="76" t="str">
        <f t="shared" si="65"/>
        <v/>
      </c>
      <c r="CO80" s="76" t="str">
        <f t="shared" si="65"/>
        <v/>
      </c>
      <c r="CP80" s="76" t="str">
        <f t="shared" si="65"/>
        <v/>
      </c>
      <c r="CQ80" s="76" t="str">
        <f t="shared" si="65"/>
        <v/>
      </c>
      <c r="CR80" s="76" t="str">
        <f t="shared" si="65"/>
        <v/>
      </c>
      <c r="CS80" s="76" t="str">
        <f t="shared" si="65"/>
        <v/>
      </c>
      <c r="CT80" s="76" t="str">
        <f t="shared" si="65"/>
        <v/>
      </c>
      <c r="CU80" s="76" t="str">
        <f t="shared" si="65"/>
        <v/>
      </c>
      <c r="CV80" s="76" t="str">
        <f t="shared" si="65"/>
        <v/>
      </c>
      <c r="CW80" s="76" t="str">
        <f t="shared" si="65"/>
        <v/>
      </c>
      <c r="CX80" s="76" t="str">
        <f t="shared" si="65"/>
        <v/>
      </c>
      <c r="CY80" s="76" t="str">
        <f t="shared" si="65"/>
        <v/>
      </c>
      <c r="CZ80" s="76" t="str">
        <f t="shared" si="65"/>
        <v/>
      </c>
      <c r="DA80" s="76" t="str">
        <f t="shared" si="65"/>
        <v/>
      </c>
      <c r="DB80" s="76" t="str">
        <f t="shared" si="65"/>
        <v/>
      </c>
      <c r="DC80" s="76" t="str">
        <f t="shared" si="65"/>
        <v/>
      </c>
      <c r="DD80" s="76" t="str">
        <f t="shared" si="65"/>
        <v/>
      </c>
      <c r="DE80" s="76" t="str">
        <f t="shared" si="65"/>
        <v/>
      </c>
      <c r="DF80" s="76" t="str">
        <f t="shared" si="65"/>
        <v/>
      </c>
      <c r="DG80" s="76" t="str">
        <f t="shared" si="65"/>
        <v/>
      </c>
      <c r="DH80" s="76" t="str">
        <f t="shared" si="65"/>
        <v/>
      </c>
      <c r="DI80" s="76" t="str">
        <f t="shared" si="65"/>
        <v/>
      </c>
      <c r="DJ80" s="76" t="str">
        <f t="shared" si="65"/>
        <v/>
      </c>
      <c r="DK80" s="76" t="str">
        <f t="shared" si="65"/>
        <v/>
      </c>
      <c r="DL80" s="76" t="str">
        <f t="shared" si="65"/>
        <v/>
      </c>
      <c r="DM80" s="76" t="str">
        <f t="shared" si="65"/>
        <v/>
      </c>
      <c r="DN80" s="76" t="str">
        <f t="shared" si="65"/>
        <v/>
      </c>
      <c r="DO80" s="76" t="str">
        <f t="shared" si="65"/>
        <v/>
      </c>
      <c r="DP80" s="76" t="str">
        <f t="shared" si="65"/>
        <v/>
      </c>
      <c r="DQ80" s="76" t="str">
        <f t="shared" si="65"/>
        <v/>
      </c>
      <c r="DR80" s="76" t="str">
        <f t="shared" si="65"/>
        <v/>
      </c>
      <c r="DS80" s="76" t="str">
        <f t="shared" si="65"/>
        <v/>
      </c>
      <c r="DT80" s="76" t="str">
        <f t="shared" si="65"/>
        <v/>
      </c>
      <c r="DU80" s="76" t="str">
        <f t="shared" si="65"/>
        <v/>
      </c>
      <c r="DV80" s="76" t="str">
        <f t="shared" si="65"/>
        <v/>
      </c>
      <c r="DW80" s="76" t="str">
        <f t="shared" si="65"/>
        <v/>
      </c>
      <c r="DX80" s="76" t="str">
        <f t="shared" si="65"/>
        <v/>
      </c>
      <c r="DY80" s="76" t="str">
        <f t="shared" si="65"/>
        <v/>
      </c>
      <c r="DZ80" s="76" t="str">
        <f t="shared" si="65"/>
        <v/>
      </c>
      <c r="EA80" s="76" t="str">
        <f t="shared" si="65"/>
        <v/>
      </c>
      <c r="EB80" s="76" t="str">
        <f t="shared" si="65"/>
        <v/>
      </c>
      <c r="EC80" s="76" t="str">
        <f t="shared" si="65"/>
        <v/>
      </c>
      <c r="ED80" s="76" t="str">
        <f t="shared" si="65"/>
        <v/>
      </c>
      <c r="EE80" s="76" t="str">
        <f t="shared" si="65"/>
        <v/>
      </c>
      <c r="EF80" s="76" t="str">
        <f t="shared" si="65"/>
        <v/>
      </c>
      <c r="EG80" s="76" t="str">
        <f t="shared" si="65"/>
        <v/>
      </c>
      <c r="EH80" s="76" t="str">
        <f t="shared" si="65"/>
        <v/>
      </c>
      <c r="EI80" s="76" t="str">
        <f t="shared" si="65"/>
        <v/>
      </c>
      <c r="EJ80" s="76" t="str">
        <f t="shared" si="65"/>
        <v/>
      </c>
      <c r="EK80" s="76" t="str">
        <f t="shared" si="65"/>
        <v/>
      </c>
      <c r="EL80" s="76" t="str">
        <f t="shared" si="65"/>
        <v/>
      </c>
      <c r="EM80" s="76" t="str">
        <f t="shared" si="65"/>
        <v/>
      </c>
      <c r="EN80" s="76" t="str">
        <f t="shared" si="65"/>
        <v/>
      </c>
      <c r="EO80" s="76" t="str">
        <f t="shared" si="65"/>
        <v/>
      </c>
      <c r="EP80" s="76" t="str">
        <f t="shared" si="65"/>
        <v/>
      </c>
      <c r="EQ80" s="76" t="str">
        <f t="shared" si="65"/>
        <v/>
      </c>
      <c r="ER80" s="76" t="str">
        <f t="shared" si="65"/>
        <v/>
      </c>
      <c r="ES80" s="76" t="str">
        <f t="shared" si="65"/>
        <v/>
      </c>
    </row>
    <row r="81">
      <c r="A81" s="33"/>
      <c r="B81" s="33"/>
      <c r="C81" s="33"/>
      <c r="D81" s="33"/>
      <c r="E81" s="33"/>
      <c r="F81" s="33"/>
      <c r="G81" s="85"/>
      <c r="H81" s="85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</row>
    <row r="82">
      <c r="A82" s="33"/>
      <c r="B82" s="33"/>
      <c r="C82" s="33"/>
      <c r="D82" s="33"/>
      <c r="E82" s="33"/>
      <c r="F82" s="33"/>
      <c r="G82" s="85"/>
      <c r="H82" s="85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</row>
    <row r="83">
      <c r="A83" s="33"/>
      <c r="B83" s="33"/>
      <c r="C83" s="33"/>
      <c r="D83" s="33"/>
      <c r="E83" s="33"/>
      <c r="F83" s="33"/>
      <c r="G83" s="85"/>
      <c r="H83" s="85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</row>
    <row r="84">
      <c r="A84" s="33"/>
      <c r="B84" s="33"/>
      <c r="C84" s="33"/>
      <c r="D84" s="33"/>
      <c r="E84" s="33"/>
      <c r="F84" s="33"/>
      <c r="G84" s="85"/>
      <c r="H84" s="85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</row>
    <row r="85">
      <c r="A85" s="33"/>
      <c r="B85" s="33"/>
      <c r="C85" s="33"/>
      <c r="D85" s="33"/>
      <c r="E85" s="33"/>
      <c r="F85" s="33"/>
      <c r="G85" s="85"/>
      <c r="H85" s="85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</row>
    <row r="86">
      <c r="A86" s="33"/>
      <c r="B86" s="33"/>
      <c r="C86" s="33"/>
      <c r="D86" s="33"/>
      <c r="E86" s="33"/>
      <c r="F86" s="33"/>
      <c r="G86" s="85"/>
      <c r="H86" s="85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/>
      <c r="ES86" s="33"/>
    </row>
    <row r="87">
      <c r="A87" s="33"/>
      <c r="B87" s="33"/>
      <c r="C87" s="33"/>
      <c r="D87" s="33"/>
      <c r="E87" s="33"/>
      <c r="F87" s="33"/>
      <c r="G87" s="85"/>
      <c r="H87" s="85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</row>
    <row r="88">
      <c r="A88" s="33"/>
      <c r="B88" s="33"/>
      <c r="C88" s="33"/>
      <c r="D88" s="33"/>
      <c r="E88" s="33"/>
      <c r="F88" s="33"/>
      <c r="G88" s="85"/>
      <c r="H88" s="85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</row>
    <row r="89">
      <c r="A89" s="33"/>
      <c r="B89" s="33"/>
      <c r="C89" s="33"/>
      <c r="D89" s="33"/>
      <c r="E89" s="33"/>
      <c r="F89" s="33"/>
      <c r="G89" s="85"/>
      <c r="H89" s="85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</row>
    <row r="90">
      <c r="A90" s="33"/>
      <c r="B90" s="33"/>
      <c r="C90" s="33"/>
      <c r="D90" s="33"/>
      <c r="E90" s="33"/>
      <c r="F90" s="33"/>
      <c r="G90" s="85"/>
      <c r="H90" s="85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</row>
    <row r="91">
      <c r="A91" s="33"/>
      <c r="B91" s="33"/>
      <c r="C91" s="33"/>
      <c r="D91" s="33"/>
      <c r="E91" s="33"/>
      <c r="F91" s="33"/>
      <c r="G91" s="85"/>
      <c r="H91" s="85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</row>
    <row r="92">
      <c r="A92" s="33"/>
      <c r="B92" s="33"/>
      <c r="C92" s="33"/>
      <c r="D92" s="33"/>
      <c r="E92" s="33"/>
      <c r="F92" s="33"/>
      <c r="G92" s="85"/>
      <c r="H92" s="85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</row>
    <row r="93">
      <c r="A93" s="33"/>
      <c r="B93" s="33"/>
      <c r="C93" s="33"/>
      <c r="D93" s="33"/>
      <c r="E93" s="33"/>
      <c r="F93" s="33"/>
      <c r="G93" s="85"/>
      <c r="H93" s="85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</row>
    <row r="94">
      <c r="A94" s="33"/>
      <c r="B94" s="33"/>
      <c r="C94" s="33"/>
      <c r="D94" s="33"/>
      <c r="E94" s="33"/>
      <c r="F94" s="33"/>
      <c r="G94" s="85"/>
      <c r="H94" s="85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</row>
    <row r="95">
      <c r="A95" s="33"/>
      <c r="B95" s="33"/>
      <c r="C95" s="33"/>
      <c r="D95" s="33"/>
      <c r="E95" s="33"/>
      <c r="F95" s="33"/>
      <c r="G95" s="85"/>
      <c r="H95" s="85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</row>
    <row r="96">
      <c r="A96" s="33"/>
      <c r="B96" s="33"/>
      <c r="C96" s="33"/>
      <c r="D96" s="33"/>
      <c r="E96" s="33"/>
      <c r="F96" s="33"/>
      <c r="G96" s="85"/>
      <c r="H96" s="85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</row>
    <row r="97">
      <c r="A97" s="33"/>
      <c r="B97" s="33"/>
      <c r="C97" s="33"/>
      <c r="D97" s="33"/>
      <c r="E97" s="33"/>
      <c r="F97" s="33"/>
      <c r="G97" s="85"/>
      <c r="H97" s="85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</row>
    <row r="98">
      <c r="A98" s="33"/>
      <c r="B98" s="33"/>
      <c r="C98" s="33"/>
      <c r="D98" s="33"/>
      <c r="E98" s="33"/>
      <c r="F98" s="33"/>
      <c r="G98" s="85"/>
      <c r="H98" s="85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</row>
    <row r="99">
      <c r="A99" s="33"/>
      <c r="B99" s="33"/>
      <c r="C99" s="33"/>
      <c r="D99" s="33"/>
      <c r="E99" s="33"/>
      <c r="F99" s="33"/>
      <c r="G99" s="85"/>
      <c r="H99" s="85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3"/>
      <c r="EP99" s="33"/>
      <c r="EQ99" s="33"/>
      <c r="ER99" s="33"/>
      <c r="ES99" s="33"/>
    </row>
    <row r="100">
      <c r="A100" s="33"/>
      <c r="B100" s="33"/>
      <c r="C100" s="33"/>
      <c r="D100" s="33"/>
      <c r="E100" s="33"/>
      <c r="F100" s="33"/>
      <c r="G100" s="85"/>
      <c r="H100" s="85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</row>
    <row r="101">
      <c r="A101" s="33"/>
      <c r="B101" s="33"/>
      <c r="C101" s="33"/>
      <c r="D101" s="33"/>
      <c r="E101" s="33"/>
      <c r="F101" s="33"/>
      <c r="G101" s="85"/>
      <c r="H101" s="85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</row>
    <row r="102">
      <c r="A102" s="33"/>
      <c r="B102" s="33"/>
      <c r="C102" s="33"/>
      <c r="D102" s="33"/>
      <c r="E102" s="33"/>
      <c r="F102" s="33"/>
      <c r="G102" s="85"/>
      <c r="H102" s="85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</row>
    <row r="103">
      <c r="A103" s="33"/>
      <c r="B103" s="33"/>
      <c r="C103" s="33"/>
      <c r="D103" s="33"/>
      <c r="E103" s="33"/>
      <c r="F103" s="33"/>
      <c r="G103" s="85"/>
      <c r="H103" s="85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</row>
    <row r="104">
      <c r="A104" s="33"/>
      <c r="B104" s="33"/>
      <c r="C104" s="33"/>
      <c r="D104" s="33"/>
      <c r="E104" s="33"/>
      <c r="F104" s="33"/>
      <c r="G104" s="85"/>
      <c r="H104" s="85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</row>
    <row r="105">
      <c r="A105" s="33"/>
      <c r="B105" s="33"/>
      <c r="C105" s="33"/>
      <c r="D105" s="33"/>
      <c r="E105" s="33"/>
      <c r="F105" s="33"/>
      <c r="G105" s="85"/>
      <c r="H105" s="85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</row>
    <row r="106">
      <c r="A106" s="33"/>
      <c r="B106" s="33"/>
      <c r="C106" s="33"/>
      <c r="D106" s="33"/>
      <c r="E106" s="33"/>
      <c r="F106" s="33"/>
      <c r="G106" s="85"/>
      <c r="H106" s="85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</row>
    <row r="107">
      <c r="A107" s="33"/>
      <c r="B107" s="33"/>
      <c r="C107" s="33"/>
      <c r="D107" s="33"/>
      <c r="E107" s="33"/>
      <c r="F107" s="33"/>
      <c r="G107" s="85"/>
      <c r="H107" s="85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</row>
    <row r="108">
      <c r="A108" s="33"/>
      <c r="B108" s="33"/>
      <c r="C108" s="33"/>
      <c r="D108" s="33"/>
      <c r="E108" s="33"/>
      <c r="F108" s="33"/>
      <c r="G108" s="85"/>
      <c r="H108" s="85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/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</row>
    <row r="109">
      <c r="A109" s="33"/>
      <c r="B109" s="33"/>
      <c r="C109" s="33"/>
      <c r="D109" s="33"/>
      <c r="E109" s="33"/>
      <c r="F109" s="33"/>
      <c r="G109" s="85"/>
      <c r="H109" s="85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/>
      <c r="AQ109" s="33"/>
      <c r="AR109" s="33"/>
      <c r="AS109" s="33"/>
      <c r="AT109" s="33"/>
      <c r="AU109" s="33"/>
      <c r="AV109" s="33"/>
      <c r="AW109" s="33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/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</row>
    <row r="110">
      <c r="A110" s="33"/>
      <c r="B110" s="33"/>
      <c r="C110" s="33"/>
      <c r="D110" s="33"/>
      <c r="E110" s="33"/>
      <c r="F110" s="33"/>
      <c r="G110" s="85"/>
      <c r="H110" s="85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/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</row>
    <row r="111">
      <c r="A111" s="33"/>
      <c r="B111" s="33"/>
      <c r="C111" s="33"/>
      <c r="D111" s="33"/>
      <c r="E111" s="33"/>
      <c r="F111" s="33"/>
      <c r="G111" s="85"/>
      <c r="H111" s="85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/>
      <c r="AQ111" s="33"/>
      <c r="AR111" s="33"/>
      <c r="AS111" s="33"/>
      <c r="AT111" s="33"/>
      <c r="AU111" s="33"/>
      <c r="AV111" s="33"/>
      <c r="AW111" s="33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/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</row>
    <row r="112">
      <c r="A112" s="33"/>
      <c r="B112" s="33"/>
      <c r="C112" s="33"/>
      <c r="D112" s="33"/>
      <c r="E112" s="33"/>
      <c r="F112" s="33"/>
      <c r="G112" s="85"/>
      <c r="H112" s="85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/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</row>
    <row r="113">
      <c r="A113" s="33"/>
      <c r="B113" s="33"/>
      <c r="C113" s="33"/>
      <c r="D113" s="33"/>
      <c r="E113" s="33"/>
      <c r="F113" s="33"/>
      <c r="G113" s="85"/>
      <c r="H113" s="85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/>
      <c r="BX113" s="33"/>
      <c r="BY113" s="33"/>
      <c r="BZ113" s="33"/>
      <c r="CA113" s="33"/>
      <c r="CB113" s="33"/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</row>
    <row r="114">
      <c r="A114" s="33"/>
      <c r="B114" s="33"/>
      <c r="C114" s="33"/>
      <c r="D114" s="33"/>
      <c r="E114" s="33"/>
      <c r="F114" s="33"/>
      <c r="G114" s="85"/>
      <c r="H114" s="85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3"/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</row>
    <row r="115">
      <c r="A115" s="33"/>
      <c r="B115" s="33"/>
      <c r="C115" s="33"/>
      <c r="D115" s="33"/>
      <c r="E115" s="33"/>
      <c r="F115" s="33"/>
      <c r="G115" s="85"/>
      <c r="H115" s="85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  <c r="AX115" s="33"/>
      <c r="AY115" s="33"/>
      <c r="AZ115" s="33"/>
      <c r="BA115" s="33"/>
      <c r="BB115" s="33"/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/>
      <c r="BX115" s="33"/>
      <c r="BY115" s="33"/>
      <c r="BZ115" s="33"/>
      <c r="CA115" s="33"/>
      <c r="CB115" s="33"/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</row>
    <row r="116">
      <c r="A116" s="33"/>
      <c r="B116" s="33"/>
      <c r="C116" s="33"/>
      <c r="D116" s="33"/>
      <c r="E116" s="33"/>
      <c r="F116" s="33"/>
      <c r="G116" s="85"/>
      <c r="H116" s="85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</row>
    <row r="117">
      <c r="A117" s="33"/>
      <c r="B117" s="33"/>
      <c r="C117" s="33"/>
      <c r="D117" s="33"/>
      <c r="E117" s="33"/>
      <c r="F117" s="33"/>
      <c r="G117" s="85"/>
      <c r="H117" s="85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</row>
    <row r="118">
      <c r="A118" s="33"/>
      <c r="B118" s="33"/>
      <c r="C118" s="33"/>
      <c r="D118" s="33"/>
      <c r="E118" s="33"/>
      <c r="F118" s="33"/>
      <c r="G118" s="85"/>
      <c r="H118" s="85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</row>
    <row r="119">
      <c r="A119" s="33"/>
      <c r="B119" s="33"/>
      <c r="C119" s="33"/>
      <c r="D119" s="33"/>
      <c r="E119" s="33"/>
      <c r="F119" s="33"/>
      <c r="G119" s="85"/>
      <c r="H119" s="85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</row>
    <row r="120">
      <c r="A120" s="33"/>
      <c r="B120" s="33"/>
      <c r="C120" s="33"/>
      <c r="D120" s="33"/>
      <c r="E120" s="33"/>
      <c r="F120" s="33"/>
      <c r="G120" s="85"/>
      <c r="H120" s="85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</row>
    <row r="121">
      <c r="A121" s="33"/>
      <c r="B121" s="33"/>
      <c r="C121" s="33"/>
      <c r="D121" s="33"/>
      <c r="E121" s="33"/>
      <c r="F121" s="33"/>
      <c r="G121" s="85"/>
      <c r="H121" s="85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</row>
    <row r="122">
      <c r="A122" s="33"/>
      <c r="B122" s="33"/>
      <c r="C122" s="33"/>
      <c r="D122" s="33"/>
      <c r="E122" s="33"/>
      <c r="F122" s="33"/>
      <c r="G122" s="85"/>
      <c r="H122" s="85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</row>
    <row r="123">
      <c r="A123" s="33"/>
      <c r="B123" s="33"/>
      <c r="C123" s="33"/>
      <c r="D123" s="33"/>
      <c r="E123" s="33"/>
      <c r="F123" s="33"/>
      <c r="G123" s="85"/>
      <c r="H123" s="85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</row>
    <row r="124">
      <c r="A124" s="33"/>
      <c r="B124" s="33"/>
      <c r="C124" s="33"/>
      <c r="D124" s="33"/>
      <c r="E124" s="33"/>
      <c r="F124" s="33"/>
      <c r="G124" s="85"/>
      <c r="H124" s="85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</row>
    <row r="125">
      <c r="A125" s="33"/>
      <c r="B125" s="33"/>
      <c r="C125" s="33"/>
      <c r="D125" s="33"/>
      <c r="E125" s="33"/>
      <c r="F125" s="33"/>
      <c r="G125" s="85"/>
      <c r="H125" s="85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</row>
    <row r="126">
      <c r="A126" s="33"/>
      <c r="B126" s="33"/>
      <c r="C126" s="33"/>
      <c r="D126" s="33"/>
      <c r="E126" s="33"/>
      <c r="F126" s="33"/>
      <c r="G126" s="85"/>
      <c r="H126" s="85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</row>
    <row r="127">
      <c r="A127" s="33"/>
      <c r="B127" s="33"/>
      <c r="C127" s="33"/>
      <c r="D127" s="33"/>
      <c r="E127" s="33"/>
      <c r="F127" s="33"/>
      <c r="G127" s="85"/>
      <c r="H127" s="85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</row>
    <row r="128">
      <c r="A128" s="33"/>
      <c r="B128" s="33"/>
      <c r="C128" s="33"/>
      <c r="D128" s="33"/>
      <c r="E128" s="33"/>
      <c r="F128" s="33"/>
      <c r="G128" s="85"/>
      <c r="H128" s="85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</row>
    <row r="129">
      <c r="A129" s="33"/>
      <c r="B129" s="33"/>
      <c r="C129" s="33"/>
      <c r="D129" s="33"/>
      <c r="E129" s="33"/>
      <c r="F129" s="33"/>
      <c r="G129" s="85"/>
      <c r="H129" s="85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</row>
    <row r="130">
      <c r="A130" s="33"/>
      <c r="B130" s="33"/>
      <c r="C130" s="33"/>
      <c r="D130" s="33"/>
      <c r="E130" s="33"/>
      <c r="F130" s="33"/>
      <c r="G130" s="85"/>
      <c r="H130" s="85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</row>
    <row r="131">
      <c r="A131" s="33"/>
      <c r="B131" s="33"/>
      <c r="C131" s="33"/>
      <c r="D131" s="33"/>
      <c r="E131" s="33"/>
      <c r="F131" s="33"/>
      <c r="G131" s="85"/>
      <c r="H131" s="85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</row>
    <row r="132">
      <c r="A132" s="33"/>
      <c r="B132" s="33"/>
      <c r="C132" s="33"/>
      <c r="D132" s="33"/>
      <c r="E132" s="33"/>
      <c r="F132" s="33"/>
      <c r="G132" s="85"/>
      <c r="H132" s="85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</row>
    <row r="133">
      <c r="A133" s="33"/>
      <c r="B133" s="33"/>
      <c r="C133" s="33"/>
      <c r="D133" s="33"/>
      <c r="E133" s="33"/>
      <c r="F133" s="33"/>
      <c r="G133" s="85"/>
      <c r="H133" s="85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/>
      <c r="AP133" s="33"/>
      <c r="AQ133" s="33"/>
      <c r="AR133" s="33"/>
      <c r="AS133" s="33"/>
      <c r="AT133" s="33"/>
      <c r="AU133" s="33"/>
      <c r="AV133" s="33"/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/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</row>
    <row r="134">
      <c r="A134" s="33"/>
      <c r="B134" s="33"/>
      <c r="C134" s="33"/>
      <c r="D134" s="33"/>
      <c r="E134" s="33"/>
      <c r="F134" s="33"/>
      <c r="G134" s="85"/>
      <c r="H134" s="85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</row>
    <row r="135">
      <c r="A135" s="33"/>
      <c r="B135" s="33"/>
      <c r="C135" s="33"/>
      <c r="D135" s="33"/>
      <c r="E135" s="33"/>
      <c r="F135" s="33"/>
      <c r="G135" s="85"/>
      <c r="H135" s="85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</row>
    <row r="136">
      <c r="A136" s="33"/>
      <c r="B136" s="33"/>
      <c r="C136" s="33"/>
      <c r="D136" s="33"/>
      <c r="E136" s="33"/>
      <c r="F136" s="33"/>
      <c r="G136" s="85"/>
      <c r="H136" s="85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</row>
    <row r="137">
      <c r="A137" s="33"/>
      <c r="B137" s="33"/>
      <c r="C137" s="33"/>
      <c r="D137" s="33"/>
      <c r="E137" s="33"/>
      <c r="F137" s="33"/>
      <c r="G137" s="85"/>
      <c r="H137" s="85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</row>
    <row r="138">
      <c r="A138" s="33"/>
      <c r="B138" s="33"/>
      <c r="C138" s="33"/>
      <c r="D138" s="33"/>
      <c r="E138" s="33"/>
      <c r="F138" s="33"/>
      <c r="G138" s="85"/>
      <c r="H138" s="85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</row>
    <row r="139">
      <c r="A139" s="33"/>
      <c r="B139" s="33"/>
      <c r="C139" s="33"/>
      <c r="D139" s="33"/>
      <c r="E139" s="33"/>
      <c r="F139" s="33"/>
      <c r="G139" s="85"/>
      <c r="H139" s="85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</row>
    <row r="140">
      <c r="A140" s="33"/>
      <c r="B140" s="33"/>
      <c r="C140" s="33"/>
      <c r="D140" s="33"/>
      <c r="E140" s="33"/>
      <c r="F140" s="33"/>
      <c r="G140" s="85"/>
      <c r="H140" s="85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</row>
    <row r="141">
      <c r="A141" s="33"/>
      <c r="B141" s="33"/>
      <c r="C141" s="33"/>
      <c r="D141" s="33"/>
      <c r="E141" s="33"/>
      <c r="F141" s="33"/>
      <c r="G141" s="85"/>
      <c r="H141" s="85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F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</row>
    <row r="142">
      <c r="A142" s="33"/>
      <c r="B142" s="33"/>
      <c r="C142" s="33"/>
      <c r="D142" s="33"/>
      <c r="E142" s="33"/>
      <c r="F142" s="33"/>
      <c r="G142" s="85"/>
      <c r="H142" s="85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</row>
    <row r="143">
      <c r="A143" s="33"/>
      <c r="B143" s="33"/>
      <c r="C143" s="33"/>
      <c r="D143" s="33"/>
      <c r="E143" s="33"/>
      <c r="F143" s="33"/>
      <c r="G143" s="85"/>
      <c r="H143" s="85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F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</row>
    <row r="144">
      <c r="A144" s="33"/>
      <c r="B144" s="33"/>
      <c r="C144" s="33"/>
      <c r="D144" s="33"/>
      <c r="E144" s="33"/>
      <c r="F144" s="33"/>
      <c r="G144" s="85"/>
      <c r="H144" s="85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</row>
    <row r="145">
      <c r="A145" s="33"/>
      <c r="B145" s="33"/>
      <c r="C145" s="33"/>
      <c r="D145" s="33"/>
      <c r="E145" s="33"/>
      <c r="F145" s="33"/>
      <c r="G145" s="85"/>
      <c r="H145" s="85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</row>
    <row r="146">
      <c r="A146" s="33"/>
      <c r="B146" s="33"/>
      <c r="C146" s="33"/>
      <c r="D146" s="33"/>
      <c r="E146" s="33"/>
      <c r="F146" s="33"/>
      <c r="G146" s="85"/>
      <c r="H146" s="85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</row>
    <row r="147">
      <c r="A147" s="33"/>
      <c r="B147" s="33"/>
      <c r="C147" s="33"/>
      <c r="D147" s="33"/>
      <c r="E147" s="33"/>
      <c r="F147" s="33"/>
      <c r="G147" s="85"/>
      <c r="H147" s="85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</row>
    <row r="148">
      <c r="A148" s="33"/>
      <c r="B148" s="33"/>
      <c r="C148" s="33"/>
      <c r="D148" s="33"/>
      <c r="E148" s="33"/>
      <c r="F148" s="33"/>
      <c r="G148" s="85"/>
      <c r="H148" s="85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</row>
    <row r="149">
      <c r="A149" s="33"/>
      <c r="B149" s="33"/>
      <c r="C149" s="33"/>
      <c r="D149" s="33"/>
      <c r="E149" s="33"/>
      <c r="F149" s="33"/>
      <c r="G149" s="85"/>
      <c r="H149" s="85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</row>
    <row r="150">
      <c r="A150" s="33"/>
      <c r="B150" s="33"/>
      <c r="C150" s="33"/>
      <c r="D150" s="33"/>
      <c r="E150" s="33"/>
      <c r="F150" s="33"/>
      <c r="G150" s="85"/>
      <c r="H150" s="85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</row>
    <row r="151">
      <c r="A151" s="33"/>
      <c r="B151" s="33"/>
      <c r="C151" s="33"/>
      <c r="D151" s="33"/>
      <c r="E151" s="33"/>
      <c r="F151" s="33"/>
      <c r="G151" s="85"/>
      <c r="H151" s="85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/>
      <c r="AU151" s="33"/>
      <c r="AV151" s="33"/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/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</row>
    <row r="152">
      <c r="A152" s="33"/>
      <c r="B152" s="33"/>
      <c r="C152" s="33"/>
      <c r="D152" s="33"/>
      <c r="E152" s="33"/>
      <c r="F152" s="33"/>
      <c r="G152" s="85"/>
      <c r="H152" s="85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/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</row>
    <row r="153">
      <c r="A153" s="33"/>
      <c r="B153" s="33"/>
      <c r="C153" s="33"/>
      <c r="D153" s="33"/>
      <c r="E153" s="33"/>
      <c r="F153" s="33"/>
      <c r="G153" s="85"/>
      <c r="H153" s="85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3"/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</row>
    <row r="154">
      <c r="A154" s="33"/>
      <c r="B154" s="33"/>
      <c r="C154" s="33"/>
      <c r="D154" s="33"/>
      <c r="E154" s="33"/>
      <c r="F154" s="33"/>
      <c r="G154" s="85"/>
      <c r="H154" s="85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/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</row>
    <row r="155">
      <c r="A155" s="33"/>
      <c r="B155" s="33"/>
      <c r="C155" s="33"/>
      <c r="D155" s="33"/>
      <c r="E155" s="33"/>
      <c r="F155" s="33"/>
      <c r="G155" s="85"/>
      <c r="H155" s="85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</row>
    <row r="156">
      <c r="A156" s="33"/>
      <c r="B156" s="33"/>
      <c r="C156" s="33"/>
      <c r="D156" s="33"/>
      <c r="E156" s="33"/>
      <c r="F156" s="33"/>
      <c r="G156" s="85"/>
      <c r="H156" s="85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/>
      <c r="AQ156" s="33"/>
      <c r="AR156" s="33"/>
      <c r="AS156" s="33"/>
      <c r="AT156" s="33"/>
      <c r="AU156" s="33"/>
      <c r="AV156" s="33"/>
      <c r="AW156" s="33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  <c r="BU156" s="33"/>
      <c r="BV156" s="33"/>
      <c r="BW156" s="33"/>
      <c r="BX156" s="33"/>
      <c r="BY156" s="33"/>
      <c r="BZ156" s="33"/>
      <c r="CA156" s="33"/>
      <c r="CB156" s="33"/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/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</row>
    <row r="157">
      <c r="A157" s="33"/>
      <c r="B157" s="33"/>
      <c r="C157" s="33"/>
      <c r="D157" s="33"/>
      <c r="E157" s="33"/>
      <c r="F157" s="33"/>
      <c r="G157" s="85"/>
      <c r="H157" s="85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/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</row>
    <row r="158">
      <c r="A158" s="33"/>
      <c r="B158" s="33"/>
      <c r="C158" s="33"/>
      <c r="D158" s="33"/>
      <c r="E158" s="33"/>
      <c r="F158" s="33"/>
      <c r="G158" s="85"/>
      <c r="H158" s="85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/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</row>
    <row r="159">
      <c r="A159" s="33"/>
      <c r="B159" s="33"/>
      <c r="C159" s="33"/>
      <c r="D159" s="33"/>
      <c r="E159" s="33"/>
      <c r="F159" s="33"/>
      <c r="G159" s="85"/>
      <c r="H159" s="85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/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</row>
    <row r="160">
      <c r="A160" s="33"/>
      <c r="B160" s="33"/>
      <c r="C160" s="33"/>
      <c r="D160" s="33"/>
      <c r="E160" s="33"/>
      <c r="F160" s="33"/>
      <c r="G160" s="85"/>
      <c r="H160" s="85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/>
      <c r="AN160" s="33"/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/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  <c r="BU160" s="33"/>
      <c r="BV160" s="33"/>
      <c r="BW160" s="33"/>
      <c r="BX160" s="33"/>
      <c r="BY160" s="33"/>
      <c r="BZ160" s="33"/>
      <c r="CA160" s="33"/>
      <c r="CB160" s="33"/>
      <c r="CC160" s="33"/>
      <c r="CD160" s="33"/>
      <c r="CE160" s="33"/>
      <c r="CF160" s="33"/>
      <c r="CG160" s="33"/>
      <c r="CH160" s="33"/>
      <c r="CI160" s="33"/>
      <c r="CJ160" s="33"/>
      <c r="CK160" s="33"/>
      <c r="CL160" s="33"/>
      <c r="CM160" s="33"/>
      <c r="CN160" s="33"/>
      <c r="CO160" s="33"/>
      <c r="CP160" s="33"/>
      <c r="CQ160" s="33"/>
      <c r="CR160" s="33"/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</row>
    <row r="161">
      <c r="A161" s="33"/>
      <c r="B161" s="33"/>
      <c r="C161" s="33"/>
      <c r="D161" s="33"/>
      <c r="E161" s="33"/>
      <c r="F161" s="33"/>
      <c r="G161" s="85"/>
      <c r="H161" s="85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3"/>
      <c r="AP161" s="33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3"/>
      <c r="BC161" s="33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3"/>
      <c r="CC161" s="33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3"/>
      <c r="CP161" s="33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</row>
    <row r="162">
      <c r="A162" s="33"/>
      <c r="B162" s="33"/>
      <c r="C162" s="33"/>
      <c r="D162" s="33"/>
      <c r="E162" s="33"/>
      <c r="F162" s="33"/>
      <c r="G162" s="85"/>
      <c r="H162" s="85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/>
      <c r="AN162" s="33"/>
      <c r="AO162" s="33"/>
      <c r="AP162" s="33"/>
      <c r="AQ162" s="33"/>
      <c r="AR162" s="33"/>
      <c r="AS162" s="33"/>
      <c r="AT162" s="33"/>
      <c r="AU162" s="33"/>
      <c r="AV162" s="33"/>
      <c r="AW162" s="33"/>
      <c r="AX162" s="33"/>
      <c r="AY162" s="33"/>
      <c r="AZ162" s="33"/>
      <c r="BA162" s="33"/>
      <c r="BB162" s="33"/>
      <c r="BC162" s="33"/>
      <c r="BD162" s="33"/>
      <c r="BE162" s="33"/>
      <c r="BF162" s="33"/>
      <c r="BG162" s="33"/>
      <c r="BH162" s="33"/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  <c r="BU162" s="33"/>
      <c r="BV162" s="33"/>
      <c r="BW162" s="33"/>
      <c r="BX162" s="33"/>
      <c r="BY162" s="33"/>
      <c r="BZ162" s="33"/>
      <c r="CA162" s="33"/>
      <c r="CB162" s="33"/>
      <c r="CC162" s="33"/>
      <c r="CD162" s="33"/>
      <c r="CE162" s="33"/>
      <c r="CF162" s="33"/>
      <c r="CG162" s="33"/>
      <c r="CH162" s="33"/>
      <c r="CI162" s="33"/>
      <c r="CJ162" s="33"/>
      <c r="CK162" s="33"/>
      <c r="CL162" s="33"/>
      <c r="CM162" s="33"/>
      <c r="CN162" s="33"/>
      <c r="CO162" s="33"/>
      <c r="CP162" s="33"/>
      <c r="CQ162" s="33"/>
      <c r="CR162" s="33"/>
      <c r="CS162" s="33"/>
      <c r="CT162" s="33"/>
      <c r="CU162" s="33"/>
      <c r="CV162" s="33"/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</row>
    <row r="163">
      <c r="A163" s="33"/>
      <c r="B163" s="33"/>
      <c r="C163" s="33"/>
      <c r="D163" s="33"/>
      <c r="E163" s="33"/>
      <c r="F163" s="33"/>
      <c r="G163" s="85"/>
      <c r="H163" s="85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3"/>
      <c r="AP163" s="33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3"/>
      <c r="BC163" s="33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3"/>
      <c r="CC163" s="33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3"/>
      <c r="CP163" s="33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</row>
    <row r="164">
      <c r="A164" s="33"/>
      <c r="B164" s="33"/>
      <c r="C164" s="33"/>
      <c r="D164" s="33"/>
      <c r="E164" s="33"/>
      <c r="F164" s="33"/>
      <c r="G164" s="85"/>
      <c r="H164" s="85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  <c r="AK164" s="33"/>
      <c r="AL164" s="33"/>
      <c r="AM164" s="33"/>
      <c r="AN164" s="33"/>
      <c r="AO164" s="33"/>
      <c r="AP164" s="33"/>
      <c r="AQ164" s="33"/>
      <c r="AR164" s="33"/>
      <c r="AS164" s="33"/>
      <c r="AT164" s="33"/>
      <c r="AU164" s="33"/>
      <c r="AV164" s="33"/>
      <c r="AW164" s="33"/>
      <c r="AX164" s="33"/>
      <c r="AY164" s="33"/>
      <c r="AZ164" s="33"/>
      <c r="BA164" s="33"/>
      <c r="BB164" s="33"/>
      <c r="BC164" s="33"/>
      <c r="BD164" s="33"/>
      <c r="BE164" s="33"/>
      <c r="BF164" s="33"/>
      <c r="BG164" s="33"/>
      <c r="BH164" s="33"/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  <c r="BU164" s="33"/>
      <c r="BV164" s="33"/>
      <c r="BW164" s="33"/>
      <c r="BX164" s="33"/>
      <c r="BY164" s="33"/>
      <c r="BZ164" s="33"/>
      <c r="CA164" s="33"/>
      <c r="CB164" s="33"/>
      <c r="CC164" s="33"/>
      <c r="CD164" s="33"/>
      <c r="CE164" s="33"/>
      <c r="CF164" s="33"/>
      <c r="CG164" s="33"/>
      <c r="CH164" s="33"/>
      <c r="CI164" s="33"/>
      <c r="CJ164" s="33"/>
      <c r="CK164" s="33"/>
      <c r="CL164" s="33"/>
      <c r="CM164" s="33"/>
      <c r="CN164" s="33"/>
      <c r="CO164" s="33"/>
      <c r="CP164" s="33"/>
      <c r="CQ164" s="33"/>
      <c r="CR164" s="33"/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</row>
    <row r="165">
      <c r="A165" s="33"/>
      <c r="B165" s="33"/>
      <c r="C165" s="33"/>
      <c r="D165" s="33"/>
      <c r="E165" s="33"/>
      <c r="F165" s="33"/>
      <c r="G165" s="85"/>
      <c r="H165" s="85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</row>
    <row r="166">
      <c r="A166" s="33"/>
      <c r="B166" s="33"/>
      <c r="C166" s="33"/>
      <c r="D166" s="33"/>
      <c r="E166" s="33"/>
      <c r="F166" s="33"/>
      <c r="G166" s="85"/>
      <c r="H166" s="85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/>
      <c r="AQ166" s="33"/>
      <c r="AR166" s="33"/>
      <c r="AS166" s="33"/>
      <c r="AT166" s="33"/>
      <c r="AU166" s="33"/>
      <c r="AV166" s="33"/>
      <c r="AW166" s="33"/>
      <c r="AX166" s="33"/>
      <c r="AY166" s="33"/>
      <c r="AZ166" s="33"/>
      <c r="BA166" s="33"/>
      <c r="BB166" s="33"/>
      <c r="BC166" s="33"/>
      <c r="BD166" s="33"/>
      <c r="BE166" s="33"/>
      <c r="BF166" s="33"/>
      <c r="BG166" s="33"/>
      <c r="BH166" s="33"/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  <c r="BU166" s="33"/>
      <c r="BV166" s="33"/>
      <c r="BW166" s="33"/>
      <c r="BX166" s="33"/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/>
      <c r="CM166" s="33"/>
      <c r="CN166" s="33"/>
      <c r="CO166" s="33"/>
      <c r="CP166" s="33"/>
      <c r="CQ166" s="33"/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</row>
    <row r="167">
      <c r="A167" s="33"/>
      <c r="B167" s="33"/>
      <c r="C167" s="33"/>
      <c r="D167" s="33"/>
      <c r="E167" s="33"/>
      <c r="F167" s="33"/>
      <c r="G167" s="85"/>
      <c r="H167" s="85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</row>
    <row r="168">
      <c r="A168" s="33"/>
      <c r="B168" s="33"/>
      <c r="C168" s="33"/>
      <c r="D168" s="33"/>
      <c r="E168" s="33"/>
      <c r="F168" s="33"/>
      <c r="G168" s="85"/>
      <c r="H168" s="85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/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  <c r="BU168" s="33"/>
      <c r="BV168" s="33"/>
      <c r="BW168" s="33"/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/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</row>
    <row r="169">
      <c r="A169" s="33"/>
      <c r="B169" s="33"/>
      <c r="C169" s="33"/>
      <c r="D169" s="33"/>
      <c r="E169" s="33"/>
      <c r="F169" s="33"/>
      <c r="G169" s="85"/>
      <c r="H169" s="85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</row>
    <row r="170">
      <c r="A170" s="33"/>
      <c r="B170" s="33"/>
      <c r="C170" s="33"/>
      <c r="D170" s="33"/>
      <c r="E170" s="33"/>
      <c r="F170" s="33"/>
      <c r="G170" s="85"/>
      <c r="H170" s="85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/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/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  <c r="BU170" s="33"/>
      <c r="BV170" s="33"/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/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</row>
    <row r="171">
      <c r="A171" s="33"/>
      <c r="B171" s="33"/>
      <c r="C171" s="33"/>
      <c r="D171" s="33"/>
      <c r="E171" s="33"/>
      <c r="F171" s="33"/>
      <c r="G171" s="85"/>
      <c r="H171" s="85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3"/>
      <c r="AP171" s="33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3"/>
      <c r="CC171" s="33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3"/>
      <c r="CP171" s="33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</row>
    <row r="172">
      <c r="A172" s="33"/>
      <c r="B172" s="33"/>
      <c r="C172" s="33"/>
      <c r="D172" s="33"/>
      <c r="E172" s="33"/>
      <c r="F172" s="33"/>
      <c r="G172" s="85"/>
      <c r="H172" s="85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/>
      <c r="AN172" s="33"/>
      <c r="AO172" s="33"/>
      <c r="AP172" s="33"/>
      <c r="AQ172" s="33"/>
      <c r="AR172" s="33"/>
      <c r="AS172" s="33"/>
      <c r="AT172" s="33"/>
      <c r="AU172" s="33"/>
      <c r="AV172" s="33"/>
      <c r="AW172" s="33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  <c r="BU172" s="33"/>
      <c r="BV172" s="33"/>
      <c r="BW172" s="33"/>
      <c r="BX172" s="33"/>
      <c r="BY172" s="33"/>
      <c r="BZ172" s="33"/>
      <c r="CA172" s="33"/>
      <c r="CB172" s="33"/>
      <c r="CC172" s="33"/>
      <c r="CD172" s="33"/>
      <c r="CE172" s="33"/>
      <c r="CF172" s="33"/>
      <c r="CG172" s="33"/>
      <c r="CH172" s="33"/>
      <c r="CI172" s="33"/>
      <c r="CJ172" s="33"/>
      <c r="CK172" s="33"/>
      <c r="CL172" s="33"/>
      <c r="CM172" s="33"/>
      <c r="CN172" s="33"/>
      <c r="CO172" s="33"/>
      <c r="CP172" s="33"/>
      <c r="CQ172" s="33"/>
      <c r="CR172" s="33"/>
      <c r="CS172" s="33"/>
      <c r="CT172" s="33"/>
      <c r="CU172" s="33"/>
      <c r="CV172" s="33"/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</row>
    <row r="173">
      <c r="A173" s="33"/>
      <c r="B173" s="33"/>
      <c r="C173" s="33"/>
      <c r="D173" s="33"/>
      <c r="E173" s="33"/>
      <c r="F173" s="33"/>
      <c r="G173" s="85"/>
      <c r="H173" s="85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</row>
    <row r="174">
      <c r="A174" s="33"/>
      <c r="B174" s="33"/>
      <c r="C174" s="33"/>
      <c r="D174" s="33"/>
      <c r="E174" s="33"/>
      <c r="F174" s="33"/>
      <c r="G174" s="85"/>
      <c r="H174" s="85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/>
      <c r="CQ174" s="33"/>
      <c r="CR174" s="33"/>
      <c r="CS174" s="33"/>
      <c r="CT174" s="33"/>
      <c r="CU174" s="33"/>
      <c r="CV174" s="33"/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</row>
    <row r="175">
      <c r="A175" s="33"/>
      <c r="B175" s="33"/>
      <c r="C175" s="33"/>
      <c r="D175" s="33"/>
      <c r="E175" s="33"/>
      <c r="F175" s="33"/>
      <c r="G175" s="85"/>
      <c r="H175" s="85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3"/>
      <c r="AP175" s="33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3"/>
      <c r="CC175" s="33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3"/>
      <c r="CP175" s="33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</row>
    <row r="176">
      <c r="A176" s="33"/>
      <c r="B176" s="33"/>
      <c r="C176" s="33"/>
      <c r="D176" s="33"/>
      <c r="E176" s="33"/>
      <c r="F176" s="33"/>
      <c r="G176" s="85"/>
      <c r="H176" s="85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/>
      <c r="AN176" s="33"/>
      <c r="AO176" s="33"/>
      <c r="AP176" s="33"/>
      <c r="AQ176" s="33"/>
      <c r="AR176" s="33"/>
      <c r="AS176" s="33"/>
      <c r="AT176" s="33"/>
      <c r="AU176" s="33"/>
      <c r="AV176" s="33"/>
      <c r="AW176" s="33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  <c r="BU176" s="33"/>
      <c r="BV176" s="33"/>
      <c r="BW176" s="33"/>
      <c r="BX176" s="33"/>
      <c r="BY176" s="33"/>
      <c r="BZ176" s="33"/>
      <c r="CA176" s="33"/>
      <c r="CB176" s="33"/>
      <c r="CC176" s="33"/>
      <c r="CD176" s="33"/>
      <c r="CE176" s="33"/>
      <c r="CF176" s="33"/>
      <c r="CG176" s="33"/>
      <c r="CH176" s="33"/>
      <c r="CI176" s="33"/>
      <c r="CJ176" s="33"/>
      <c r="CK176" s="33"/>
      <c r="CL176" s="33"/>
      <c r="CM176" s="33"/>
      <c r="CN176" s="33"/>
      <c r="CO176" s="33"/>
      <c r="CP176" s="33"/>
      <c r="CQ176" s="33"/>
      <c r="CR176" s="33"/>
      <c r="CS176" s="33"/>
      <c r="CT176" s="33"/>
      <c r="CU176" s="33"/>
      <c r="CV176" s="33"/>
      <c r="CW176" s="33"/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</row>
    <row r="177">
      <c r="A177" s="33"/>
      <c r="B177" s="33"/>
      <c r="C177" s="33"/>
      <c r="D177" s="33"/>
      <c r="E177" s="33"/>
      <c r="F177" s="33"/>
      <c r="G177" s="85"/>
      <c r="H177" s="85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3"/>
      <c r="AP177" s="33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3"/>
      <c r="CC177" s="33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3"/>
      <c r="CP177" s="33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</row>
    <row r="178">
      <c r="A178" s="33"/>
      <c r="B178" s="33"/>
      <c r="C178" s="33"/>
      <c r="D178" s="33"/>
      <c r="E178" s="33"/>
      <c r="F178" s="33"/>
      <c r="G178" s="85"/>
      <c r="H178" s="85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/>
      <c r="AN178" s="33"/>
      <c r="AO178" s="33"/>
      <c r="AP178" s="33"/>
      <c r="AQ178" s="33"/>
      <c r="AR178" s="33"/>
      <c r="AS178" s="33"/>
      <c r="AT178" s="33"/>
      <c r="AU178" s="33"/>
      <c r="AV178" s="33"/>
      <c r="AW178" s="33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  <c r="BU178" s="33"/>
      <c r="BV178" s="33"/>
      <c r="BW178" s="33"/>
      <c r="BX178" s="33"/>
      <c r="BY178" s="33"/>
      <c r="BZ178" s="33"/>
      <c r="CA178" s="33"/>
      <c r="CB178" s="33"/>
      <c r="CC178" s="33"/>
      <c r="CD178" s="33"/>
      <c r="CE178" s="33"/>
      <c r="CF178" s="33"/>
      <c r="CG178" s="33"/>
      <c r="CH178" s="33"/>
      <c r="CI178" s="33"/>
      <c r="CJ178" s="33"/>
      <c r="CK178" s="33"/>
      <c r="CL178" s="33"/>
      <c r="CM178" s="33"/>
      <c r="CN178" s="33"/>
      <c r="CO178" s="33"/>
      <c r="CP178" s="33"/>
      <c r="CQ178" s="33"/>
      <c r="CR178" s="33"/>
      <c r="CS178" s="33"/>
      <c r="CT178" s="33"/>
      <c r="CU178" s="33"/>
      <c r="CV178" s="33"/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</row>
    <row r="179">
      <c r="A179" s="33"/>
      <c r="B179" s="33"/>
      <c r="C179" s="33"/>
      <c r="D179" s="33"/>
      <c r="E179" s="33"/>
      <c r="F179" s="33"/>
      <c r="G179" s="85"/>
      <c r="H179" s="85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3"/>
      <c r="AP179" s="33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3"/>
      <c r="CC179" s="33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3"/>
      <c r="CP179" s="33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</row>
    <row r="180">
      <c r="A180" s="33"/>
      <c r="B180" s="33"/>
      <c r="C180" s="33"/>
      <c r="D180" s="33"/>
      <c r="E180" s="33"/>
      <c r="F180" s="33"/>
      <c r="G180" s="85"/>
      <c r="H180" s="85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  <c r="AK180" s="33"/>
      <c r="AL180" s="33"/>
      <c r="AM180" s="33"/>
      <c r="AN180" s="33"/>
      <c r="AO180" s="33"/>
      <c r="AP180" s="33"/>
      <c r="AQ180" s="33"/>
      <c r="AR180" s="33"/>
      <c r="AS180" s="33"/>
      <c r="AT180" s="33"/>
      <c r="AU180" s="33"/>
      <c r="AV180" s="33"/>
      <c r="AW180" s="33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  <c r="BU180" s="33"/>
      <c r="BV180" s="33"/>
      <c r="BW180" s="33"/>
      <c r="BX180" s="33"/>
      <c r="BY180" s="33"/>
      <c r="BZ180" s="33"/>
      <c r="CA180" s="33"/>
      <c r="CB180" s="33"/>
      <c r="CC180" s="33"/>
      <c r="CD180" s="33"/>
      <c r="CE180" s="33"/>
      <c r="CF180" s="33"/>
      <c r="CG180" s="33"/>
      <c r="CH180" s="33"/>
      <c r="CI180" s="33"/>
      <c r="CJ180" s="33"/>
      <c r="CK180" s="33"/>
      <c r="CL180" s="33"/>
      <c r="CM180" s="33"/>
      <c r="CN180" s="33"/>
      <c r="CO180" s="33"/>
      <c r="CP180" s="33"/>
      <c r="CQ180" s="33"/>
      <c r="CR180" s="33"/>
      <c r="CS180" s="33"/>
      <c r="CT180" s="33"/>
      <c r="CU180" s="33"/>
      <c r="CV180" s="33"/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</row>
    <row r="181">
      <c r="A181" s="33"/>
      <c r="B181" s="33"/>
      <c r="C181" s="33"/>
      <c r="D181" s="33"/>
      <c r="E181" s="33"/>
      <c r="F181" s="33"/>
      <c r="G181" s="85"/>
      <c r="H181" s="85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</row>
    <row r="182">
      <c r="A182" s="33"/>
      <c r="B182" s="33"/>
      <c r="C182" s="33"/>
      <c r="D182" s="33"/>
      <c r="E182" s="33"/>
      <c r="F182" s="33"/>
      <c r="G182" s="85"/>
      <c r="H182" s="85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</row>
    <row r="183">
      <c r="A183" s="33"/>
      <c r="B183" s="33"/>
      <c r="C183" s="33"/>
      <c r="D183" s="33"/>
      <c r="E183" s="33"/>
      <c r="F183" s="33"/>
      <c r="G183" s="85"/>
      <c r="H183" s="85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</row>
    <row r="184">
      <c r="A184" s="33"/>
      <c r="B184" s="33"/>
      <c r="C184" s="33"/>
      <c r="D184" s="33"/>
      <c r="E184" s="33"/>
      <c r="F184" s="33"/>
      <c r="G184" s="85"/>
      <c r="H184" s="85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/>
      <c r="AN184" s="33"/>
      <c r="AO184" s="33"/>
      <c r="AP184" s="33"/>
      <c r="AQ184" s="33"/>
      <c r="AR184" s="33"/>
      <c r="AS184" s="33"/>
      <c r="AT184" s="33"/>
      <c r="AU184" s="33"/>
      <c r="AV184" s="33"/>
      <c r="AW184" s="33"/>
      <c r="AX184" s="33"/>
      <c r="AY184" s="33"/>
      <c r="AZ184" s="33"/>
      <c r="BA184" s="33"/>
      <c r="BB184" s="33"/>
      <c r="BC184" s="33"/>
      <c r="BD184" s="33"/>
      <c r="BE184" s="33"/>
      <c r="BF184" s="33"/>
      <c r="BG184" s="33"/>
      <c r="BH184" s="33"/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  <c r="BU184" s="33"/>
      <c r="BV184" s="33"/>
      <c r="BW184" s="33"/>
      <c r="BX184" s="33"/>
      <c r="BY184" s="33"/>
      <c r="BZ184" s="33"/>
      <c r="CA184" s="33"/>
      <c r="CB184" s="33"/>
      <c r="CC184" s="33"/>
      <c r="CD184" s="33"/>
      <c r="CE184" s="33"/>
      <c r="CF184" s="33"/>
      <c r="CG184" s="33"/>
      <c r="CH184" s="33"/>
      <c r="CI184" s="33"/>
      <c r="CJ184" s="33"/>
      <c r="CK184" s="33"/>
      <c r="CL184" s="33"/>
      <c r="CM184" s="33"/>
      <c r="CN184" s="33"/>
      <c r="CO184" s="33"/>
      <c r="CP184" s="33"/>
      <c r="CQ184" s="33"/>
      <c r="CR184" s="33"/>
      <c r="CS184" s="33"/>
      <c r="CT184" s="33"/>
      <c r="CU184" s="33"/>
      <c r="CV184" s="33"/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</row>
    <row r="185">
      <c r="A185" s="33"/>
      <c r="B185" s="33"/>
      <c r="C185" s="33"/>
      <c r="D185" s="33"/>
      <c r="E185" s="33"/>
      <c r="F185" s="33"/>
      <c r="G185" s="85"/>
      <c r="H185" s="85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3"/>
      <c r="AP185" s="33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3"/>
      <c r="BC185" s="33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3"/>
      <c r="CC185" s="33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3"/>
      <c r="CP185" s="33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</row>
    <row r="186">
      <c r="A186" s="33"/>
      <c r="B186" s="33"/>
      <c r="C186" s="33"/>
      <c r="D186" s="33"/>
      <c r="E186" s="33"/>
      <c r="F186" s="33"/>
      <c r="G186" s="85"/>
      <c r="H186" s="85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/>
      <c r="AN186" s="33"/>
      <c r="AO186" s="33"/>
      <c r="AP186" s="33"/>
      <c r="AQ186" s="33"/>
      <c r="AR186" s="33"/>
      <c r="AS186" s="33"/>
      <c r="AT186" s="33"/>
      <c r="AU186" s="33"/>
      <c r="AV186" s="33"/>
      <c r="AW186" s="33"/>
      <c r="AX186" s="33"/>
      <c r="AY186" s="33"/>
      <c r="AZ186" s="33"/>
      <c r="BA186" s="33"/>
      <c r="BB186" s="33"/>
      <c r="BC186" s="33"/>
      <c r="BD186" s="33"/>
      <c r="BE186" s="33"/>
      <c r="BF186" s="33"/>
      <c r="BG186" s="33"/>
      <c r="BH186" s="33"/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  <c r="BU186" s="33"/>
      <c r="BV186" s="33"/>
      <c r="BW186" s="33"/>
      <c r="BX186" s="33"/>
      <c r="BY186" s="33"/>
      <c r="BZ186" s="33"/>
      <c r="CA186" s="33"/>
      <c r="CB186" s="33"/>
      <c r="CC186" s="33"/>
      <c r="CD186" s="33"/>
      <c r="CE186" s="33"/>
      <c r="CF186" s="33"/>
      <c r="CG186" s="33"/>
      <c r="CH186" s="33"/>
      <c r="CI186" s="33"/>
      <c r="CJ186" s="33"/>
      <c r="CK186" s="33"/>
      <c r="CL186" s="33"/>
      <c r="CM186" s="33"/>
      <c r="CN186" s="33"/>
      <c r="CO186" s="33"/>
      <c r="CP186" s="33"/>
      <c r="CQ186" s="33"/>
      <c r="CR186" s="33"/>
      <c r="CS186" s="33"/>
      <c r="CT186" s="33"/>
      <c r="CU186" s="33"/>
      <c r="CV186" s="33"/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</row>
    <row r="187">
      <c r="A187" s="33"/>
      <c r="B187" s="33"/>
      <c r="C187" s="33"/>
      <c r="D187" s="33"/>
      <c r="E187" s="33"/>
      <c r="F187" s="33"/>
      <c r="G187" s="85"/>
      <c r="H187" s="85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3"/>
      <c r="AP187" s="33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3"/>
      <c r="BC187" s="33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3"/>
      <c r="CC187" s="33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3"/>
      <c r="CP187" s="33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</row>
    <row r="188">
      <c r="A188" s="33"/>
      <c r="B188" s="33"/>
      <c r="C188" s="33"/>
      <c r="D188" s="33"/>
      <c r="E188" s="33"/>
      <c r="F188" s="33"/>
      <c r="G188" s="85"/>
      <c r="H188" s="85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/>
      <c r="AN188" s="33"/>
      <c r="AO188" s="33"/>
      <c r="AP188" s="33"/>
      <c r="AQ188" s="33"/>
      <c r="AR188" s="33"/>
      <c r="AS188" s="33"/>
      <c r="AT188" s="33"/>
      <c r="AU188" s="33"/>
      <c r="AV188" s="33"/>
      <c r="AW188" s="33"/>
      <c r="AX188" s="33"/>
      <c r="AY188" s="33"/>
      <c r="AZ188" s="33"/>
      <c r="BA188" s="33"/>
      <c r="BB188" s="33"/>
      <c r="BC188" s="33"/>
      <c r="BD188" s="33"/>
      <c r="BE188" s="33"/>
      <c r="BF188" s="33"/>
      <c r="BG188" s="33"/>
      <c r="BH188" s="33"/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  <c r="BU188" s="33"/>
      <c r="BV188" s="33"/>
      <c r="BW188" s="33"/>
      <c r="BX188" s="33"/>
      <c r="BY188" s="33"/>
      <c r="BZ188" s="33"/>
      <c r="CA188" s="33"/>
      <c r="CB188" s="33"/>
      <c r="CC188" s="33"/>
      <c r="CD188" s="33"/>
      <c r="CE188" s="33"/>
      <c r="CF188" s="33"/>
      <c r="CG188" s="33"/>
      <c r="CH188" s="33"/>
      <c r="CI188" s="33"/>
      <c r="CJ188" s="33"/>
      <c r="CK188" s="33"/>
      <c r="CL188" s="33"/>
      <c r="CM188" s="33"/>
      <c r="CN188" s="33"/>
      <c r="CO188" s="33"/>
      <c r="CP188" s="33"/>
      <c r="CQ188" s="33"/>
      <c r="CR188" s="33"/>
      <c r="CS188" s="33"/>
      <c r="CT188" s="33"/>
      <c r="CU188" s="33"/>
      <c r="CV188" s="33"/>
      <c r="CW188" s="33"/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</row>
    <row r="189">
      <c r="A189" s="33"/>
      <c r="B189" s="33"/>
      <c r="C189" s="33"/>
      <c r="D189" s="33"/>
      <c r="E189" s="33"/>
      <c r="F189" s="33"/>
      <c r="G189" s="85"/>
      <c r="H189" s="85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</row>
    <row r="190">
      <c r="A190" s="33"/>
      <c r="B190" s="33"/>
      <c r="C190" s="33"/>
      <c r="D190" s="33"/>
      <c r="E190" s="33"/>
      <c r="F190" s="33"/>
      <c r="G190" s="85"/>
      <c r="H190" s="85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  <c r="AK190" s="33"/>
      <c r="AL190" s="33"/>
      <c r="AM190" s="33"/>
      <c r="AN190" s="33"/>
      <c r="AO190" s="33"/>
      <c r="AP190" s="33"/>
      <c r="AQ190" s="33"/>
      <c r="AR190" s="33"/>
      <c r="AS190" s="33"/>
      <c r="AT190" s="33"/>
      <c r="AU190" s="33"/>
      <c r="AV190" s="33"/>
      <c r="AW190" s="33"/>
      <c r="AX190" s="33"/>
      <c r="AY190" s="33"/>
      <c r="AZ190" s="33"/>
      <c r="BA190" s="33"/>
      <c r="BB190" s="33"/>
      <c r="BC190" s="33"/>
      <c r="BD190" s="33"/>
      <c r="BE190" s="33"/>
      <c r="BF190" s="33"/>
      <c r="BG190" s="33"/>
      <c r="BH190" s="33"/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  <c r="BU190" s="33"/>
      <c r="BV190" s="33"/>
      <c r="BW190" s="33"/>
      <c r="BX190" s="33"/>
      <c r="BY190" s="33"/>
      <c r="BZ190" s="33"/>
      <c r="CA190" s="33"/>
      <c r="CB190" s="33"/>
      <c r="CC190" s="33"/>
      <c r="CD190" s="33"/>
      <c r="CE190" s="33"/>
      <c r="CF190" s="33"/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</row>
    <row r="191">
      <c r="A191" s="33"/>
      <c r="B191" s="33"/>
      <c r="C191" s="33"/>
      <c r="D191" s="33"/>
      <c r="E191" s="33"/>
      <c r="F191" s="33"/>
      <c r="G191" s="85"/>
      <c r="H191" s="85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3"/>
      <c r="AP191" s="33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3"/>
      <c r="BC191" s="33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3"/>
      <c r="CC191" s="33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3"/>
      <c r="CP191" s="33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</row>
    <row r="192">
      <c r="A192" s="33"/>
      <c r="B192" s="33"/>
      <c r="C192" s="33"/>
      <c r="D192" s="33"/>
      <c r="E192" s="33"/>
      <c r="F192" s="33"/>
      <c r="G192" s="85"/>
      <c r="H192" s="85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/>
      <c r="AN192" s="33"/>
      <c r="AO192" s="33"/>
      <c r="AP192" s="33"/>
      <c r="AQ192" s="33"/>
      <c r="AR192" s="33"/>
      <c r="AS192" s="33"/>
      <c r="AT192" s="33"/>
      <c r="AU192" s="33"/>
      <c r="AV192" s="33"/>
      <c r="AW192" s="33"/>
      <c r="AX192" s="33"/>
      <c r="AY192" s="33"/>
      <c r="AZ192" s="33"/>
      <c r="BA192" s="33"/>
      <c r="BB192" s="33"/>
      <c r="BC192" s="33"/>
      <c r="BD192" s="33"/>
      <c r="BE192" s="33"/>
      <c r="BF192" s="33"/>
      <c r="BG192" s="33"/>
      <c r="BH192" s="33"/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/>
      <c r="CA192" s="33"/>
      <c r="CB192" s="33"/>
      <c r="CC192" s="33"/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</row>
    <row r="193">
      <c r="A193" s="33"/>
      <c r="B193" s="33"/>
      <c r="C193" s="33"/>
      <c r="D193" s="33"/>
      <c r="E193" s="33"/>
      <c r="F193" s="33"/>
      <c r="G193" s="85"/>
      <c r="H193" s="85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3"/>
      <c r="AP193" s="33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3"/>
      <c r="BC193" s="33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3"/>
      <c r="CC193" s="33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3"/>
      <c r="CP193" s="33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</row>
    <row r="194">
      <c r="A194" s="33"/>
      <c r="B194" s="33"/>
      <c r="C194" s="33"/>
      <c r="D194" s="33"/>
      <c r="E194" s="33"/>
      <c r="F194" s="33"/>
      <c r="G194" s="85"/>
      <c r="H194" s="85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/>
      <c r="AN194" s="33"/>
      <c r="AO194" s="33"/>
      <c r="AP194" s="33"/>
      <c r="AQ194" s="33"/>
      <c r="AR194" s="33"/>
      <c r="AS194" s="33"/>
      <c r="AT194" s="33"/>
      <c r="AU194" s="33"/>
      <c r="AV194" s="33"/>
      <c r="AW194" s="33"/>
      <c r="AX194" s="33"/>
      <c r="AY194" s="33"/>
      <c r="AZ194" s="33"/>
      <c r="BA194" s="33"/>
      <c r="BB194" s="33"/>
      <c r="BC194" s="33"/>
      <c r="BD194" s="33"/>
      <c r="BE194" s="33"/>
      <c r="BF194" s="33"/>
      <c r="BG194" s="33"/>
      <c r="BH194" s="33"/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  <c r="BU194" s="33"/>
      <c r="BV194" s="33"/>
      <c r="BW194" s="33"/>
      <c r="BX194" s="33"/>
      <c r="BY194" s="33"/>
      <c r="BZ194" s="33"/>
      <c r="CA194" s="33"/>
      <c r="CB194" s="33"/>
      <c r="CC194" s="33"/>
      <c r="CD194" s="33"/>
      <c r="CE194" s="33"/>
      <c r="CF194" s="33"/>
      <c r="CG194" s="33"/>
      <c r="CH194" s="33"/>
      <c r="CI194" s="33"/>
      <c r="CJ194" s="33"/>
      <c r="CK194" s="33"/>
      <c r="CL194" s="33"/>
      <c r="CM194" s="33"/>
      <c r="CN194" s="33"/>
      <c r="CO194" s="33"/>
      <c r="CP194" s="33"/>
      <c r="CQ194" s="33"/>
      <c r="CR194" s="33"/>
      <c r="CS194" s="33"/>
      <c r="CT194" s="33"/>
      <c r="CU194" s="33"/>
      <c r="CV194" s="33"/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</row>
    <row r="195">
      <c r="A195" s="33"/>
      <c r="B195" s="33"/>
      <c r="C195" s="33"/>
      <c r="D195" s="33"/>
      <c r="E195" s="33"/>
      <c r="F195" s="33"/>
      <c r="G195" s="85"/>
      <c r="H195" s="85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</row>
    <row r="196">
      <c r="A196" s="33"/>
      <c r="B196" s="33"/>
      <c r="C196" s="33"/>
      <c r="D196" s="33"/>
      <c r="E196" s="33"/>
      <c r="F196" s="33"/>
      <c r="G196" s="85"/>
      <c r="H196" s="85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/>
      <c r="AN196" s="33"/>
      <c r="AO196" s="33"/>
      <c r="AP196" s="33"/>
      <c r="AQ196" s="33"/>
      <c r="AR196" s="33"/>
      <c r="AS196" s="33"/>
      <c r="AT196" s="33"/>
      <c r="AU196" s="33"/>
      <c r="AV196" s="33"/>
      <c r="AW196" s="33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/>
      <c r="CA196" s="33"/>
      <c r="CB196" s="33"/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</row>
    <row r="197">
      <c r="A197" s="33"/>
      <c r="B197" s="33"/>
      <c r="C197" s="33"/>
      <c r="D197" s="33"/>
      <c r="E197" s="33"/>
      <c r="F197" s="33"/>
      <c r="G197" s="85"/>
      <c r="H197" s="85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3"/>
      <c r="AP197" s="33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3"/>
      <c r="CC197" s="33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</row>
    <row r="198">
      <c r="A198" s="33"/>
      <c r="B198" s="33"/>
      <c r="C198" s="33"/>
      <c r="D198" s="33"/>
      <c r="E198" s="33"/>
      <c r="F198" s="33"/>
      <c r="G198" s="85"/>
      <c r="H198" s="85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</row>
    <row r="199">
      <c r="A199" s="33"/>
      <c r="B199" s="33"/>
      <c r="C199" s="33"/>
      <c r="D199" s="33"/>
      <c r="E199" s="33"/>
      <c r="F199" s="33"/>
      <c r="G199" s="85"/>
      <c r="H199" s="85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3"/>
      <c r="AP199" s="33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3"/>
      <c r="CC199" s="33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</row>
    <row r="200">
      <c r="A200" s="33"/>
      <c r="B200" s="33"/>
      <c r="C200" s="33"/>
      <c r="D200" s="33"/>
      <c r="E200" s="33"/>
      <c r="F200" s="33"/>
      <c r="G200" s="85"/>
      <c r="H200" s="85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/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</row>
    <row r="201">
      <c r="A201" s="33"/>
      <c r="B201" s="33"/>
      <c r="C201" s="33"/>
      <c r="D201" s="33"/>
      <c r="E201" s="33"/>
      <c r="F201" s="33"/>
      <c r="G201" s="85"/>
      <c r="H201" s="85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3"/>
      <c r="AP201" s="33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3"/>
      <c r="CC201" s="33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</row>
    <row r="202">
      <c r="A202" s="33"/>
      <c r="B202" s="33"/>
      <c r="C202" s="33"/>
      <c r="D202" s="33"/>
      <c r="E202" s="33"/>
      <c r="F202" s="33"/>
      <c r="G202" s="85"/>
      <c r="H202" s="85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  <c r="BU202" s="33"/>
      <c r="BV202" s="33"/>
      <c r="BW202" s="33"/>
      <c r="BX202" s="33"/>
      <c r="BY202" s="33"/>
      <c r="BZ202" s="33"/>
      <c r="CA202" s="33"/>
      <c r="CB202" s="33"/>
      <c r="CC202" s="33"/>
      <c r="CD202" s="33"/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</row>
    <row r="203">
      <c r="A203" s="33"/>
      <c r="B203" s="33"/>
      <c r="C203" s="33"/>
      <c r="D203" s="33"/>
      <c r="E203" s="33"/>
      <c r="F203" s="33"/>
      <c r="G203" s="85"/>
      <c r="H203" s="85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3"/>
      <c r="AP203" s="33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3"/>
      <c r="CC203" s="33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3"/>
      <c r="CP203" s="33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</row>
    <row r="204">
      <c r="A204" s="33"/>
      <c r="B204" s="33"/>
      <c r="C204" s="33"/>
      <c r="D204" s="33"/>
      <c r="E204" s="33"/>
      <c r="F204" s="33"/>
      <c r="G204" s="85"/>
      <c r="H204" s="85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</row>
    <row r="205">
      <c r="A205" s="33"/>
      <c r="B205" s="33"/>
      <c r="C205" s="33"/>
      <c r="D205" s="33"/>
      <c r="E205" s="33"/>
      <c r="F205" s="33"/>
      <c r="G205" s="85"/>
      <c r="H205" s="85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</row>
    <row r="206">
      <c r="A206" s="33"/>
      <c r="B206" s="33"/>
      <c r="C206" s="33"/>
      <c r="D206" s="33"/>
      <c r="E206" s="33"/>
      <c r="F206" s="33"/>
      <c r="G206" s="85"/>
      <c r="H206" s="85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</row>
    <row r="207">
      <c r="A207" s="33"/>
      <c r="B207" s="33"/>
      <c r="C207" s="33"/>
      <c r="D207" s="33"/>
      <c r="E207" s="33"/>
      <c r="F207" s="33"/>
      <c r="G207" s="85"/>
      <c r="H207" s="85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3"/>
      <c r="AP207" s="33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3"/>
      <c r="CC207" s="33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</row>
    <row r="208">
      <c r="A208" s="33"/>
      <c r="B208" s="33"/>
      <c r="C208" s="33"/>
      <c r="D208" s="33"/>
      <c r="E208" s="33"/>
      <c r="F208" s="33"/>
      <c r="G208" s="85"/>
      <c r="H208" s="85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</row>
    <row r="209">
      <c r="A209" s="33"/>
      <c r="B209" s="33"/>
      <c r="C209" s="33"/>
      <c r="D209" s="33"/>
      <c r="E209" s="33"/>
      <c r="F209" s="33"/>
      <c r="G209" s="85"/>
      <c r="H209" s="85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</row>
    <row r="210">
      <c r="A210" s="33"/>
      <c r="B210" s="33"/>
      <c r="C210" s="33"/>
      <c r="D210" s="33"/>
      <c r="E210" s="33"/>
      <c r="F210" s="33"/>
      <c r="G210" s="85"/>
      <c r="H210" s="85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/>
      <c r="AN210" s="33"/>
      <c r="AO210" s="33"/>
      <c r="AP210" s="33"/>
      <c r="AQ210" s="33"/>
      <c r="AR210" s="33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  <c r="BG210" s="33"/>
      <c r="BH210" s="33"/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  <c r="BU210" s="33"/>
      <c r="BV210" s="33"/>
      <c r="BW210" s="33"/>
      <c r="BX210" s="33"/>
      <c r="BY210" s="33"/>
      <c r="BZ210" s="33"/>
      <c r="CA210" s="33"/>
      <c r="CB210" s="33"/>
      <c r="CC210" s="33"/>
      <c r="CD210" s="33"/>
      <c r="CE210" s="33"/>
      <c r="CF210" s="33"/>
      <c r="CG210" s="33"/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</row>
    <row r="211">
      <c r="A211" s="33"/>
      <c r="B211" s="33"/>
      <c r="C211" s="33"/>
      <c r="D211" s="33"/>
      <c r="E211" s="33"/>
      <c r="F211" s="33"/>
      <c r="G211" s="85"/>
      <c r="H211" s="85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3"/>
      <c r="DC211" s="33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3"/>
      <c r="DP211" s="33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3"/>
      <c r="EC211" s="33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3"/>
      <c r="EP211" s="33"/>
      <c r="EQ211" s="33"/>
      <c r="ER211" s="33"/>
      <c r="ES211" s="33"/>
    </row>
    <row r="212">
      <c r="A212" s="33"/>
      <c r="B212" s="33"/>
      <c r="C212" s="33"/>
      <c r="D212" s="33"/>
      <c r="E212" s="33"/>
      <c r="F212" s="33"/>
      <c r="G212" s="85"/>
      <c r="H212" s="85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  <c r="AK212" s="33"/>
      <c r="AL212" s="33"/>
      <c r="AM212" s="33"/>
      <c r="AN212" s="33"/>
      <c r="AO212" s="33"/>
      <c r="AP212" s="33"/>
      <c r="AQ212" s="33"/>
      <c r="AR212" s="33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  <c r="BG212" s="33"/>
      <c r="BH212" s="33"/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  <c r="BU212" s="33"/>
      <c r="BV212" s="33"/>
      <c r="BW212" s="33"/>
      <c r="BX212" s="33"/>
      <c r="BY212" s="33"/>
      <c r="BZ212" s="33"/>
      <c r="CA212" s="33"/>
      <c r="CB212" s="33"/>
      <c r="CC212" s="33"/>
      <c r="CD212" s="33"/>
      <c r="CE212" s="33"/>
      <c r="CF212" s="33"/>
      <c r="CG212" s="33"/>
      <c r="CH212" s="33"/>
      <c r="CI212" s="33"/>
      <c r="CJ212" s="33"/>
      <c r="CK212" s="33"/>
      <c r="CL212" s="33"/>
      <c r="CM212" s="33"/>
      <c r="CN212" s="33"/>
      <c r="CO212" s="33"/>
      <c r="CP212" s="33"/>
      <c r="CQ212" s="33"/>
      <c r="CR212" s="33"/>
      <c r="CS212" s="33"/>
      <c r="CT212" s="33"/>
      <c r="CU212" s="33"/>
      <c r="CV212" s="33"/>
      <c r="CW212" s="33"/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</row>
    <row r="213">
      <c r="A213" s="33"/>
      <c r="B213" s="33"/>
      <c r="C213" s="33"/>
      <c r="D213" s="33"/>
      <c r="E213" s="33"/>
      <c r="F213" s="33"/>
      <c r="G213" s="85"/>
      <c r="H213" s="85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3"/>
      <c r="AP213" s="33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3"/>
      <c r="CC213" s="33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3"/>
      <c r="CP213" s="33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</row>
    <row r="214">
      <c r="A214" s="33"/>
      <c r="B214" s="33"/>
      <c r="C214" s="33"/>
      <c r="D214" s="33"/>
      <c r="E214" s="33"/>
      <c r="F214" s="33"/>
      <c r="G214" s="85"/>
      <c r="H214" s="85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  <c r="AK214" s="33"/>
      <c r="AL214" s="33"/>
      <c r="AM214" s="33"/>
      <c r="AN214" s="33"/>
      <c r="AO214" s="33"/>
      <c r="AP214" s="33"/>
      <c r="AQ214" s="33"/>
      <c r="AR214" s="33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  <c r="BG214" s="33"/>
      <c r="BH214" s="33"/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  <c r="BU214" s="33"/>
      <c r="BV214" s="33"/>
      <c r="BW214" s="33"/>
      <c r="BX214" s="33"/>
      <c r="BY214" s="33"/>
      <c r="BZ214" s="33"/>
      <c r="CA214" s="33"/>
      <c r="CB214" s="33"/>
      <c r="CC214" s="33"/>
      <c r="CD214" s="33"/>
      <c r="CE214" s="33"/>
      <c r="CF214" s="33"/>
      <c r="CG214" s="33"/>
      <c r="CH214" s="33"/>
      <c r="CI214" s="33"/>
      <c r="CJ214" s="33"/>
      <c r="CK214" s="33"/>
      <c r="CL214" s="33"/>
      <c r="CM214" s="33"/>
      <c r="CN214" s="33"/>
      <c r="CO214" s="33"/>
      <c r="CP214" s="33"/>
      <c r="CQ214" s="33"/>
      <c r="CR214" s="33"/>
      <c r="CS214" s="33"/>
      <c r="CT214" s="33"/>
      <c r="CU214" s="33"/>
      <c r="CV214" s="33"/>
      <c r="CW214" s="33"/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</row>
    <row r="215">
      <c r="A215" s="33"/>
      <c r="B215" s="33"/>
      <c r="C215" s="33"/>
      <c r="D215" s="33"/>
      <c r="E215" s="33"/>
      <c r="F215" s="33"/>
      <c r="G215" s="85"/>
      <c r="H215" s="85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3"/>
      <c r="AP215" s="33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3"/>
      <c r="CC215" s="33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3"/>
      <c r="CP215" s="33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</row>
    <row r="216">
      <c r="A216" s="33"/>
      <c r="B216" s="33"/>
      <c r="C216" s="33"/>
      <c r="D216" s="33"/>
      <c r="E216" s="33"/>
      <c r="F216" s="33"/>
      <c r="G216" s="85"/>
      <c r="H216" s="85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  <c r="AK216" s="33"/>
      <c r="AL216" s="33"/>
      <c r="AM216" s="33"/>
      <c r="AN216" s="33"/>
      <c r="AO216" s="33"/>
      <c r="AP216" s="33"/>
      <c r="AQ216" s="33"/>
      <c r="AR216" s="33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  <c r="BG216" s="33"/>
      <c r="BH216" s="33"/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  <c r="BU216" s="33"/>
      <c r="BV216" s="33"/>
      <c r="BW216" s="33"/>
      <c r="BX216" s="33"/>
      <c r="BY216" s="33"/>
      <c r="BZ216" s="33"/>
      <c r="CA216" s="33"/>
      <c r="CB216" s="33"/>
      <c r="CC216" s="33"/>
      <c r="CD216" s="33"/>
      <c r="CE216" s="33"/>
      <c r="CF216" s="33"/>
      <c r="CG216" s="33"/>
      <c r="CH216" s="33"/>
      <c r="CI216" s="33"/>
      <c r="CJ216" s="33"/>
      <c r="CK216" s="33"/>
      <c r="CL216" s="33"/>
      <c r="CM216" s="33"/>
      <c r="CN216" s="33"/>
      <c r="CO216" s="33"/>
      <c r="CP216" s="33"/>
      <c r="CQ216" s="33"/>
      <c r="CR216" s="33"/>
      <c r="CS216" s="33"/>
      <c r="CT216" s="33"/>
      <c r="CU216" s="33"/>
      <c r="CV216" s="33"/>
      <c r="CW216" s="33"/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</row>
    <row r="217">
      <c r="A217" s="33"/>
      <c r="B217" s="33"/>
      <c r="C217" s="33"/>
      <c r="D217" s="33"/>
      <c r="E217" s="33"/>
      <c r="F217" s="33"/>
      <c r="G217" s="85"/>
      <c r="H217" s="85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3"/>
      <c r="AP217" s="33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3"/>
      <c r="CC217" s="33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3"/>
      <c r="CP217" s="33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</row>
    <row r="218">
      <c r="A218" s="33"/>
      <c r="B218" s="33"/>
      <c r="C218" s="33"/>
      <c r="D218" s="33"/>
      <c r="E218" s="33"/>
      <c r="F218" s="33"/>
      <c r="G218" s="85"/>
      <c r="H218" s="85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  <c r="AK218" s="33"/>
      <c r="AL218" s="33"/>
      <c r="AM218" s="33"/>
      <c r="AN218" s="33"/>
      <c r="AO218" s="33"/>
      <c r="AP218" s="33"/>
      <c r="AQ218" s="33"/>
      <c r="AR218" s="33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  <c r="BU218" s="33"/>
      <c r="BV218" s="33"/>
      <c r="BW218" s="33"/>
      <c r="BX218" s="33"/>
      <c r="BY218" s="33"/>
      <c r="BZ218" s="33"/>
      <c r="CA218" s="33"/>
      <c r="CB218" s="33"/>
      <c r="CC218" s="33"/>
      <c r="CD218" s="33"/>
      <c r="CE218" s="33"/>
      <c r="CF218" s="33"/>
      <c r="CG218" s="33"/>
      <c r="CH218" s="33"/>
      <c r="CI218" s="33"/>
      <c r="CJ218" s="33"/>
      <c r="CK218" s="33"/>
      <c r="CL218" s="33"/>
      <c r="CM218" s="33"/>
      <c r="CN218" s="33"/>
      <c r="CO218" s="33"/>
      <c r="CP218" s="33"/>
      <c r="CQ218" s="33"/>
      <c r="CR218" s="33"/>
      <c r="CS218" s="33"/>
      <c r="CT218" s="33"/>
      <c r="CU218" s="33"/>
      <c r="CV218" s="33"/>
      <c r="CW218" s="33"/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</row>
    <row r="219">
      <c r="A219" s="33"/>
      <c r="B219" s="33"/>
      <c r="C219" s="33"/>
      <c r="D219" s="33"/>
      <c r="E219" s="33"/>
      <c r="F219" s="33"/>
      <c r="G219" s="85"/>
      <c r="H219" s="85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3"/>
      <c r="CC219" s="33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3"/>
      <c r="CP219" s="33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</row>
    <row r="220">
      <c r="A220" s="33"/>
      <c r="B220" s="33"/>
      <c r="C220" s="33"/>
      <c r="D220" s="33"/>
      <c r="E220" s="33"/>
      <c r="F220" s="33"/>
      <c r="G220" s="85"/>
      <c r="H220" s="85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  <c r="AK220" s="33"/>
      <c r="AL220" s="33"/>
      <c r="AM220" s="33"/>
      <c r="AN220" s="33"/>
      <c r="AO220" s="33"/>
      <c r="AP220" s="33"/>
      <c r="AQ220" s="33"/>
      <c r="AR220" s="33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  <c r="BU220" s="33"/>
      <c r="BV220" s="33"/>
      <c r="BW220" s="33"/>
      <c r="BX220" s="33"/>
      <c r="BY220" s="33"/>
      <c r="BZ220" s="33"/>
      <c r="CA220" s="33"/>
      <c r="CB220" s="33"/>
      <c r="CC220" s="33"/>
      <c r="CD220" s="33"/>
      <c r="CE220" s="33"/>
      <c r="CF220" s="33"/>
      <c r="CG220" s="33"/>
      <c r="CH220" s="33"/>
      <c r="CI220" s="33"/>
      <c r="CJ220" s="33"/>
      <c r="CK220" s="33"/>
      <c r="CL220" s="33"/>
      <c r="CM220" s="33"/>
      <c r="CN220" s="33"/>
      <c r="CO220" s="33"/>
      <c r="CP220" s="33"/>
      <c r="CQ220" s="33"/>
      <c r="CR220" s="33"/>
      <c r="CS220" s="33"/>
      <c r="CT220" s="33"/>
      <c r="CU220" s="33"/>
      <c r="CV220" s="33"/>
      <c r="CW220" s="33"/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</row>
    <row r="221">
      <c r="A221" s="33"/>
      <c r="B221" s="33"/>
      <c r="C221" s="33"/>
      <c r="D221" s="33"/>
      <c r="E221" s="33"/>
      <c r="F221" s="33"/>
      <c r="G221" s="85"/>
      <c r="H221" s="85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3"/>
      <c r="AP221" s="33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3"/>
      <c r="CC221" s="33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3"/>
      <c r="CP221" s="33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</row>
    <row r="222">
      <c r="A222" s="33"/>
      <c r="B222" s="33"/>
      <c r="C222" s="33"/>
      <c r="D222" s="33"/>
      <c r="E222" s="33"/>
      <c r="F222" s="33"/>
      <c r="G222" s="85"/>
      <c r="H222" s="85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  <c r="AK222" s="33"/>
      <c r="AL222" s="33"/>
      <c r="AM222" s="33"/>
      <c r="AN222" s="33"/>
      <c r="AO222" s="33"/>
      <c r="AP222" s="33"/>
      <c r="AQ222" s="33"/>
      <c r="AR222" s="33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  <c r="BU222" s="33"/>
      <c r="BV222" s="33"/>
      <c r="BW222" s="33"/>
      <c r="BX222" s="33"/>
      <c r="BY222" s="33"/>
      <c r="BZ222" s="33"/>
      <c r="CA222" s="33"/>
      <c r="CB222" s="33"/>
      <c r="CC222" s="33"/>
      <c r="CD222" s="33"/>
      <c r="CE222" s="33"/>
      <c r="CF222" s="33"/>
      <c r="CG222" s="33"/>
      <c r="CH222" s="33"/>
      <c r="CI222" s="33"/>
      <c r="CJ222" s="33"/>
      <c r="CK222" s="33"/>
      <c r="CL222" s="33"/>
      <c r="CM222" s="33"/>
      <c r="CN222" s="33"/>
      <c r="CO222" s="33"/>
      <c r="CP222" s="33"/>
      <c r="CQ222" s="33"/>
      <c r="CR222" s="33"/>
      <c r="CS222" s="33"/>
      <c r="CT222" s="33"/>
      <c r="CU222" s="33"/>
      <c r="CV222" s="33"/>
      <c r="CW222" s="33"/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</row>
    <row r="223">
      <c r="A223" s="33"/>
      <c r="B223" s="33"/>
      <c r="C223" s="33"/>
      <c r="D223" s="33"/>
      <c r="E223" s="33"/>
      <c r="F223" s="33"/>
      <c r="G223" s="85"/>
      <c r="H223" s="85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3"/>
      <c r="AP223" s="33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3"/>
      <c r="CC223" s="33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3"/>
      <c r="CP223" s="33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</row>
    <row r="224">
      <c r="A224" s="33"/>
      <c r="B224" s="33"/>
      <c r="C224" s="33"/>
      <c r="D224" s="33"/>
      <c r="E224" s="33"/>
      <c r="F224" s="33"/>
      <c r="G224" s="85"/>
      <c r="H224" s="85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</row>
    <row r="225">
      <c r="A225" s="33"/>
      <c r="B225" s="33"/>
      <c r="C225" s="33"/>
      <c r="D225" s="33"/>
      <c r="E225" s="33"/>
      <c r="F225" s="33"/>
      <c r="G225" s="85"/>
      <c r="H225" s="85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</row>
    <row r="226">
      <c r="A226" s="33"/>
      <c r="B226" s="33"/>
      <c r="C226" s="33"/>
      <c r="D226" s="33"/>
      <c r="E226" s="33"/>
      <c r="F226" s="33"/>
      <c r="G226" s="85"/>
      <c r="H226" s="85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</row>
    <row r="227">
      <c r="A227" s="33"/>
      <c r="B227" s="33"/>
      <c r="C227" s="33"/>
      <c r="D227" s="33"/>
      <c r="E227" s="33"/>
      <c r="F227" s="33"/>
      <c r="G227" s="85"/>
      <c r="H227" s="85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</row>
    <row r="228">
      <c r="A228" s="33"/>
      <c r="B228" s="33"/>
      <c r="C228" s="33"/>
      <c r="D228" s="33"/>
      <c r="E228" s="33"/>
      <c r="F228" s="33"/>
      <c r="G228" s="85"/>
      <c r="H228" s="85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/>
      <c r="AP228" s="33"/>
      <c r="AQ228" s="33"/>
      <c r="AR228" s="33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  <c r="BU228" s="33"/>
      <c r="BV228" s="33"/>
      <c r="BW228" s="33"/>
      <c r="BX228" s="33"/>
      <c r="BY228" s="33"/>
      <c r="BZ228" s="33"/>
      <c r="CA228" s="33"/>
      <c r="CB228" s="33"/>
      <c r="CC228" s="33"/>
      <c r="CD228" s="33"/>
      <c r="CE228" s="33"/>
      <c r="CF228" s="33"/>
      <c r="CG228" s="33"/>
      <c r="CH228" s="33"/>
      <c r="CI228" s="33"/>
      <c r="CJ228" s="33"/>
      <c r="CK228" s="33"/>
      <c r="CL228" s="33"/>
      <c r="CM228" s="33"/>
      <c r="CN228" s="33"/>
      <c r="CO228" s="33"/>
      <c r="CP228" s="33"/>
      <c r="CQ228" s="33"/>
      <c r="CR228" s="33"/>
      <c r="CS228" s="33"/>
      <c r="CT228" s="33"/>
      <c r="CU228" s="33"/>
      <c r="CV228" s="33"/>
      <c r="CW228" s="33"/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</row>
    <row r="229">
      <c r="A229" s="33"/>
      <c r="B229" s="33"/>
      <c r="C229" s="33"/>
      <c r="D229" s="33"/>
      <c r="E229" s="33"/>
      <c r="F229" s="33"/>
      <c r="G229" s="85"/>
      <c r="H229" s="85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</row>
    <row r="230">
      <c r="A230" s="33"/>
      <c r="B230" s="33"/>
      <c r="C230" s="33"/>
      <c r="D230" s="33"/>
      <c r="E230" s="33"/>
      <c r="F230" s="33"/>
      <c r="G230" s="85"/>
      <c r="H230" s="85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</row>
    <row r="231">
      <c r="A231" s="33"/>
      <c r="B231" s="33"/>
      <c r="C231" s="33"/>
      <c r="D231" s="33"/>
      <c r="E231" s="33"/>
      <c r="F231" s="33"/>
      <c r="G231" s="85"/>
      <c r="H231" s="85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</row>
    <row r="232">
      <c r="A232" s="33"/>
      <c r="B232" s="33"/>
      <c r="C232" s="33"/>
      <c r="D232" s="33"/>
      <c r="E232" s="33"/>
      <c r="F232" s="33"/>
      <c r="G232" s="85"/>
      <c r="H232" s="85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</row>
    <row r="233">
      <c r="A233" s="33"/>
      <c r="B233" s="33"/>
      <c r="C233" s="33"/>
      <c r="D233" s="33"/>
      <c r="E233" s="33"/>
      <c r="F233" s="33"/>
      <c r="G233" s="85"/>
      <c r="H233" s="85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</row>
    <row r="234">
      <c r="A234" s="33"/>
      <c r="B234" s="33"/>
      <c r="C234" s="33"/>
      <c r="D234" s="33"/>
      <c r="E234" s="33"/>
      <c r="F234" s="33"/>
      <c r="G234" s="85"/>
      <c r="H234" s="85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</row>
    <row r="235">
      <c r="A235" s="33"/>
      <c r="B235" s="33"/>
      <c r="C235" s="33"/>
      <c r="D235" s="33"/>
      <c r="E235" s="33"/>
      <c r="F235" s="33"/>
      <c r="G235" s="85"/>
      <c r="H235" s="85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</row>
    <row r="236">
      <c r="A236" s="33"/>
      <c r="B236" s="33"/>
      <c r="C236" s="33"/>
      <c r="D236" s="33"/>
      <c r="E236" s="33"/>
      <c r="F236" s="33"/>
      <c r="G236" s="85"/>
      <c r="H236" s="85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</row>
    <row r="237">
      <c r="A237" s="33"/>
      <c r="B237" s="33"/>
      <c r="C237" s="33"/>
      <c r="D237" s="33"/>
      <c r="E237" s="33"/>
      <c r="F237" s="33"/>
      <c r="G237" s="85"/>
      <c r="H237" s="85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</row>
    <row r="238">
      <c r="A238" s="33"/>
      <c r="B238" s="33"/>
      <c r="C238" s="33"/>
      <c r="D238" s="33"/>
      <c r="E238" s="33"/>
      <c r="F238" s="33"/>
      <c r="G238" s="85"/>
      <c r="H238" s="85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</row>
    <row r="239">
      <c r="A239" s="33"/>
      <c r="B239" s="33"/>
      <c r="C239" s="33"/>
      <c r="D239" s="33"/>
      <c r="E239" s="33"/>
      <c r="F239" s="33"/>
      <c r="G239" s="85"/>
      <c r="H239" s="85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</row>
    <row r="240">
      <c r="A240" s="33"/>
      <c r="B240" s="33"/>
      <c r="C240" s="33"/>
      <c r="D240" s="33"/>
      <c r="E240" s="33"/>
      <c r="F240" s="33"/>
      <c r="G240" s="85"/>
      <c r="H240" s="85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</row>
    <row r="241">
      <c r="A241" s="33"/>
      <c r="B241" s="33"/>
      <c r="C241" s="33"/>
      <c r="D241" s="33"/>
      <c r="E241" s="33"/>
      <c r="F241" s="33"/>
      <c r="G241" s="85"/>
      <c r="H241" s="85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</row>
    <row r="242">
      <c r="A242" s="33"/>
      <c r="B242" s="33"/>
      <c r="C242" s="33"/>
      <c r="D242" s="33"/>
      <c r="E242" s="33"/>
      <c r="F242" s="33"/>
      <c r="G242" s="85"/>
      <c r="H242" s="85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</row>
    <row r="243">
      <c r="A243" s="33"/>
      <c r="B243" s="33"/>
      <c r="C243" s="33"/>
      <c r="D243" s="33"/>
      <c r="E243" s="33"/>
      <c r="F243" s="33"/>
      <c r="G243" s="85"/>
      <c r="H243" s="85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</row>
    <row r="244">
      <c r="A244" s="33"/>
      <c r="B244" s="33"/>
      <c r="C244" s="33"/>
      <c r="D244" s="33"/>
      <c r="E244" s="33"/>
      <c r="F244" s="33"/>
      <c r="G244" s="85"/>
      <c r="H244" s="85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</row>
    <row r="245">
      <c r="A245" s="33"/>
      <c r="B245" s="33"/>
      <c r="C245" s="33"/>
      <c r="D245" s="33"/>
      <c r="E245" s="33"/>
      <c r="F245" s="33"/>
      <c r="G245" s="85"/>
      <c r="H245" s="85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</row>
    <row r="246">
      <c r="A246" s="33"/>
      <c r="B246" s="33"/>
      <c r="C246" s="33"/>
      <c r="D246" s="33"/>
      <c r="E246" s="33"/>
      <c r="F246" s="33"/>
      <c r="G246" s="85"/>
      <c r="H246" s="85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/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</row>
    <row r="247">
      <c r="A247" s="33"/>
      <c r="B247" s="33"/>
      <c r="C247" s="33"/>
      <c r="D247" s="33"/>
      <c r="E247" s="33"/>
      <c r="F247" s="33"/>
      <c r="G247" s="85"/>
      <c r="H247" s="85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3"/>
      <c r="DC247" s="33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3"/>
      <c r="DP247" s="33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3"/>
      <c r="EC247" s="33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3"/>
      <c r="EP247" s="33"/>
      <c r="EQ247" s="33"/>
      <c r="ER247" s="33"/>
      <c r="ES247" s="33"/>
    </row>
    <row r="248">
      <c r="A248" s="33"/>
      <c r="B248" s="33"/>
      <c r="C248" s="33"/>
      <c r="D248" s="33"/>
      <c r="E248" s="33"/>
      <c r="F248" s="33"/>
      <c r="G248" s="85"/>
      <c r="H248" s="85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</row>
    <row r="249">
      <c r="A249" s="33"/>
      <c r="B249" s="33"/>
      <c r="C249" s="33"/>
      <c r="D249" s="33"/>
      <c r="E249" s="33"/>
      <c r="F249" s="33"/>
      <c r="G249" s="85"/>
      <c r="H249" s="85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</row>
    <row r="250">
      <c r="A250" s="33"/>
      <c r="B250" s="33"/>
      <c r="C250" s="33"/>
      <c r="D250" s="33"/>
      <c r="E250" s="33"/>
      <c r="F250" s="33"/>
      <c r="G250" s="85"/>
      <c r="H250" s="85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/>
      <c r="EQ250" s="33"/>
      <c r="ER250" s="33"/>
      <c r="ES250" s="33"/>
    </row>
    <row r="251">
      <c r="A251" s="33"/>
      <c r="B251" s="33"/>
      <c r="C251" s="33"/>
      <c r="D251" s="33"/>
      <c r="E251" s="33"/>
      <c r="F251" s="33"/>
      <c r="G251" s="85"/>
      <c r="H251" s="85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</row>
    <row r="252">
      <c r="A252" s="33"/>
      <c r="B252" s="33"/>
      <c r="C252" s="33"/>
      <c r="D252" s="33"/>
      <c r="E252" s="33"/>
      <c r="F252" s="33"/>
      <c r="G252" s="85"/>
      <c r="H252" s="85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/>
      <c r="CY252" s="33"/>
      <c r="CZ252" s="33"/>
      <c r="DA252" s="33"/>
      <c r="DB252" s="33"/>
      <c r="DC252" s="33"/>
      <c r="DD252" s="33"/>
      <c r="DE252" s="33"/>
      <c r="DF252" s="33"/>
      <c r="DG252" s="33"/>
      <c r="DH252" s="33"/>
      <c r="DI252" s="33"/>
      <c r="DJ252" s="33"/>
      <c r="DK252" s="33"/>
      <c r="DL252" s="33"/>
      <c r="DM252" s="33"/>
      <c r="DN252" s="33"/>
      <c r="DO252" s="33"/>
      <c r="DP252" s="33"/>
      <c r="DQ252" s="33"/>
      <c r="DR252" s="33"/>
      <c r="DS252" s="33"/>
      <c r="DT252" s="33"/>
      <c r="DU252" s="33"/>
      <c r="DV252" s="33"/>
      <c r="DW252" s="33"/>
      <c r="DX252" s="33"/>
      <c r="DY252" s="33"/>
      <c r="DZ252" s="33"/>
      <c r="EA252" s="33"/>
      <c r="EB252" s="33"/>
      <c r="EC252" s="33"/>
      <c r="ED252" s="33"/>
      <c r="EE252" s="33"/>
      <c r="EF252" s="33"/>
      <c r="EG252" s="33"/>
      <c r="EH252" s="33"/>
      <c r="EI252" s="33"/>
      <c r="EJ252" s="33"/>
      <c r="EK252" s="33"/>
      <c r="EL252" s="33"/>
      <c r="EM252" s="33"/>
      <c r="EN252" s="33"/>
      <c r="EO252" s="33"/>
      <c r="EP252" s="33"/>
      <c r="EQ252" s="33"/>
      <c r="ER252" s="33"/>
      <c r="ES252" s="33"/>
    </row>
    <row r="253">
      <c r="A253" s="33"/>
      <c r="B253" s="33"/>
      <c r="C253" s="33"/>
      <c r="D253" s="33"/>
      <c r="E253" s="33"/>
      <c r="F253" s="33"/>
      <c r="G253" s="85"/>
      <c r="H253" s="85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3"/>
      <c r="DC253" s="33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3"/>
      <c r="DP253" s="33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3"/>
      <c r="EC253" s="33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3"/>
      <c r="EP253" s="33"/>
      <c r="EQ253" s="33"/>
      <c r="ER253" s="33"/>
      <c r="ES253" s="33"/>
    </row>
    <row r="254">
      <c r="A254" s="33"/>
      <c r="B254" s="33"/>
      <c r="C254" s="33"/>
      <c r="D254" s="33"/>
      <c r="E254" s="33"/>
      <c r="F254" s="33"/>
      <c r="G254" s="85"/>
      <c r="H254" s="85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</row>
    <row r="255">
      <c r="A255" s="33"/>
      <c r="B255" s="33"/>
      <c r="C255" s="33"/>
      <c r="D255" s="33"/>
      <c r="E255" s="33"/>
      <c r="F255" s="33"/>
      <c r="G255" s="85"/>
      <c r="H255" s="85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</row>
    <row r="256">
      <c r="A256" s="33"/>
      <c r="B256" s="33"/>
      <c r="C256" s="33"/>
      <c r="D256" s="33"/>
      <c r="E256" s="33"/>
      <c r="F256" s="33"/>
      <c r="G256" s="85"/>
      <c r="H256" s="85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</row>
    <row r="257">
      <c r="A257" s="33"/>
      <c r="B257" s="33"/>
      <c r="C257" s="33"/>
      <c r="D257" s="33"/>
      <c r="E257" s="33"/>
      <c r="F257" s="33"/>
      <c r="G257" s="85"/>
      <c r="H257" s="85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3"/>
      <c r="DC257" s="33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3"/>
      <c r="DP257" s="33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3"/>
      <c r="EC257" s="33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3"/>
      <c r="EP257" s="33"/>
      <c r="EQ257" s="33"/>
      <c r="ER257" s="33"/>
      <c r="ES257" s="33"/>
    </row>
    <row r="258">
      <c r="A258" s="33"/>
      <c r="B258" s="33"/>
      <c r="C258" s="33"/>
      <c r="D258" s="33"/>
      <c r="E258" s="33"/>
      <c r="F258" s="33"/>
      <c r="G258" s="85"/>
      <c r="H258" s="85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33"/>
      <c r="Y258" s="33"/>
      <c r="Z258" s="33"/>
      <c r="AA258" s="33"/>
      <c r="AB258" s="33"/>
      <c r="AC258" s="33"/>
      <c r="AD258" s="33"/>
      <c r="AE258" s="33"/>
      <c r="AF258" s="33"/>
      <c r="AG258" s="33"/>
      <c r="AH258" s="33"/>
      <c r="AI258" s="33"/>
      <c r="AJ258" s="33"/>
      <c r="AK258" s="33"/>
      <c r="AL258" s="33"/>
      <c r="AM258" s="33"/>
      <c r="AN258" s="33"/>
      <c r="AO258" s="33"/>
      <c r="AP258" s="33"/>
      <c r="AQ258" s="33"/>
      <c r="AR258" s="33"/>
      <c r="AS258" s="33"/>
      <c r="AT258" s="33"/>
      <c r="AU258" s="33"/>
      <c r="AV258" s="33"/>
      <c r="AW258" s="33"/>
      <c r="AX258" s="33"/>
      <c r="AY258" s="33"/>
      <c r="AZ258" s="33"/>
      <c r="BA258" s="33"/>
      <c r="BB258" s="33"/>
      <c r="BC258" s="33"/>
      <c r="BD258" s="33"/>
      <c r="BE258" s="33"/>
      <c r="BF258" s="33"/>
      <c r="BG258" s="33"/>
      <c r="BH258" s="33"/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  <c r="BU258" s="33"/>
      <c r="BV258" s="33"/>
      <c r="BW258" s="33"/>
      <c r="BX258" s="33"/>
      <c r="BY258" s="33"/>
      <c r="BZ258" s="33"/>
      <c r="CA258" s="33"/>
      <c r="CB258" s="33"/>
      <c r="CC258" s="33"/>
      <c r="CD258" s="33"/>
      <c r="CE258" s="33"/>
      <c r="CF258" s="33"/>
      <c r="CG258" s="33"/>
      <c r="CH258" s="33"/>
      <c r="CI258" s="33"/>
      <c r="CJ258" s="33"/>
      <c r="CK258" s="33"/>
      <c r="CL258" s="33"/>
      <c r="CM258" s="33"/>
      <c r="CN258" s="33"/>
      <c r="CO258" s="33"/>
      <c r="CP258" s="33"/>
      <c r="CQ258" s="33"/>
      <c r="CR258" s="33"/>
      <c r="CS258" s="33"/>
      <c r="CT258" s="33"/>
      <c r="CU258" s="33"/>
      <c r="CV258" s="33"/>
      <c r="CW258" s="33"/>
      <c r="CX258" s="33"/>
      <c r="CY258" s="33"/>
      <c r="CZ258" s="33"/>
      <c r="DA258" s="33"/>
      <c r="DB258" s="33"/>
      <c r="DC258" s="33"/>
      <c r="DD258" s="33"/>
      <c r="DE258" s="33"/>
      <c r="DF258" s="33"/>
      <c r="DG258" s="33"/>
      <c r="DH258" s="33"/>
      <c r="DI258" s="33"/>
      <c r="DJ258" s="33"/>
      <c r="DK258" s="33"/>
      <c r="DL258" s="33"/>
      <c r="DM258" s="33"/>
      <c r="DN258" s="33"/>
      <c r="DO258" s="33"/>
      <c r="DP258" s="33"/>
      <c r="DQ258" s="33"/>
      <c r="DR258" s="33"/>
      <c r="DS258" s="33"/>
      <c r="DT258" s="33"/>
      <c r="DU258" s="33"/>
      <c r="DV258" s="33"/>
      <c r="DW258" s="33"/>
      <c r="DX258" s="33"/>
      <c r="DY258" s="33"/>
      <c r="DZ258" s="33"/>
      <c r="EA258" s="33"/>
      <c r="EB258" s="33"/>
      <c r="EC258" s="33"/>
      <c r="ED258" s="33"/>
      <c r="EE258" s="33"/>
      <c r="EF258" s="33"/>
      <c r="EG258" s="33"/>
      <c r="EH258" s="33"/>
      <c r="EI258" s="33"/>
      <c r="EJ258" s="33"/>
      <c r="EK258" s="33"/>
      <c r="EL258" s="33"/>
      <c r="EM258" s="33"/>
      <c r="EN258" s="33"/>
      <c r="EO258" s="33"/>
      <c r="EP258" s="33"/>
      <c r="EQ258" s="33"/>
      <c r="ER258" s="33"/>
      <c r="ES258" s="33"/>
    </row>
    <row r="259">
      <c r="A259" s="33"/>
      <c r="B259" s="33"/>
      <c r="C259" s="33"/>
      <c r="D259" s="33"/>
      <c r="E259" s="33"/>
      <c r="F259" s="33"/>
      <c r="G259" s="85"/>
      <c r="H259" s="85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3"/>
      <c r="AC259" s="33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3"/>
      <c r="AP259" s="33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3"/>
      <c r="BC259" s="33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3"/>
      <c r="CC259" s="33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3"/>
      <c r="CP259" s="33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3"/>
      <c r="DC259" s="33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3"/>
      <c r="DP259" s="33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3"/>
      <c r="EC259" s="33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3"/>
      <c r="EP259" s="33"/>
      <c r="EQ259" s="33"/>
      <c r="ER259" s="33"/>
      <c r="ES259" s="33"/>
    </row>
    <row r="260">
      <c r="A260" s="33"/>
      <c r="B260" s="33"/>
      <c r="C260" s="33"/>
      <c r="D260" s="33"/>
      <c r="E260" s="33"/>
      <c r="F260" s="33"/>
      <c r="G260" s="85"/>
      <c r="H260" s="85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33"/>
      <c r="Y260" s="33"/>
      <c r="Z260" s="33"/>
      <c r="AA260" s="33"/>
      <c r="AB260" s="33"/>
      <c r="AC260" s="33"/>
      <c r="AD260" s="33"/>
      <c r="AE260" s="33"/>
      <c r="AF260" s="33"/>
      <c r="AG260" s="33"/>
      <c r="AH260" s="33"/>
      <c r="AI260" s="33"/>
      <c r="AJ260" s="33"/>
      <c r="AK260" s="33"/>
      <c r="AL260" s="33"/>
      <c r="AM260" s="33"/>
      <c r="AN260" s="33"/>
      <c r="AO260" s="33"/>
      <c r="AP260" s="33"/>
      <c r="AQ260" s="33"/>
      <c r="AR260" s="33"/>
      <c r="AS260" s="33"/>
      <c r="AT260" s="33"/>
      <c r="AU260" s="33"/>
      <c r="AV260" s="33"/>
      <c r="AW260" s="33"/>
      <c r="AX260" s="33"/>
      <c r="AY260" s="33"/>
      <c r="AZ260" s="33"/>
      <c r="BA260" s="33"/>
      <c r="BB260" s="33"/>
      <c r="BC260" s="33"/>
      <c r="BD260" s="33"/>
      <c r="BE260" s="33"/>
      <c r="BF260" s="33"/>
      <c r="BG260" s="33"/>
      <c r="BH260" s="33"/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  <c r="BU260" s="33"/>
      <c r="BV260" s="33"/>
      <c r="BW260" s="33"/>
      <c r="BX260" s="33"/>
      <c r="BY260" s="33"/>
      <c r="BZ260" s="33"/>
      <c r="CA260" s="33"/>
      <c r="CB260" s="33"/>
      <c r="CC260" s="33"/>
      <c r="CD260" s="33"/>
      <c r="CE260" s="33"/>
      <c r="CF260" s="33"/>
      <c r="CG260" s="33"/>
      <c r="CH260" s="33"/>
      <c r="CI260" s="33"/>
      <c r="CJ260" s="33"/>
      <c r="CK260" s="33"/>
      <c r="CL260" s="33"/>
      <c r="CM260" s="33"/>
      <c r="CN260" s="33"/>
      <c r="CO260" s="33"/>
      <c r="CP260" s="33"/>
      <c r="CQ260" s="33"/>
      <c r="CR260" s="33"/>
      <c r="CS260" s="33"/>
      <c r="CT260" s="33"/>
      <c r="CU260" s="33"/>
      <c r="CV260" s="33"/>
      <c r="CW260" s="33"/>
      <c r="CX260" s="33"/>
      <c r="CY260" s="33"/>
      <c r="CZ260" s="33"/>
      <c r="DA260" s="33"/>
      <c r="DB260" s="33"/>
      <c r="DC260" s="33"/>
      <c r="DD260" s="33"/>
      <c r="DE260" s="33"/>
      <c r="DF260" s="33"/>
      <c r="DG260" s="33"/>
      <c r="DH260" s="33"/>
      <c r="DI260" s="33"/>
      <c r="DJ260" s="33"/>
      <c r="DK260" s="33"/>
      <c r="DL260" s="33"/>
      <c r="DM260" s="33"/>
      <c r="DN260" s="33"/>
      <c r="DO260" s="33"/>
      <c r="DP260" s="33"/>
      <c r="DQ260" s="33"/>
      <c r="DR260" s="33"/>
      <c r="DS260" s="33"/>
      <c r="DT260" s="33"/>
      <c r="DU260" s="33"/>
      <c r="DV260" s="33"/>
      <c r="DW260" s="33"/>
      <c r="DX260" s="33"/>
      <c r="DY260" s="33"/>
      <c r="DZ260" s="33"/>
      <c r="EA260" s="33"/>
      <c r="EB260" s="33"/>
      <c r="EC260" s="33"/>
      <c r="ED260" s="33"/>
      <c r="EE260" s="33"/>
      <c r="EF260" s="33"/>
      <c r="EG260" s="33"/>
      <c r="EH260" s="33"/>
      <c r="EI260" s="33"/>
      <c r="EJ260" s="33"/>
      <c r="EK260" s="33"/>
      <c r="EL260" s="33"/>
      <c r="EM260" s="33"/>
      <c r="EN260" s="33"/>
      <c r="EO260" s="33"/>
      <c r="EP260" s="33"/>
      <c r="EQ260" s="33"/>
      <c r="ER260" s="33"/>
      <c r="ES260" s="33"/>
    </row>
    <row r="261">
      <c r="A261" s="33"/>
      <c r="B261" s="33"/>
      <c r="C261" s="33"/>
      <c r="D261" s="33"/>
      <c r="E261" s="33"/>
      <c r="F261" s="33"/>
      <c r="G261" s="85"/>
      <c r="H261" s="85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3"/>
      <c r="AC261" s="33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3"/>
      <c r="AP261" s="33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3"/>
      <c r="BC261" s="33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3"/>
      <c r="CC261" s="33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3"/>
      <c r="CP261" s="33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3"/>
      <c r="DC261" s="33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3"/>
      <c r="DP261" s="33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3"/>
      <c r="EC261" s="33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3"/>
      <c r="EP261" s="33"/>
      <c r="EQ261" s="33"/>
      <c r="ER261" s="33"/>
      <c r="ES261" s="33"/>
    </row>
    <row r="262">
      <c r="A262" s="33"/>
      <c r="B262" s="33"/>
      <c r="C262" s="33"/>
      <c r="D262" s="33"/>
      <c r="E262" s="33"/>
      <c r="F262" s="33"/>
      <c r="G262" s="85"/>
      <c r="H262" s="85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33"/>
      <c r="Y262" s="33"/>
      <c r="Z262" s="33"/>
      <c r="AA262" s="33"/>
      <c r="AB262" s="33"/>
      <c r="AC262" s="33"/>
      <c r="AD262" s="33"/>
      <c r="AE262" s="33"/>
      <c r="AF262" s="33"/>
      <c r="AG262" s="33"/>
      <c r="AH262" s="33"/>
      <c r="AI262" s="33"/>
      <c r="AJ262" s="33"/>
      <c r="AK262" s="33"/>
      <c r="AL262" s="33"/>
      <c r="AM262" s="33"/>
      <c r="AN262" s="33"/>
      <c r="AO262" s="33"/>
      <c r="AP262" s="33"/>
      <c r="AQ262" s="33"/>
      <c r="AR262" s="33"/>
      <c r="AS262" s="33"/>
      <c r="AT262" s="33"/>
      <c r="AU262" s="33"/>
      <c r="AV262" s="33"/>
      <c r="AW262" s="33"/>
      <c r="AX262" s="33"/>
      <c r="AY262" s="33"/>
      <c r="AZ262" s="33"/>
      <c r="BA262" s="33"/>
      <c r="BB262" s="33"/>
      <c r="BC262" s="33"/>
      <c r="BD262" s="33"/>
      <c r="BE262" s="33"/>
      <c r="BF262" s="33"/>
      <c r="BG262" s="33"/>
      <c r="BH262" s="33"/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  <c r="BU262" s="33"/>
      <c r="BV262" s="33"/>
      <c r="BW262" s="33"/>
      <c r="BX262" s="33"/>
      <c r="BY262" s="33"/>
      <c r="BZ262" s="33"/>
      <c r="CA262" s="33"/>
      <c r="CB262" s="33"/>
      <c r="CC262" s="33"/>
      <c r="CD262" s="33"/>
      <c r="CE262" s="33"/>
      <c r="CF262" s="33"/>
      <c r="CG262" s="33"/>
      <c r="CH262" s="33"/>
      <c r="CI262" s="33"/>
      <c r="CJ262" s="33"/>
      <c r="CK262" s="33"/>
      <c r="CL262" s="33"/>
      <c r="CM262" s="33"/>
      <c r="CN262" s="33"/>
      <c r="CO262" s="33"/>
      <c r="CP262" s="33"/>
      <c r="CQ262" s="33"/>
      <c r="CR262" s="33"/>
      <c r="CS262" s="33"/>
      <c r="CT262" s="33"/>
      <c r="CU262" s="33"/>
      <c r="CV262" s="33"/>
      <c r="CW262" s="33"/>
      <c r="CX262" s="33"/>
      <c r="CY262" s="33"/>
      <c r="CZ262" s="33"/>
      <c r="DA262" s="33"/>
      <c r="DB262" s="33"/>
      <c r="DC262" s="33"/>
      <c r="DD262" s="33"/>
      <c r="DE262" s="33"/>
      <c r="DF262" s="33"/>
      <c r="DG262" s="33"/>
      <c r="DH262" s="33"/>
      <c r="DI262" s="33"/>
      <c r="DJ262" s="33"/>
      <c r="DK262" s="33"/>
      <c r="DL262" s="33"/>
      <c r="DM262" s="33"/>
      <c r="DN262" s="33"/>
      <c r="DO262" s="33"/>
      <c r="DP262" s="33"/>
      <c r="DQ262" s="33"/>
      <c r="DR262" s="33"/>
      <c r="DS262" s="33"/>
      <c r="DT262" s="33"/>
      <c r="DU262" s="33"/>
      <c r="DV262" s="33"/>
      <c r="DW262" s="33"/>
      <c r="DX262" s="33"/>
      <c r="DY262" s="33"/>
      <c r="DZ262" s="33"/>
      <c r="EA262" s="33"/>
      <c r="EB262" s="33"/>
      <c r="EC262" s="33"/>
      <c r="ED262" s="33"/>
      <c r="EE262" s="33"/>
      <c r="EF262" s="33"/>
      <c r="EG262" s="33"/>
      <c r="EH262" s="33"/>
      <c r="EI262" s="33"/>
      <c r="EJ262" s="33"/>
      <c r="EK262" s="33"/>
      <c r="EL262" s="33"/>
      <c r="EM262" s="33"/>
      <c r="EN262" s="33"/>
      <c r="EO262" s="33"/>
      <c r="EP262" s="33"/>
      <c r="EQ262" s="33"/>
      <c r="ER262" s="33"/>
      <c r="ES262" s="33"/>
    </row>
    <row r="263">
      <c r="A263" s="33"/>
      <c r="B263" s="33"/>
      <c r="C263" s="33"/>
      <c r="D263" s="33"/>
      <c r="E263" s="33"/>
      <c r="F263" s="33"/>
      <c r="G263" s="85"/>
      <c r="H263" s="85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3"/>
      <c r="AC263" s="33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3"/>
      <c r="AP263" s="33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3"/>
      <c r="BC263" s="33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3"/>
      <c r="CC263" s="33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3"/>
      <c r="CP263" s="33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3"/>
      <c r="DC263" s="33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3"/>
      <c r="DP263" s="33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3"/>
      <c r="EC263" s="33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3"/>
      <c r="EP263" s="33"/>
      <c r="EQ263" s="33"/>
      <c r="ER263" s="33"/>
      <c r="ES263" s="33"/>
    </row>
    <row r="264">
      <c r="A264" s="33"/>
      <c r="B264" s="33"/>
      <c r="C264" s="33"/>
      <c r="D264" s="33"/>
      <c r="E264" s="33"/>
      <c r="F264" s="33"/>
      <c r="G264" s="85"/>
      <c r="H264" s="85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33"/>
      <c r="Y264" s="33"/>
      <c r="Z264" s="33"/>
      <c r="AA264" s="33"/>
      <c r="AB264" s="33"/>
      <c r="AC264" s="33"/>
      <c r="AD264" s="33"/>
      <c r="AE264" s="33"/>
      <c r="AF264" s="33"/>
      <c r="AG264" s="33"/>
      <c r="AH264" s="33"/>
      <c r="AI264" s="33"/>
      <c r="AJ264" s="33"/>
      <c r="AK264" s="33"/>
      <c r="AL264" s="33"/>
      <c r="AM264" s="33"/>
      <c r="AN264" s="33"/>
      <c r="AO264" s="33"/>
      <c r="AP264" s="33"/>
      <c r="AQ264" s="33"/>
      <c r="AR264" s="33"/>
      <c r="AS264" s="33"/>
      <c r="AT264" s="33"/>
      <c r="AU264" s="33"/>
      <c r="AV264" s="33"/>
      <c r="AW264" s="33"/>
      <c r="AX264" s="33"/>
      <c r="AY264" s="33"/>
      <c r="AZ264" s="33"/>
      <c r="BA264" s="33"/>
      <c r="BB264" s="33"/>
      <c r="BC264" s="33"/>
      <c r="BD264" s="33"/>
      <c r="BE264" s="33"/>
      <c r="BF264" s="33"/>
      <c r="BG264" s="33"/>
      <c r="BH264" s="33"/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  <c r="BU264" s="33"/>
      <c r="BV264" s="33"/>
      <c r="BW264" s="33"/>
      <c r="BX264" s="33"/>
      <c r="BY264" s="33"/>
      <c r="BZ264" s="33"/>
      <c r="CA264" s="33"/>
      <c r="CB264" s="33"/>
      <c r="CC264" s="33"/>
      <c r="CD264" s="33"/>
      <c r="CE264" s="33"/>
      <c r="CF264" s="33"/>
      <c r="CG264" s="33"/>
      <c r="CH264" s="33"/>
      <c r="CI264" s="33"/>
      <c r="CJ264" s="33"/>
      <c r="CK264" s="33"/>
      <c r="CL264" s="33"/>
      <c r="CM264" s="33"/>
      <c r="CN264" s="33"/>
      <c r="CO264" s="33"/>
      <c r="CP264" s="33"/>
      <c r="CQ264" s="33"/>
      <c r="CR264" s="33"/>
      <c r="CS264" s="33"/>
      <c r="CT264" s="33"/>
      <c r="CU264" s="33"/>
      <c r="CV264" s="33"/>
      <c r="CW264" s="33"/>
      <c r="CX264" s="33"/>
      <c r="CY264" s="33"/>
      <c r="CZ264" s="33"/>
      <c r="DA264" s="33"/>
      <c r="DB264" s="33"/>
      <c r="DC264" s="33"/>
      <c r="DD264" s="33"/>
      <c r="DE264" s="33"/>
      <c r="DF264" s="33"/>
      <c r="DG264" s="33"/>
      <c r="DH264" s="33"/>
      <c r="DI264" s="33"/>
      <c r="DJ264" s="33"/>
      <c r="DK264" s="33"/>
      <c r="DL264" s="33"/>
      <c r="DM264" s="33"/>
      <c r="DN264" s="33"/>
      <c r="DO264" s="33"/>
      <c r="DP264" s="33"/>
      <c r="DQ264" s="33"/>
      <c r="DR264" s="33"/>
      <c r="DS264" s="33"/>
      <c r="DT264" s="33"/>
      <c r="DU264" s="33"/>
      <c r="DV264" s="33"/>
      <c r="DW264" s="33"/>
      <c r="DX264" s="33"/>
      <c r="DY264" s="33"/>
      <c r="DZ264" s="33"/>
      <c r="EA264" s="33"/>
      <c r="EB264" s="33"/>
      <c r="EC264" s="33"/>
      <c r="ED264" s="33"/>
      <c r="EE264" s="33"/>
      <c r="EF264" s="33"/>
      <c r="EG264" s="33"/>
      <c r="EH264" s="33"/>
      <c r="EI264" s="33"/>
      <c r="EJ264" s="33"/>
      <c r="EK264" s="33"/>
      <c r="EL264" s="33"/>
      <c r="EM264" s="33"/>
      <c r="EN264" s="33"/>
      <c r="EO264" s="33"/>
      <c r="EP264" s="33"/>
      <c r="EQ264" s="33"/>
      <c r="ER264" s="33"/>
      <c r="ES264" s="33"/>
    </row>
    <row r="265">
      <c r="A265" s="33"/>
      <c r="B265" s="33"/>
      <c r="C265" s="33"/>
      <c r="D265" s="33"/>
      <c r="E265" s="33"/>
      <c r="F265" s="33"/>
      <c r="G265" s="85"/>
      <c r="H265" s="85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3"/>
      <c r="AC265" s="33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3"/>
      <c r="AP265" s="33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3"/>
      <c r="BC265" s="33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3"/>
      <c r="CC265" s="33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3"/>
      <c r="CP265" s="33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3"/>
      <c r="DC265" s="33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3"/>
      <c r="DP265" s="33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3"/>
      <c r="EC265" s="33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3"/>
      <c r="EP265" s="33"/>
      <c r="EQ265" s="33"/>
      <c r="ER265" s="33"/>
      <c r="ES265" s="33"/>
    </row>
    <row r="266">
      <c r="A266" s="33"/>
      <c r="B266" s="33"/>
      <c r="C266" s="33"/>
      <c r="D266" s="33"/>
      <c r="E266" s="33"/>
      <c r="F266" s="33"/>
      <c r="G266" s="85"/>
      <c r="H266" s="85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33"/>
      <c r="Y266" s="33"/>
      <c r="Z266" s="33"/>
      <c r="AA266" s="33"/>
      <c r="AB266" s="33"/>
      <c r="AC266" s="33"/>
      <c r="AD266" s="33"/>
      <c r="AE266" s="33"/>
      <c r="AF266" s="33"/>
      <c r="AG266" s="33"/>
      <c r="AH266" s="33"/>
      <c r="AI266" s="33"/>
      <c r="AJ266" s="33"/>
      <c r="AK266" s="33"/>
      <c r="AL266" s="33"/>
      <c r="AM266" s="33"/>
      <c r="AN266" s="33"/>
      <c r="AO266" s="33"/>
      <c r="AP266" s="33"/>
      <c r="AQ266" s="33"/>
      <c r="AR266" s="33"/>
      <c r="AS266" s="33"/>
      <c r="AT266" s="33"/>
      <c r="AU266" s="33"/>
      <c r="AV266" s="33"/>
      <c r="AW266" s="33"/>
      <c r="AX266" s="33"/>
      <c r="AY266" s="33"/>
      <c r="AZ266" s="33"/>
      <c r="BA266" s="33"/>
      <c r="BB266" s="33"/>
      <c r="BC266" s="33"/>
      <c r="BD266" s="33"/>
      <c r="BE266" s="33"/>
      <c r="BF266" s="33"/>
      <c r="BG266" s="33"/>
      <c r="BH266" s="33"/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  <c r="BU266" s="33"/>
      <c r="BV266" s="33"/>
      <c r="BW266" s="33"/>
      <c r="BX266" s="33"/>
      <c r="BY266" s="33"/>
      <c r="BZ266" s="33"/>
      <c r="CA266" s="33"/>
      <c r="CB266" s="33"/>
      <c r="CC266" s="33"/>
      <c r="CD266" s="33"/>
      <c r="CE266" s="33"/>
      <c r="CF266" s="33"/>
      <c r="CG266" s="33"/>
      <c r="CH266" s="33"/>
      <c r="CI266" s="33"/>
      <c r="CJ266" s="33"/>
      <c r="CK266" s="33"/>
      <c r="CL266" s="33"/>
      <c r="CM266" s="33"/>
      <c r="CN266" s="33"/>
      <c r="CO266" s="33"/>
      <c r="CP266" s="33"/>
      <c r="CQ266" s="33"/>
      <c r="CR266" s="33"/>
      <c r="CS266" s="33"/>
      <c r="CT266" s="33"/>
      <c r="CU266" s="33"/>
      <c r="CV266" s="33"/>
      <c r="CW266" s="33"/>
      <c r="CX266" s="33"/>
      <c r="CY266" s="33"/>
      <c r="CZ266" s="33"/>
      <c r="DA266" s="33"/>
      <c r="DB266" s="33"/>
      <c r="DC266" s="33"/>
      <c r="DD266" s="33"/>
      <c r="DE266" s="33"/>
      <c r="DF266" s="33"/>
      <c r="DG266" s="33"/>
      <c r="DH266" s="33"/>
      <c r="DI266" s="33"/>
      <c r="DJ266" s="33"/>
      <c r="DK266" s="33"/>
      <c r="DL266" s="33"/>
      <c r="DM266" s="33"/>
      <c r="DN266" s="33"/>
      <c r="DO266" s="33"/>
      <c r="DP266" s="33"/>
      <c r="DQ266" s="33"/>
      <c r="DR266" s="33"/>
      <c r="DS266" s="33"/>
      <c r="DT266" s="33"/>
      <c r="DU266" s="33"/>
      <c r="DV266" s="33"/>
      <c r="DW266" s="33"/>
      <c r="DX266" s="33"/>
      <c r="DY266" s="33"/>
      <c r="DZ266" s="33"/>
      <c r="EA266" s="33"/>
      <c r="EB266" s="33"/>
      <c r="EC266" s="33"/>
      <c r="ED266" s="33"/>
      <c r="EE266" s="33"/>
      <c r="EF266" s="33"/>
      <c r="EG266" s="33"/>
      <c r="EH266" s="33"/>
      <c r="EI266" s="33"/>
      <c r="EJ266" s="33"/>
      <c r="EK266" s="33"/>
      <c r="EL266" s="33"/>
      <c r="EM266" s="33"/>
      <c r="EN266" s="33"/>
      <c r="EO266" s="33"/>
      <c r="EP266" s="33"/>
      <c r="EQ266" s="33"/>
      <c r="ER266" s="33"/>
      <c r="ES266" s="33"/>
    </row>
    <row r="267">
      <c r="A267" s="33"/>
      <c r="B267" s="33"/>
      <c r="C267" s="33"/>
      <c r="D267" s="33"/>
      <c r="E267" s="33"/>
      <c r="F267" s="33"/>
      <c r="G267" s="85"/>
      <c r="H267" s="85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3"/>
      <c r="AC267" s="33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3"/>
      <c r="AP267" s="33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3"/>
      <c r="CC267" s="33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3"/>
      <c r="CP267" s="33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3"/>
      <c r="DC267" s="33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3"/>
      <c r="DP267" s="33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3"/>
      <c r="EC267" s="33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3"/>
      <c r="EP267" s="33"/>
      <c r="EQ267" s="33"/>
      <c r="ER267" s="33"/>
      <c r="ES267" s="33"/>
    </row>
    <row r="268">
      <c r="A268" s="33"/>
      <c r="B268" s="33"/>
      <c r="C268" s="33"/>
      <c r="D268" s="33"/>
      <c r="E268" s="33"/>
      <c r="F268" s="33"/>
      <c r="G268" s="85"/>
      <c r="H268" s="85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33"/>
      <c r="Y268" s="33"/>
      <c r="Z268" s="33"/>
      <c r="AA268" s="33"/>
      <c r="AB268" s="33"/>
      <c r="AC268" s="33"/>
      <c r="AD268" s="33"/>
      <c r="AE268" s="33"/>
      <c r="AF268" s="33"/>
      <c r="AG268" s="33"/>
      <c r="AH268" s="33"/>
      <c r="AI268" s="33"/>
      <c r="AJ268" s="33"/>
      <c r="AK268" s="33"/>
      <c r="AL268" s="33"/>
      <c r="AM268" s="33"/>
      <c r="AN268" s="33"/>
      <c r="AO268" s="33"/>
      <c r="AP268" s="33"/>
      <c r="AQ268" s="33"/>
      <c r="AR268" s="33"/>
      <c r="AS268" s="33"/>
      <c r="AT268" s="33"/>
      <c r="AU268" s="33"/>
      <c r="AV268" s="33"/>
      <c r="AW268" s="33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  <c r="BU268" s="33"/>
      <c r="BV268" s="33"/>
      <c r="BW268" s="33"/>
      <c r="BX268" s="33"/>
      <c r="BY268" s="33"/>
      <c r="BZ268" s="33"/>
      <c r="CA268" s="33"/>
      <c r="CB268" s="33"/>
      <c r="CC268" s="33"/>
      <c r="CD268" s="33"/>
      <c r="CE268" s="33"/>
      <c r="CF268" s="33"/>
      <c r="CG268" s="33"/>
      <c r="CH268" s="33"/>
      <c r="CI268" s="33"/>
      <c r="CJ268" s="33"/>
      <c r="CK268" s="33"/>
      <c r="CL268" s="33"/>
      <c r="CM268" s="33"/>
      <c r="CN268" s="33"/>
      <c r="CO268" s="33"/>
      <c r="CP268" s="33"/>
      <c r="CQ268" s="33"/>
      <c r="CR268" s="33"/>
      <c r="CS268" s="33"/>
      <c r="CT268" s="33"/>
      <c r="CU268" s="33"/>
      <c r="CV268" s="33"/>
      <c r="CW268" s="33"/>
      <c r="CX268" s="33"/>
      <c r="CY268" s="33"/>
      <c r="CZ268" s="33"/>
      <c r="DA268" s="33"/>
      <c r="DB268" s="33"/>
      <c r="DC268" s="33"/>
      <c r="DD268" s="33"/>
      <c r="DE268" s="33"/>
      <c r="DF268" s="33"/>
      <c r="DG268" s="33"/>
      <c r="DH268" s="33"/>
      <c r="DI268" s="33"/>
      <c r="DJ268" s="33"/>
      <c r="DK268" s="33"/>
      <c r="DL268" s="33"/>
      <c r="DM268" s="33"/>
      <c r="DN268" s="33"/>
      <c r="DO268" s="33"/>
      <c r="DP268" s="33"/>
      <c r="DQ268" s="33"/>
      <c r="DR268" s="33"/>
      <c r="DS268" s="33"/>
      <c r="DT268" s="33"/>
      <c r="DU268" s="33"/>
      <c r="DV268" s="33"/>
      <c r="DW268" s="33"/>
      <c r="DX268" s="33"/>
      <c r="DY268" s="33"/>
      <c r="DZ268" s="33"/>
      <c r="EA268" s="33"/>
      <c r="EB268" s="33"/>
      <c r="EC268" s="33"/>
      <c r="ED268" s="33"/>
      <c r="EE268" s="33"/>
      <c r="EF268" s="33"/>
      <c r="EG268" s="33"/>
      <c r="EH268" s="33"/>
      <c r="EI268" s="33"/>
      <c r="EJ268" s="33"/>
      <c r="EK268" s="33"/>
      <c r="EL268" s="33"/>
      <c r="EM268" s="33"/>
      <c r="EN268" s="33"/>
      <c r="EO268" s="33"/>
      <c r="EP268" s="33"/>
      <c r="EQ268" s="33"/>
      <c r="ER268" s="33"/>
      <c r="ES268" s="33"/>
    </row>
    <row r="269">
      <c r="A269" s="33"/>
      <c r="B269" s="33"/>
      <c r="C269" s="33"/>
      <c r="D269" s="33"/>
      <c r="E269" s="33"/>
      <c r="F269" s="33"/>
      <c r="G269" s="85"/>
      <c r="H269" s="85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3"/>
      <c r="AC269" s="33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3"/>
      <c r="AP269" s="33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3"/>
      <c r="CC269" s="33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3"/>
      <c r="CP269" s="33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3"/>
      <c r="DC269" s="33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3"/>
      <c r="DP269" s="33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3"/>
      <c r="EC269" s="33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3"/>
      <c r="EP269" s="33"/>
      <c r="EQ269" s="33"/>
      <c r="ER269" s="33"/>
      <c r="ES269" s="33"/>
    </row>
    <row r="270">
      <c r="A270" s="33"/>
      <c r="B270" s="33"/>
      <c r="C270" s="33"/>
      <c r="D270" s="33"/>
      <c r="E270" s="33"/>
      <c r="F270" s="33"/>
      <c r="G270" s="85"/>
      <c r="H270" s="85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33"/>
      <c r="Y270" s="33"/>
      <c r="Z270" s="33"/>
      <c r="AA270" s="33"/>
      <c r="AB270" s="33"/>
      <c r="AC270" s="33"/>
      <c r="AD270" s="33"/>
      <c r="AE270" s="33"/>
      <c r="AF270" s="33"/>
      <c r="AG270" s="33"/>
      <c r="AH270" s="33"/>
      <c r="AI270" s="33"/>
      <c r="AJ270" s="33"/>
      <c r="AK270" s="33"/>
      <c r="AL270" s="33"/>
      <c r="AM270" s="33"/>
      <c r="AN270" s="33"/>
      <c r="AO270" s="33"/>
      <c r="AP270" s="33"/>
      <c r="AQ270" s="33"/>
      <c r="AR270" s="33"/>
      <c r="AS270" s="33"/>
      <c r="AT270" s="33"/>
      <c r="AU270" s="33"/>
      <c r="AV270" s="33"/>
      <c r="AW270" s="33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  <c r="BU270" s="33"/>
      <c r="BV270" s="33"/>
      <c r="BW270" s="33"/>
      <c r="BX270" s="33"/>
      <c r="BY270" s="33"/>
      <c r="BZ270" s="33"/>
      <c r="CA270" s="33"/>
      <c r="CB270" s="33"/>
      <c r="CC270" s="33"/>
      <c r="CD270" s="33"/>
      <c r="CE270" s="33"/>
      <c r="CF270" s="33"/>
      <c r="CG270" s="33"/>
      <c r="CH270" s="33"/>
      <c r="CI270" s="33"/>
      <c r="CJ270" s="33"/>
      <c r="CK270" s="33"/>
      <c r="CL270" s="33"/>
      <c r="CM270" s="33"/>
      <c r="CN270" s="33"/>
      <c r="CO270" s="33"/>
      <c r="CP270" s="33"/>
      <c r="CQ270" s="33"/>
      <c r="CR270" s="33"/>
      <c r="CS270" s="33"/>
      <c r="CT270" s="33"/>
      <c r="CU270" s="33"/>
      <c r="CV270" s="33"/>
      <c r="CW270" s="33"/>
      <c r="CX270" s="33"/>
      <c r="CY270" s="33"/>
      <c r="CZ270" s="33"/>
      <c r="DA270" s="33"/>
      <c r="DB270" s="33"/>
      <c r="DC270" s="33"/>
      <c r="DD270" s="33"/>
      <c r="DE270" s="33"/>
      <c r="DF270" s="33"/>
      <c r="DG270" s="33"/>
      <c r="DH270" s="33"/>
      <c r="DI270" s="33"/>
      <c r="DJ270" s="33"/>
      <c r="DK270" s="33"/>
      <c r="DL270" s="33"/>
      <c r="DM270" s="33"/>
      <c r="DN270" s="33"/>
      <c r="DO270" s="33"/>
      <c r="DP270" s="33"/>
      <c r="DQ270" s="33"/>
      <c r="DR270" s="33"/>
      <c r="DS270" s="33"/>
      <c r="DT270" s="33"/>
      <c r="DU270" s="33"/>
      <c r="DV270" s="33"/>
      <c r="DW270" s="33"/>
      <c r="DX270" s="33"/>
      <c r="DY270" s="33"/>
      <c r="DZ270" s="33"/>
      <c r="EA270" s="33"/>
      <c r="EB270" s="33"/>
      <c r="EC270" s="33"/>
      <c r="ED270" s="33"/>
      <c r="EE270" s="33"/>
      <c r="EF270" s="33"/>
      <c r="EG270" s="33"/>
      <c r="EH270" s="33"/>
      <c r="EI270" s="33"/>
      <c r="EJ270" s="33"/>
      <c r="EK270" s="33"/>
      <c r="EL270" s="33"/>
      <c r="EM270" s="33"/>
      <c r="EN270" s="33"/>
      <c r="EO270" s="33"/>
      <c r="EP270" s="33"/>
      <c r="EQ270" s="33"/>
      <c r="ER270" s="33"/>
      <c r="ES270" s="33"/>
    </row>
    <row r="271">
      <c r="A271" s="33"/>
      <c r="B271" s="33"/>
      <c r="C271" s="33"/>
      <c r="D271" s="33"/>
      <c r="E271" s="33"/>
      <c r="F271" s="33"/>
      <c r="G271" s="85"/>
      <c r="H271" s="85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3"/>
      <c r="AC271" s="33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3"/>
      <c r="AP271" s="33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3"/>
      <c r="CC271" s="33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3"/>
      <c r="CP271" s="33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3"/>
      <c r="DC271" s="33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3"/>
      <c r="DP271" s="33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3"/>
      <c r="EC271" s="33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3"/>
      <c r="EP271" s="33"/>
      <c r="EQ271" s="33"/>
      <c r="ER271" s="33"/>
      <c r="ES271" s="33"/>
    </row>
    <row r="272">
      <c r="A272" s="33"/>
      <c r="B272" s="33"/>
      <c r="C272" s="33"/>
      <c r="D272" s="33"/>
      <c r="E272" s="33"/>
      <c r="F272" s="33"/>
      <c r="G272" s="85"/>
      <c r="H272" s="85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33"/>
      <c r="Y272" s="33"/>
      <c r="Z272" s="33"/>
      <c r="AA272" s="33"/>
      <c r="AB272" s="33"/>
      <c r="AC272" s="33"/>
      <c r="AD272" s="33"/>
      <c r="AE272" s="33"/>
      <c r="AF272" s="33"/>
      <c r="AG272" s="33"/>
      <c r="AH272" s="33"/>
      <c r="AI272" s="33"/>
      <c r="AJ272" s="33"/>
      <c r="AK272" s="33"/>
      <c r="AL272" s="33"/>
      <c r="AM272" s="33"/>
      <c r="AN272" s="33"/>
      <c r="AO272" s="33"/>
      <c r="AP272" s="33"/>
      <c r="AQ272" s="33"/>
      <c r="AR272" s="33"/>
      <c r="AS272" s="33"/>
      <c r="AT272" s="33"/>
      <c r="AU272" s="33"/>
      <c r="AV272" s="33"/>
      <c r="AW272" s="33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  <c r="BU272" s="33"/>
      <c r="BV272" s="33"/>
      <c r="BW272" s="33"/>
      <c r="BX272" s="33"/>
      <c r="BY272" s="33"/>
      <c r="BZ272" s="33"/>
      <c r="CA272" s="33"/>
      <c r="CB272" s="33"/>
      <c r="CC272" s="33"/>
      <c r="CD272" s="33"/>
      <c r="CE272" s="33"/>
      <c r="CF272" s="33"/>
      <c r="CG272" s="33"/>
      <c r="CH272" s="33"/>
      <c r="CI272" s="33"/>
      <c r="CJ272" s="33"/>
      <c r="CK272" s="33"/>
      <c r="CL272" s="33"/>
      <c r="CM272" s="33"/>
      <c r="CN272" s="33"/>
      <c r="CO272" s="33"/>
      <c r="CP272" s="33"/>
      <c r="CQ272" s="33"/>
      <c r="CR272" s="33"/>
      <c r="CS272" s="33"/>
      <c r="CT272" s="33"/>
      <c r="CU272" s="33"/>
      <c r="CV272" s="33"/>
      <c r="CW272" s="33"/>
      <c r="CX272" s="33"/>
      <c r="CY272" s="33"/>
      <c r="CZ272" s="33"/>
      <c r="DA272" s="33"/>
      <c r="DB272" s="33"/>
      <c r="DC272" s="33"/>
      <c r="DD272" s="33"/>
      <c r="DE272" s="33"/>
      <c r="DF272" s="33"/>
      <c r="DG272" s="33"/>
      <c r="DH272" s="33"/>
      <c r="DI272" s="33"/>
      <c r="DJ272" s="33"/>
      <c r="DK272" s="33"/>
      <c r="DL272" s="33"/>
      <c r="DM272" s="33"/>
      <c r="DN272" s="33"/>
      <c r="DO272" s="33"/>
      <c r="DP272" s="33"/>
      <c r="DQ272" s="33"/>
      <c r="DR272" s="33"/>
      <c r="DS272" s="33"/>
      <c r="DT272" s="33"/>
      <c r="DU272" s="33"/>
      <c r="DV272" s="33"/>
      <c r="DW272" s="33"/>
      <c r="DX272" s="33"/>
      <c r="DY272" s="33"/>
      <c r="DZ272" s="33"/>
      <c r="EA272" s="33"/>
      <c r="EB272" s="33"/>
      <c r="EC272" s="33"/>
      <c r="ED272" s="33"/>
      <c r="EE272" s="33"/>
      <c r="EF272" s="33"/>
      <c r="EG272" s="33"/>
      <c r="EH272" s="33"/>
      <c r="EI272" s="33"/>
      <c r="EJ272" s="33"/>
      <c r="EK272" s="33"/>
      <c r="EL272" s="33"/>
      <c r="EM272" s="33"/>
      <c r="EN272" s="33"/>
      <c r="EO272" s="33"/>
      <c r="EP272" s="33"/>
      <c r="EQ272" s="33"/>
      <c r="ER272" s="33"/>
      <c r="ES272" s="33"/>
    </row>
    <row r="273">
      <c r="A273" s="33"/>
      <c r="B273" s="33"/>
      <c r="C273" s="33"/>
      <c r="D273" s="33"/>
      <c r="E273" s="33"/>
      <c r="F273" s="33"/>
      <c r="G273" s="85"/>
      <c r="H273" s="85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3"/>
      <c r="AC273" s="33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3"/>
      <c r="AP273" s="33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3"/>
      <c r="CC273" s="33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3"/>
      <c r="CP273" s="33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3"/>
      <c r="DC273" s="33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3"/>
      <c r="DP273" s="33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3"/>
      <c r="EC273" s="33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3"/>
      <c r="EP273" s="33"/>
      <c r="EQ273" s="33"/>
      <c r="ER273" s="33"/>
      <c r="ES273" s="33"/>
    </row>
    <row r="274">
      <c r="A274" s="33"/>
      <c r="B274" s="33"/>
      <c r="C274" s="33"/>
      <c r="D274" s="33"/>
      <c r="E274" s="33"/>
      <c r="F274" s="33"/>
      <c r="G274" s="85"/>
      <c r="H274" s="85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33"/>
      <c r="Y274" s="33"/>
      <c r="Z274" s="33"/>
      <c r="AA274" s="33"/>
      <c r="AB274" s="33"/>
      <c r="AC274" s="33"/>
      <c r="AD274" s="33"/>
      <c r="AE274" s="33"/>
      <c r="AF274" s="33"/>
      <c r="AG274" s="33"/>
      <c r="AH274" s="33"/>
      <c r="AI274" s="33"/>
      <c r="AJ274" s="33"/>
      <c r="AK274" s="33"/>
      <c r="AL274" s="33"/>
      <c r="AM274" s="33"/>
      <c r="AN274" s="33"/>
      <c r="AO274" s="33"/>
      <c r="AP274" s="33"/>
      <c r="AQ274" s="33"/>
      <c r="AR274" s="33"/>
      <c r="AS274" s="33"/>
      <c r="AT274" s="33"/>
      <c r="AU274" s="33"/>
      <c r="AV274" s="33"/>
      <c r="AW274" s="33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  <c r="BU274" s="33"/>
      <c r="BV274" s="33"/>
      <c r="BW274" s="33"/>
      <c r="BX274" s="33"/>
      <c r="BY274" s="33"/>
      <c r="BZ274" s="33"/>
      <c r="CA274" s="33"/>
      <c r="CB274" s="33"/>
      <c r="CC274" s="33"/>
      <c r="CD274" s="33"/>
      <c r="CE274" s="33"/>
      <c r="CF274" s="33"/>
      <c r="CG274" s="33"/>
      <c r="CH274" s="33"/>
      <c r="CI274" s="33"/>
      <c r="CJ274" s="33"/>
      <c r="CK274" s="33"/>
      <c r="CL274" s="33"/>
      <c r="CM274" s="33"/>
      <c r="CN274" s="33"/>
      <c r="CO274" s="33"/>
      <c r="CP274" s="33"/>
      <c r="CQ274" s="33"/>
      <c r="CR274" s="33"/>
      <c r="CS274" s="33"/>
      <c r="CT274" s="33"/>
      <c r="CU274" s="33"/>
      <c r="CV274" s="33"/>
      <c r="CW274" s="33"/>
      <c r="CX274" s="33"/>
      <c r="CY274" s="33"/>
      <c r="CZ274" s="33"/>
      <c r="DA274" s="33"/>
      <c r="DB274" s="33"/>
      <c r="DC274" s="33"/>
      <c r="DD274" s="33"/>
      <c r="DE274" s="33"/>
      <c r="DF274" s="33"/>
      <c r="DG274" s="33"/>
      <c r="DH274" s="33"/>
      <c r="DI274" s="33"/>
      <c r="DJ274" s="33"/>
      <c r="DK274" s="33"/>
      <c r="DL274" s="33"/>
      <c r="DM274" s="33"/>
      <c r="DN274" s="33"/>
      <c r="DO274" s="33"/>
      <c r="DP274" s="33"/>
      <c r="DQ274" s="33"/>
      <c r="DR274" s="33"/>
      <c r="DS274" s="33"/>
      <c r="DT274" s="33"/>
      <c r="DU274" s="33"/>
      <c r="DV274" s="33"/>
      <c r="DW274" s="33"/>
      <c r="DX274" s="33"/>
      <c r="DY274" s="33"/>
      <c r="DZ274" s="33"/>
      <c r="EA274" s="33"/>
      <c r="EB274" s="33"/>
      <c r="EC274" s="33"/>
      <c r="ED274" s="33"/>
      <c r="EE274" s="33"/>
      <c r="EF274" s="33"/>
      <c r="EG274" s="33"/>
      <c r="EH274" s="33"/>
      <c r="EI274" s="33"/>
      <c r="EJ274" s="33"/>
      <c r="EK274" s="33"/>
      <c r="EL274" s="33"/>
      <c r="EM274" s="33"/>
      <c r="EN274" s="33"/>
      <c r="EO274" s="33"/>
      <c r="EP274" s="33"/>
      <c r="EQ274" s="33"/>
      <c r="ER274" s="33"/>
      <c r="ES274" s="33"/>
    </row>
    <row r="275">
      <c r="A275" s="33"/>
      <c r="B275" s="33"/>
      <c r="C275" s="33"/>
      <c r="D275" s="33"/>
      <c r="E275" s="33"/>
      <c r="F275" s="33"/>
      <c r="G275" s="85"/>
      <c r="H275" s="85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3"/>
      <c r="AC275" s="33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3"/>
      <c r="AP275" s="33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3"/>
      <c r="CC275" s="33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3"/>
      <c r="CP275" s="33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3"/>
      <c r="DC275" s="33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3"/>
      <c r="DP275" s="33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3"/>
      <c r="EC275" s="33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3"/>
      <c r="EP275" s="33"/>
      <c r="EQ275" s="33"/>
      <c r="ER275" s="33"/>
      <c r="ES275" s="33"/>
    </row>
    <row r="276">
      <c r="A276" s="33"/>
      <c r="B276" s="33"/>
      <c r="C276" s="33"/>
      <c r="D276" s="33"/>
      <c r="E276" s="33"/>
      <c r="F276" s="33"/>
      <c r="G276" s="85"/>
      <c r="H276" s="85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33"/>
      <c r="Y276" s="33"/>
      <c r="Z276" s="33"/>
      <c r="AA276" s="33"/>
      <c r="AB276" s="33"/>
      <c r="AC276" s="33"/>
      <c r="AD276" s="33"/>
      <c r="AE276" s="33"/>
      <c r="AF276" s="33"/>
      <c r="AG276" s="33"/>
      <c r="AH276" s="33"/>
      <c r="AI276" s="33"/>
      <c r="AJ276" s="33"/>
      <c r="AK276" s="33"/>
      <c r="AL276" s="33"/>
      <c r="AM276" s="33"/>
      <c r="AN276" s="33"/>
      <c r="AO276" s="33"/>
      <c r="AP276" s="33"/>
      <c r="AQ276" s="33"/>
      <c r="AR276" s="33"/>
      <c r="AS276" s="33"/>
      <c r="AT276" s="33"/>
      <c r="AU276" s="33"/>
      <c r="AV276" s="33"/>
      <c r="AW276" s="33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  <c r="BU276" s="33"/>
      <c r="BV276" s="33"/>
      <c r="BW276" s="33"/>
      <c r="BX276" s="33"/>
      <c r="BY276" s="33"/>
      <c r="BZ276" s="33"/>
      <c r="CA276" s="33"/>
      <c r="CB276" s="33"/>
      <c r="CC276" s="33"/>
      <c r="CD276" s="33"/>
      <c r="CE276" s="33"/>
      <c r="CF276" s="33"/>
      <c r="CG276" s="33"/>
      <c r="CH276" s="33"/>
      <c r="CI276" s="33"/>
      <c r="CJ276" s="33"/>
      <c r="CK276" s="33"/>
      <c r="CL276" s="33"/>
      <c r="CM276" s="33"/>
      <c r="CN276" s="33"/>
      <c r="CO276" s="33"/>
      <c r="CP276" s="33"/>
      <c r="CQ276" s="33"/>
      <c r="CR276" s="33"/>
      <c r="CS276" s="33"/>
      <c r="CT276" s="33"/>
      <c r="CU276" s="33"/>
      <c r="CV276" s="33"/>
      <c r="CW276" s="33"/>
      <c r="CX276" s="33"/>
      <c r="CY276" s="33"/>
      <c r="CZ276" s="33"/>
      <c r="DA276" s="33"/>
      <c r="DB276" s="33"/>
      <c r="DC276" s="33"/>
      <c r="DD276" s="33"/>
      <c r="DE276" s="33"/>
      <c r="DF276" s="33"/>
      <c r="DG276" s="33"/>
      <c r="DH276" s="33"/>
      <c r="DI276" s="33"/>
      <c r="DJ276" s="33"/>
      <c r="DK276" s="33"/>
      <c r="DL276" s="33"/>
      <c r="DM276" s="33"/>
      <c r="DN276" s="33"/>
      <c r="DO276" s="33"/>
      <c r="DP276" s="33"/>
      <c r="DQ276" s="33"/>
      <c r="DR276" s="33"/>
      <c r="DS276" s="33"/>
      <c r="DT276" s="33"/>
      <c r="DU276" s="33"/>
      <c r="DV276" s="33"/>
      <c r="DW276" s="33"/>
      <c r="DX276" s="33"/>
      <c r="DY276" s="33"/>
      <c r="DZ276" s="33"/>
      <c r="EA276" s="33"/>
      <c r="EB276" s="33"/>
      <c r="EC276" s="33"/>
      <c r="ED276" s="33"/>
      <c r="EE276" s="33"/>
      <c r="EF276" s="33"/>
      <c r="EG276" s="33"/>
      <c r="EH276" s="33"/>
      <c r="EI276" s="33"/>
      <c r="EJ276" s="33"/>
      <c r="EK276" s="33"/>
      <c r="EL276" s="33"/>
      <c r="EM276" s="33"/>
      <c r="EN276" s="33"/>
      <c r="EO276" s="33"/>
      <c r="EP276" s="33"/>
      <c r="EQ276" s="33"/>
      <c r="ER276" s="33"/>
      <c r="ES276" s="33"/>
    </row>
    <row r="277">
      <c r="A277" s="33"/>
      <c r="B277" s="33"/>
      <c r="C277" s="33"/>
      <c r="D277" s="33"/>
      <c r="E277" s="33"/>
      <c r="F277" s="33"/>
      <c r="G277" s="85"/>
      <c r="H277" s="85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3"/>
      <c r="AC277" s="33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3"/>
      <c r="AP277" s="33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3"/>
      <c r="CC277" s="33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3"/>
      <c r="CP277" s="33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3"/>
      <c r="DC277" s="33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3"/>
      <c r="DP277" s="33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3"/>
      <c r="EC277" s="33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3"/>
      <c r="EP277" s="33"/>
      <c r="EQ277" s="33"/>
      <c r="ER277" s="33"/>
      <c r="ES277" s="33"/>
    </row>
    <row r="278">
      <c r="A278" s="33"/>
      <c r="B278" s="33"/>
      <c r="C278" s="33"/>
      <c r="D278" s="33"/>
      <c r="E278" s="33"/>
      <c r="F278" s="33"/>
      <c r="G278" s="85"/>
      <c r="H278" s="85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33"/>
      <c r="Y278" s="33"/>
      <c r="Z278" s="33"/>
      <c r="AA278" s="33"/>
      <c r="AB278" s="33"/>
      <c r="AC278" s="33"/>
      <c r="AD278" s="33"/>
      <c r="AE278" s="33"/>
      <c r="AF278" s="33"/>
      <c r="AG278" s="33"/>
      <c r="AH278" s="33"/>
      <c r="AI278" s="33"/>
      <c r="AJ278" s="33"/>
      <c r="AK278" s="33"/>
      <c r="AL278" s="33"/>
      <c r="AM278" s="33"/>
      <c r="AN278" s="33"/>
      <c r="AO278" s="33"/>
      <c r="AP278" s="33"/>
      <c r="AQ278" s="33"/>
      <c r="AR278" s="33"/>
      <c r="AS278" s="33"/>
      <c r="AT278" s="33"/>
      <c r="AU278" s="33"/>
      <c r="AV278" s="33"/>
      <c r="AW278" s="33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  <c r="BU278" s="33"/>
      <c r="BV278" s="33"/>
      <c r="BW278" s="33"/>
      <c r="BX278" s="33"/>
      <c r="BY278" s="33"/>
      <c r="BZ278" s="33"/>
      <c r="CA278" s="33"/>
      <c r="CB278" s="33"/>
      <c r="CC278" s="33"/>
      <c r="CD278" s="33"/>
      <c r="CE278" s="33"/>
      <c r="CF278" s="33"/>
      <c r="CG278" s="33"/>
      <c r="CH278" s="33"/>
      <c r="CI278" s="33"/>
      <c r="CJ278" s="33"/>
      <c r="CK278" s="33"/>
      <c r="CL278" s="33"/>
      <c r="CM278" s="33"/>
      <c r="CN278" s="33"/>
      <c r="CO278" s="33"/>
      <c r="CP278" s="33"/>
      <c r="CQ278" s="33"/>
      <c r="CR278" s="33"/>
      <c r="CS278" s="33"/>
      <c r="CT278" s="33"/>
      <c r="CU278" s="33"/>
      <c r="CV278" s="33"/>
      <c r="CW278" s="33"/>
      <c r="CX278" s="33"/>
      <c r="CY278" s="33"/>
      <c r="CZ278" s="33"/>
      <c r="DA278" s="33"/>
      <c r="DB278" s="33"/>
      <c r="DC278" s="33"/>
      <c r="DD278" s="33"/>
      <c r="DE278" s="33"/>
      <c r="DF278" s="33"/>
      <c r="DG278" s="33"/>
      <c r="DH278" s="33"/>
      <c r="DI278" s="33"/>
      <c r="DJ278" s="33"/>
      <c r="DK278" s="33"/>
      <c r="DL278" s="33"/>
      <c r="DM278" s="33"/>
      <c r="DN278" s="33"/>
      <c r="DO278" s="33"/>
      <c r="DP278" s="33"/>
      <c r="DQ278" s="33"/>
      <c r="DR278" s="33"/>
      <c r="DS278" s="33"/>
      <c r="DT278" s="33"/>
      <c r="DU278" s="33"/>
      <c r="DV278" s="33"/>
      <c r="DW278" s="33"/>
      <c r="DX278" s="33"/>
      <c r="DY278" s="33"/>
      <c r="DZ278" s="33"/>
      <c r="EA278" s="33"/>
      <c r="EB278" s="33"/>
      <c r="EC278" s="33"/>
      <c r="ED278" s="33"/>
      <c r="EE278" s="33"/>
      <c r="EF278" s="33"/>
      <c r="EG278" s="33"/>
      <c r="EH278" s="33"/>
      <c r="EI278" s="33"/>
      <c r="EJ278" s="33"/>
      <c r="EK278" s="33"/>
      <c r="EL278" s="33"/>
      <c r="EM278" s="33"/>
      <c r="EN278" s="33"/>
      <c r="EO278" s="33"/>
      <c r="EP278" s="33"/>
      <c r="EQ278" s="33"/>
      <c r="ER278" s="33"/>
      <c r="ES278" s="33"/>
    </row>
    <row r="279">
      <c r="A279" s="33"/>
      <c r="B279" s="33"/>
      <c r="C279" s="33"/>
      <c r="D279" s="33"/>
      <c r="E279" s="33"/>
      <c r="F279" s="33"/>
      <c r="G279" s="85"/>
      <c r="H279" s="85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3"/>
      <c r="AC279" s="33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3"/>
      <c r="AP279" s="33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3"/>
      <c r="CC279" s="33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3"/>
      <c r="CP279" s="33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3"/>
      <c r="DC279" s="33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3"/>
      <c r="DP279" s="33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3"/>
      <c r="EC279" s="33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3"/>
      <c r="EP279" s="33"/>
      <c r="EQ279" s="33"/>
      <c r="ER279" s="33"/>
      <c r="ES279" s="33"/>
    </row>
    <row r="280">
      <c r="A280" s="33"/>
      <c r="B280" s="33"/>
      <c r="C280" s="33"/>
      <c r="D280" s="33"/>
      <c r="E280" s="33"/>
      <c r="F280" s="33"/>
      <c r="G280" s="85"/>
      <c r="H280" s="85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33"/>
      <c r="Y280" s="33"/>
      <c r="Z280" s="33"/>
      <c r="AA280" s="33"/>
      <c r="AB280" s="33"/>
      <c r="AC280" s="33"/>
      <c r="AD280" s="33"/>
      <c r="AE280" s="33"/>
      <c r="AF280" s="33"/>
      <c r="AG280" s="33"/>
      <c r="AH280" s="33"/>
      <c r="AI280" s="33"/>
      <c r="AJ280" s="33"/>
      <c r="AK280" s="33"/>
      <c r="AL280" s="33"/>
      <c r="AM280" s="33"/>
      <c r="AN280" s="33"/>
      <c r="AO280" s="33"/>
      <c r="AP280" s="33"/>
      <c r="AQ280" s="33"/>
      <c r="AR280" s="33"/>
      <c r="AS280" s="33"/>
      <c r="AT280" s="33"/>
      <c r="AU280" s="33"/>
      <c r="AV280" s="33"/>
      <c r="AW280" s="33"/>
      <c r="AX280" s="33"/>
      <c r="AY280" s="33"/>
      <c r="AZ280" s="33"/>
      <c r="BA280" s="33"/>
      <c r="BB280" s="33"/>
      <c r="BC280" s="33"/>
      <c r="BD280" s="33"/>
      <c r="BE280" s="33"/>
      <c r="BF280" s="33"/>
      <c r="BG280" s="33"/>
      <c r="BH280" s="33"/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  <c r="BU280" s="33"/>
      <c r="BV280" s="33"/>
      <c r="BW280" s="33"/>
      <c r="BX280" s="33"/>
      <c r="BY280" s="33"/>
      <c r="BZ280" s="33"/>
      <c r="CA280" s="33"/>
      <c r="CB280" s="33"/>
      <c r="CC280" s="33"/>
      <c r="CD280" s="33"/>
      <c r="CE280" s="33"/>
      <c r="CF280" s="33"/>
      <c r="CG280" s="33"/>
      <c r="CH280" s="33"/>
      <c r="CI280" s="33"/>
      <c r="CJ280" s="33"/>
      <c r="CK280" s="33"/>
      <c r="CL280" s="33"/>
      <c r="CM280" s="33"/>
      <c r="CN280" s="33"/>
      <c r="CO280" s="33"/>
      <c r="CP280" s="33"/>
      <c r="CQ280" s="33"/>
      <c r="CR280" s="33"/>
      <c r="CS280" s="33"/>
      <c r="CT280" s="33"/>
      <c r="CU280" s="33"/>
      <c r="CV280" s="33"/>
      <c r="CW280" s="33"/>
      <c r="CX280" s="33"/>
      <c r="CY280" s="33"/>
      <c r="CZ280" s="33"/>
      <c r="DA280" s="33"/>
      <c r="DB280" s="33"/>
      <c r="DC280" s="33"/>
      <c r="DD280" s="33"/>
      <c r="DE280" s="33"/>
      <c r="DF280" s="33"/>
      <c r="DG280" s="33"/>
      <c r="DH280" s="33"/>
      <c r="DI280" s="33"/>
      <c r="DJ280" s="33"/>
      <c r="DK280" s="33"/>
      <c r="DL280" s="33"/>
      <c r="DM280" s="33"/>
      <c r="DN280" s="33"/>
      <c r="DO280" s="33"/>
      <c r="DP280" s="33"/>
      <c r="DQ280" s="33"/>
      <c r="DR280" s="33"/>
      <c r="DS280" s="33"/>
      <c r="DT280" s="33"/>
      <c r="DU280" s="33"/>
      <c r="DV280" s="33"/>
      <c r="DW280" s="33"/>
      <c r="DX280" s="33"/>
      <c r="DY280" s="33"/>
      <c r="DZ280" s="33"/>
      <c r="EA280" s="33"/>
      <c r="EB280" s="33"/>
      <c r="EC280" s="33"/>
      <c r="ED280" s="33"/>
      <c r="EE280" s="33"/>
      <c r="EF280" s="33"/>
      <c r="EG280" s="33"/>
      <c r="EH280" s="33"/>
      <c r="EI280" s="33"/>
      <c r="EJ280" s="33"/>
      <c r="EK280" s="33"/>
      <c r="EL280" s="33"/>
      <c r="EM280" s="33"/>
      <c r="EN280" s="33"/>
      <c r="EO280" s="33"/>
      <c r="EP280" s="33"/>
      <c r="EQ280" s="33"/>
      <c r="ER280" s="33"/>
      <c r="ES280" s="33"/>
    </row>
    <row r="281">
      <c r="A281" s="33"/>
      <c r="B281" s="33"/>
      <c r="C281" s="33"/>
      <c r="D281" s="33"/>
      <c r="E281" s="33"/>
      <c r="F281" s="33"/>
      <c r="G281" s="85"/>
      <c r="H281" s="85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3"/>
      <c r="AC281" s="33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3"/>
      <c r="AP281" s="33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3"/>
      <c r="BC281" s="33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3"/>
      <c r="CC281" s="33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3"/>
      <c r="CP281" s="33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3"/>
      <c r="DC281" s="33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3"/>
      <c r="DP281" s="33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3"/>
      <c r="EC281" s="33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3"/>
      <c r="EP281" s="33"/>
      <c r="EQ281" s="33"/>
      <c r="ER281" s="33"/>
      <c r="ES281" s="33"/>
    </row>
    <row r="282">
      <c r="A282" s="33"/>
      <c r="B282" s="33"/>
      <c r="C282" s="33"/>
      <c r="D282" s="33"/>
      <c r="E282" s="33"/>
      <c r="F282" s="33"/>
      <c r="G282" s="85"/>
      <c r="H282" s="85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33"/>
      <c r="Y282" s="33"/>
      <c r="Z282" s="33"/>
      <c r="AA282" s="33"/>
      <c r="AB282" s="33"/>
      <c r="AC282" s="33"/>
      <c r="AD282" s="33"/>
      <c r="AE282" s="33"/>
      <c r="AF282" s="33"/>
      <c r="AG282" s="33"/>
      <c r="AH282" s="33"/>
      <c r="AI282" s="33"/>
      <c r="AJ282" s="33"/>
      <c r="AK282" s="33"/>
      <c r="AL282" s="33"/>
      <c r="AM282" s="33"/>
      <c r="AN282" s="33"/>
      <c r="AO282" s="33"/>
      <c r="AP282" s="33"/>
      <c r="AQ282" s="33"/>
      <c r="AR282" s="33"/>
      <c r="AS282" s="33"/>
      <c r="AT282" s="33"/>
      <c r="AU282" s="33"/>
      <c r="AV282" s="33"/>
      <c r="AW282" s="33"/>
      <c r="AX282" s="33"/>
      <c r="AY282" s="33"/>
      <c r="AZ282" s="33"/>
      <c r="BA282" s="33"/>
      <c r="BB282" s="33"/>
      <c r="BC282" s="33"/>
      <c r="BD282" s="33"/>
      <c r="BE282" s="33"/>
      <c r="BF282" s="33"/>
      <c r="BG282" s="33"/>
      <c r="BH282" s="33"/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  <c r="BU282" s="33"/>
      <c r="BV282" s="33"/>
      <c r="BW282" s="33"/>
      <c r="BX282" s="33"/>
      <c r="BY282" s="33"/>
      <c r="BZ282" s="33"/>
      <c r="CA282" s="33"/>
      <c r="CB282" s="33"/>
      <c r="CC282" s="33"/>
      <c r="CD282" s="33"/>
      <c r="CE282" s="33"/>
      <c r="CF282" s="33"/>
      <c r="CG282" s="33"/>
      <c r="CH282" s="33"/>
      <c r="CI282" s="33"/>
      <c r="CJ282" s="33"/>
      <c r="CK282" s="33"/>
      <c r="CL282" s="33"/>
      <c r="CM282" s="33"/>
      <c r="CN282" s="33"/>
      <c r="CO282" s="33"/>
      <c r="CP282" s="33"/>
      <c r="CQ282" s="33"/>
      <c r="CR282" s="33"/>
      <c r="CS282" s="33"/>
      <c r="CT282" s="33"/>
      <c r="CU282" s="33"/>
      <c r="CV282" s="33"/>
      <c r="CW282" s="33"/>
      <c r="CX282" s="33"/>
      <c r="CY282" s="33"/>
      <c r="CZ282" s="33"/>
      <c r="DA282" s="33"/>
      <c r="DB282" s="33"/>
      <c r="DC282" s="33"/>
      <c r="DD282" s="33"/>
      <c r="DE282" s="33"/>
      <c r="DF282" s="33"/>
      <c r="DG282" s="33"/>
      <c r="DH282" s="33"/>
      <c r="DI282" s="33"/>
      <c r="DJ282" s="33"/>
      <c r="DK282" s="33"/>
      <c r="DL282" s="33"/>
      <c r="DM282" s="33"/>
      <c r="DN282" s="33"/>
      <c r="DO282" s="33"/>
      <c r="DP282" s="33"/>
      <c r="DQ282" s="33"/>
      <c r="DR282" s="33"/>
      <c r="DS282" s="33"/>
      <c r="DT282" s="33"/>
      <c r="DU282" s="33"/>
      <c r="DV282" s="33"/>
      <c r="DW282" s="33"/>
      <c r="DX282" s="33"/>
      <c r="DY282" s="33"/>
      <c r="DZ282" s="33"/>
      <c r="EA282" s="33"/>
      <c r="EB282" s="33"/>
      <c r="EC282" s="33"/>
      <c r="ED282" s="33"/>
      <c r="EE282" s="33"/>
      <c r="EF282" s="33"/>
      <c r="EG282" s="33"/>
      <c r="EH282" s="33"/>
      <c r="EI282" s="33"/>
      <c r="EJ282" s="33"/>
      <c r="EK282" s="33"/>
      <c r="EL282" s="33"/>
      <c r="EM282" s="33"/>
      <c r="EN282" s="33"/>
      <c r="EO282" s="33"/>
      <c r="EP282" s="33"/>
      <c r="EQ282" s="33"/>
      <c r="ER282" s="33"/>
      <c r="ES282" s="33"/>
    </row>
    <row r="283">
      <c r="A283" s="33"/>
      <c r="B283" s="33"/>
      <c r="C283" s="33"/>
      <c r="D283" s="33"/>
      <c r="E283" s="33"/>
      <c r="F283" s="33"/>
      <c r="G283" s="85"/>
      <c r="H283" s="85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3"/>
      <c r="AC283" s="33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3"/>
      <c r="AP283" s="33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3"/>
      <c r="BC283" s="33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3"/>
      <c r="CC283" s="33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3"/>
      <c r="CP283" s="33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3"/>
      <c r="DC283" s="33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3"/>
      <c r="DP283" s="33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3"/>
      <c r="EC283" s="33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3"/>
      <c r="EP283" s="33"/>
      <c r="EQ283" s="33"/>
      <c r="ER283" s="33"/>
      <c r="ES283" s="33"/>
    </row>
    <row r="284">
      <c r="A284" s="33"/>
      <c r="B284" s="33"/>
      <c r="C284" s="33"/>
      <c r="D284" s="33"/>
      <c r="E284" s="33"/>
      <c r="F284" s="33"/>
      <c r="G284" s="85"/>
      <c r="H284" s="85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33"/>
      <c r="Y284" s="33"/>
      <c r="Z284" s="33"/>
      <c r="AA284" s="33"/>
      <c r="AB284" s="33"/>
      <c r="AC284" s="33"/>
      <c r="AD284" s="33"/>
      <c r="AE284" s="33"/>
      <c r="AF284" s="33"/>
      <c r="AG284" s="33"/>
      <c r="AH284" s="33"/>
      <c r="AI284" s="33"/>
      <c r="AJ284" s="33"/>
      <c r="AK284" s="33"/>
      <c r="AL284" s="33"/>
      <c r="AM284" s="33"/>
      <c r="AN284" s="33"/>
      <c r="AO284" s="33"/>
      <c r="AP284" s="33"/>
      <c r="AQ284" s="33"/>
      <c r="AR284" s="33"/>
      <c r="AS284" s="33"/>
      <c r="AT284" s="33"/>
      <c r="AU284" s="33"/>
      <c r="AV284" s="33"/>
      <c r="AW284" s="33"/>
      <c r="AX284" s="33"/>
      <c r="AY284" s="33"/>
      <c r="AZ284" s="33"/>
      <c r="BA284" s="33"/>
      <c r="BB284" s="33"/>
      <c r="BC284" s="33"/>
      <c r="BD284" s="33"/>
      <c r="BE284" s="33"/>
      <c r="BF284" s="33"/>
      <c r="BG284" s="33"/>
      <c r="BH284" s="33"/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  <c r="BU284" s="33"/>
      <c r="BV284" s="33"/>
      <c r="BW284" s="33"/>
      <c r="BX284" s="33"/>
      <c r="BY284" s="33"/>
      <c r="BZ284" s="33"/>
      <c r="CA284" s="33"/>
      <c r="CB284" s="33"/>
      <c r="CC284" s="33"/>
      <c r="CD284" s="33"/>
      <c r="CE284" s="33"/>
      <c r="CF284" s="33"/>
      <c r="CG284" s="33"/>
      <c r="CH284" s="33"/>
      <c r="CI284" s="33"/>
      <c r="CJ284" s="33"/>
      <c r="CK284" s="33"/>
      <c r="CL284" s="33"/>
      <c r="CM284" s="33"/>
      <c r="CN284" s="33"/>
      <c r="CO284" s="33"/>
      <c r="CP284" s="33"/>
      <c r="CQ284" s="33"/>
      <c r="CR284" s="33"/>
      <c r="CS284" s="33"/>
      <c r="CT284" s="33"/>
      <c r="CU284" s="33"/>
      <c r="CV284" s="33"/>
      <c r="CW284" s="33"/>
      <c r="CX284" s="33"/>
      <c r="CY284" s="33"/>
      <c r="CZ284" s="33"/>
      <c r="DA284" s="33"/>
      <c r="DB284" s="33"/>
      <c r="DC284" s="33"/>
      <c r="DD284" s="33"/>
      <c r="DE284" s="33"/>
      <c r="DF284" s="33"/>
      <c r="DG284" s="33"/>
      <c r="DH284" s="33"/>
      <c r="DI284" s="33"/>
      <c r="DJ284" s="33"/>
      <c r="DK284" s="33"/>
      <c r="DL284" s="33"/>
      <c r="DM284" s="33"/>
      <c r="DN284" s="33"/>
      <c r="DO284" s="33"/>
      <c r="DP284" s="33"/>
      <c r="DQ284" s="33"/>
      <c r="DR284" s="33"/>
      <c r="DS284" s="33"/>
      <c r="DT284" s="33"/>
      <c r="DU284" s="33"/>
      <c r="DV284" s="33"/>
      <c r="DW284" s="33"/>
      <c r="DX284" s="33"/>
      <c r="DY284" s="33"/>
      <c r="DZ284" s="33"/>
      <c r="EA284" s="33"/>
      <c r="EB284" s="33"/>
      <c r="EC284" s="33"/>
      <c r="ED284" s="33"/>
      <c r="EE284" s="33"/>
      <c r="EF284" s="33"/>
      <c r="EG284" s="33"/>
      <c r="EH284" s="33"/>
      <c r="EI284" s="33"/>
      <c r="EJ284" s="33"/>
      <c r="EK284" s="33"/>
      <c r="EL284" s="33"/>
      <c r="EM284" s="33"/>
      <c r="EN284" s="33"/>
      <c r="EO284" s="33"/>
      <c r="EP284" s="33"/>
      <c r="EQ284" s="33"/>
      <c r="ER284" s="33"/>
      <c r="ES284" s="33"/>
    </row>
    <row r="285">
      <c r="A285" s="33"/>
      <c r="B285" s="33"/>
      <c r="C285" s="33"/>
      <c r="D285" s="33"/>
      <c r="E285" s="33"/>
      <c r="F285" s="33"/>
      <c r="G285" s="85"/>
      <c r="H285" s="85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3"/>
      <c r="AC285" s="33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3"/>
      <c r="AP285" s="33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3"/>
      <c r="BC285" s="33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3"/>
      <c r="CC285" s="33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3"/>
      <c r="CP285" s="33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3"/>
      <c r="DC285" s="33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3"/>
      <c r="DP285" s="33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3"/>
      <c r="EC285" s="33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3"/>
      <c r="EP285" s="33"/>
      <c r="EQ285" s="33"/>
      <c r="ER285" s="33"/>
      <c r="ES285" s="33"/>
    </row>
    <row r="286">
      <c r="A286" s="33"/>
      <c r="B286" s="33"/>
      <c r="C286" s="33"/>
      <c r="D286" s="33"/>
      <c r="E286" s="33"/>
      <c r="F286" s="33"/>
      <c r="G286" s="85"/>
      <c r="H286" s="85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33"/>
      <c r="Y286" s="33"/>
      <c r="Z286" s="33"/>
      <c r="AA286" s="33"/>
      <c r="AB286" s="33"/>
      <c r="AC286" s="33"/>
      <c r="AD286" s="33"/>
      <c r="AE286" s="33"/>
      <c r="AF286" s="33"/>
      <c r="AG286" s="33"/>
      <c r="AH286" s="33"/>
      <c r="AI286" s="33"/>
      <c r="AJ286" s="33"/>
      <c r="AK286" s="33"/>
      <c r="AL286" s="33"/>
      <c r="AM286" s="33"/>
      <c r="AN286" s="33"/>
      <c r="AO286" s="33"/>
      <c r="AP286" s="33"/>
      <c r="AQ286" s="33"/>
      <c r="AR286" s="33"/>
      <c r="AS286" s="33"/>
      <c r="AT286" s="33"/>
      <c r="AU286" s="33"/>
      <c r="AV286" s="33"/>
      <c r="AW286" s="33"/>
      <c r="AX286" s="33"/>
      <c r="AY286" s="33"/>
      <c r="AZ286" s="33"/>
      <c r="BA286" s="33"/>
      <c r="BB286" s="33"/>
      <c r="BC286" s="33"/>
      <c r="BD286" s="33"/>
      <c r="BE286" s="33"/>
      <c r="BF286" s="33"/>
      <c r="BG286" s="33"/>
      <c r="BH286" s="33"/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  <c r="BU286" s="33"/>
      <c r="BV286" s="33"/>
      <c r="BW286" s="33"/>
      <c r="BX286" s="33"/>
      <c r="BY286" s="33"/>
      <c r="BZ286" s="33"/>
      <c r="CA286" s="33"/>
      <c r="CB286" s="33"/>
      <c r="CC286" s="33"/>
      <c r="CD286" s="33"/>
      <c r="CE286" s="33"/>
      <c r="CF286" s="33"/>
      <c r="CG286" s="33"/>
      <c r="CH286" s="33"/>
      <c r="CI286" s="33"/>
      <c r="CJ286" s="33"/>
      <c r="CK286" s="33"/>
      <c r="CL286" s="33"/>
      <c r="CM286" s="33"/>
      <c r="CN286" s="33"/>
      <c r="CO286" s="33"/>
      <c r="CP286" s="33"/>
      <c r="CQ286" s="33"/>
      <c r="CR286" s="33"/>
      <c r="CS286" s="33"/>
      <c r="CT286" s="33"/>
      <c r="CU286" s="33"/>
      <c r="CV286" s="33"/>
      <c r="CW286" s="33"/>
      <c r="CX286" s="33"/>
      <c r="CY286" s="33"/>
      <c r="CZ286" s="33"/>
      <c r="DA286" s="33"/>
      <c r="DB286" s="33"/>
      <c r="DC286" s="33"/>
      <c r="DD286" s="33"/>
      <c r="DE286" s="33"/>
      <c r="DF286" s="33"/>
      <c r="DG286" s="33"/>
      <c r="DH286" s="33"/>
      <c r="DI286" s="33"/>
      <c r="DJ286" s="33"/>
      <c r="DK286" s="33"/>
      <c r="DL286" s="33"/>
      <c r="DM286" s="33"/>
      <c r="DN286" s="33"/>
      <c r="DO286" s="33"/>
      <c r="DP286" s="33"/>
      <c r="DQ286" s="33"/>
      <c r="DR286" s="33"/>
      <c r="DS286" s="33"/>
      <c r="DT286" s="33"/>
      <c r="DU286" s="33"/>
      <c r="DV286" s="33"/>
      <c r="DW286" s="33"/>
      <c r="DX286" s="33"/>
      <c r="DY286" s="33"/>
      <c r="DZ286" s="33"/>
      <c r="EA286" s="33"/>
      <c r="EB286" s="33"/>
      <c r="EC286" s="33"/>
      <c r="ED286" s="33"/>
      <c r="EE286" s="33"/>
      <c r="EF286" s="33"/>
      <c r="EG286" s="33"/>
      <c r="EH286" s="33"/>
      <c r="EI286" s="33"/>
      <c r="EJ286" s="33"/>
      <c r="EK286" s="33"/>
      <c r="EL286" s="33"/>
      <c r="EM286" s="33"/>
      <c r="EN286" s="33"/>
      <c r="EO286" s="33"/>
      <c r="EP286" s="33"/>
      <c r="EQ286" s="33"/>
      <c r="ER286" s="33"/>
      <c r="ES286" s="33"/>
    </row>
    <row r="287">
      <c r="A287" s="33"/>
      <c r="B287" s="33"/>
      <c r="C287" s="33"/>
      <c r="D287" s="33"/>
      <c r="E287" s="33"/>
      <c r="F287" s="33"/>
      <c r="G287" s="85"/>
      <c r="H287" s="85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3"/>
      <c r="AC287" s="33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3"/>
      <c r="AP287" s="33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3"/>
      <c r="BC287" s="33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3"/>
      <c r="CC287" s="33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3"/>
      <c r="CP287" s="33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3"/>
      <c r="DC287" s="33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3"/>
      <c r="DP287" s="33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3"/>
      <c r="EC287" s="33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3"/>
      <c r="EP287" s="33"/>
      <c r="EQ287" s="33"/>
      <c r="ER287" s="33"/>
      <c r="ES287" s="33"/>
    </row>
    <row r="288">
      <c r="A288" s="33"/>
      <c r="B288" s="33"/>
      <c r="C288" s="33"/>
      <c r="D288" s="33"/>
      <c r="E288" s="33"/>
      <c r="F288" s="33"/>
      <c r="G288" s="85"/>
      <c r="H288" s="85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33"/>
      <c r="Y288" s="33"/>
      <c r="Z288" s="33"/>
      <c r="AA288" s="33"/>
      <c r="AB288" s="33"/>
      <c r="AC288" s="33"/>
      <c r="AD288" s="33"/>
      <c r="AE288" s="33"/>
      <c r="AF288" s="33"/>
      <c r="AG288" s="33"/>
      <c r="AH288" s="33"/>
      <c r="AI288" s="33"/>
      <c r="AJ288" s="33"/>
      <c r="AK288" s="33"/>
      <c r="AL288" s="33"/>
      <c r="AM288" s="33"/>
      <c r="AN288" s="33"/>
      <c r="AO288" s="33"/>
      <c r="AP288" s="33"/>
      <c r="AQ288" s="33"/>
      <c r="AR288" s="33"/>
      <c r="AS288" s="33"/>
      <c r="AT288" s="33"/>
      <c r="AU288" s="33"/>
      <c r="AV288" s="33"/>
      <c r="AW288" s="33"/>
      <c r="AX288" s="33"/>
      <c r="AY288" s="33"/>
      <c r="AZ288" s="33"/>
      <c r="BA288" s="33"/>
      <c r="BB288" s="33"/>
      <c r="BC288" s="33"/>
      <c r="BD288" s="33"/>
      <c r="BE288" s="33"/>
      <c r="BF288" s="33"/>
      <c r="BG288" s="33"/>
      <c r="BH288" s="33"/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  <c r="BU288" s="33"/>
      <c r="BV288" s="33"/>
      <c r="BW288" s="33"/>
      <c r="BX288" s="33"/>
      <c r="BY288" s="33"/>
      <c r="BZ288" s="33"/>
      <c r="CA288" s="33"/>
      <c r="CB288" s="33"/>
      <c r="CC288" s="33"/>
      <c r="CD288" s="33"/>
      <c r="CE288" s="33"/>
      <c r="CF288" s="33"/>
      <c r="CG288" s="33"/>
      <c r="CH288" s="33"/>
      <c r="CI288" s="33"/>
      <c r="CJ288" s="33"/>
      <c r="CK288" s="33"/>
      <c r="CL288" s="33"/>
      <c r="CM288" s="33"/>
      <c r="CN288" s="33"/>
      <c r="CO288" s="33"/>
      <c r="CP288" s="33"/>
      <c r="CQ288" s="33"/>
      <c r="CR288" s="33"/>
      <c r="CS288" s="33"/>
      <c r="CT288" s="33"/>
      <c r="CU288" s="33"/>
      <c r="CV288" s="33"/>
      <c r="CW288" s="33"/>
      <c r="CX288" s="33"/>
      <c r="CY288" s="33"/>
      <c r="CZ288" s="33"/>
      <c r="DA288" s="33"/>
      <c r="DB288" s="33"/>
      <c r="DC288" s="33"/>
      <c r="DD288" s="33"/>
      <c r="DE288" s="33"/>
      <c r="DF288" s="33"/>
      <c r="DG288" s="33"/>
      <c r="DH288" s="33"/>
      <c r="DI288" s="33"/>
      <c r="DJ288" s="33"/>
      <c r="DK288" s="33"/>
      <c r="DL288" s="33"/>
      <c r="DM288" s="33"/>
      <c r="DN288" s="33"/>
      <c r="DO288" s="33"/>
      <c r="DP288" s="33"/>
      <c r="DQ288" s="33"/>
      <c r="DR288" s="33"/>
      <c r="DS288" s="33"/>
      <c r="DT288" s="33"/>
      <c r="DU288" s="33"/>
      <c r="DV288" s="33"/>
      <c r="DW288" s="33"/>
      <c r="DX288" s="33"/>
      <c r="DY288" s="33"/>
      <c r="DZ288" s="33"/>
      <c r="EA288" s="33"/>
      <c r="EB288" s="33"/>
      <c r="EC288" s="33"/>
      <c r="ED288" s="33"/>
      <c r="EE288" s="33"/>
      <c r="EF288" s="33"/>
      <c r="EG288" s="33"/>
      <c r="EH288" s="33"/>
      <c r="EI288" s="33"/>
      <c r="EJ288" s="33"/>
      <c r="EK288" s="33"/>
      <c r="EL288" s="33"/>
      <c r="EM288" s="33"/>
      <c r="EN288" s="33"/>
      <c r="EO288" s="33"/>
      <c r="EP288" s="33"/>
      <c r="EQ288" s="33"/>
      <c r="ER288" s="33"/>
      <c r="ES288" s="33"/>
    </row>
    <row r="289">
      <c r="A289" s="33"/>
      <c r="B289" s="33"/>
      <c r="C289" s="33"/>
      <c r="D289" s="33"/>
      <c r="E289" s="33"/>
      <c r="F289" s="33"/>
      <c r="G289" s="85"/>
      <c r="H289" s="85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3"/>
      <c r="AC289" s="33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3"/>
      <c r="AP289" s="33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3"/>
      <c r="BC289" s="33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3"/>
      <c r="CC289" s="33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3"/>
      <c r="CP289" s="33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3"/>
      <c r="DC289" s="33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3"/>
      <c r="DP289" s="33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3"/>
      <c r="EC289" s="33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3"/>
      <c r="EP289" s="33"/>
      <c r="EQ289" s="33"/>
      <c r="ER289" s="33"/>
      <c r="ES289" s="33"/>
    </row>
    <row r="290">
      <c r="A290" s="33"/>
      <c r="B290" s="33"/>
      <c r="C290" s="33"/>
      <c r="D290" s="33"/>
      <c r="E290" s="33"/>
      <c r="F290" s="33"/>
      <c r="G290" s="85"/>
      <c r="H290" s="85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33"/>
      <c r="Y290" s="33"/>
      <c r="Z290" s="33"/>
      <c r="AA290" s="33"/>
      <c r="AB290" s="33"/>
      <c r="AC290" s="33"/>
      <c r="AD290" s="33"/>
      <c r="AE290" s="33"/>
      <c r="AF290" s="33"/>
      <c r="AG290" s="33"/>
      <c r="AH290" s="33"/>
      <c r="AI290" s="33"/>
      <c r="AJ290" s="33"/>
      <c r="AK290" s="33"/>
      <c r="AL290" s="33"/>
      <c r="AM290" s="33"/>
      <c r="AN290" s="33"/>
      <c r="AO290" s="33"/>
      <c r="AP290" s="33"/>
      <c r="AQ290" s="33"/>
      <c r="AR290" s="33"/>
      <c r="AS290" s="33"/>
      <c r="AT290" s="33"/>
      <c r="AU290" s="33"/>
      <c r="AV290" s="33"/>
      <c r="AW290" s="33"/>
      <c r="AX290" s="33"/>
      <c r="AY290" s="33"/>
      <c r="AZ290" s="33"/>
      <c r="BA290" s="33"/>
      <c r="BB290" s="33"/>
      <c r="BC290" s="33"/>
      <c r="BD290" s="33"/>
      <c r="BE290" s="33"/>
      <c r="BF290" s="33"/>
      <c r="BG290" s="33"/>
      <c r="BH290" s="33"/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  <c r="BU290" s="33"/>
      <c r="BV290" s="33"/>
      <c r="BW290" s="33"/>
      <c r="BX290" s="33"/>
      <c r="BY290" s="33"/>
      <c r="BZ290" s="33"/>
      <c r="CA290" s="33"/>
      <c r="CB290" s="33"/>
      <c r="CC290" s="33"/>
      <c r="CD290" s="33"/>
      <c r="CE290" s="33"/>
      <c r="CF290" s="33"/>
      <c r="CG290" s="33"/>
      <c r="CH290" s="33"/>
      <c r="CI290" s="33"/>
      <c r="CJ290" s="33"/>
      <c r="CK290" s="33"/>
      <c r="CL290" s="33"/>
      <c r="CM290" s="33"/>
      <c r="CN290" s="33"/>
      <c r="CO290" s="33"/>
      <c r="CP290" s="33"/>
      <c r="CQ290" s="33"/>
      <c r="CR290" s="33"/>
      <c r="CS290" s="33"/>
      <c r="CT290" s="33"/>
      <c r="CU290" s="33"/>
      <c r="CV290" s="33"/>
      <c r="CW290" s="33"/>
      <c r="CX290" s="33"/>
      <c r="CY290" s="33"/>
      <c r="CZ290" s="33"/>
      <c r="DA290" s="33"/>
      <c r="DB290" s="33"/>
      <c r="DC290" s="33"/>
      <c r="DD290" s="33"/>
      <c r="DE290" s="33"/>
      <c r="DF290" s="33"/>
      <c r="DG290" s="33"/>
      <c r="DH290" s="33"/>
      <c r="DI290" s="33"/>
      <c r="DJ290" s="33"/>
      <c r="DK290" s="33"/>
      <c r="DL290" s="33"/>
      <c r="DM290" s="33"/>
      <c r="DN290" s="33"/>
      <c r="DO290" s="33"/>
      <c r="DP290" s="33"/>
      <c r="DQ290" s="33"/>
      <c r="DR290" s="33"/>
      <c r="DS290" s="33"/>
      <c r="DT290" s="33"/>
      <c r="DU290" s="33"/>
      <c r="DV290" s="33"/>
      <c r="DW290" s="33"/>
      <c r="DX290" s="33"/>
      <c r="DY290" s="33"/>
      <c r="DZ290" s="33"/>
      <c r="EA290" s="33"/>
      <c r="EB290" s="33"/>
      <c r="EC290" s="33"/>
      <c r="ED290" s="33"/>
      <c r="EE290" s="33"/>
      <c r="EF290" s="33"/>
      <c r="EG290" s="33"/>
      <c r="EH290" s="33"/>
      <c r="EI290" s="33"/>
      <c r="EJ290" s="33"/>
      <c r="EK290" s="33"/>
      <c r="EL290" s="33"/>
      <c r="EM290" s="33"/>
      <c r="EN290" s="33"/>
      <c r="EO290" s="33"/>
      <c r="EP290" s="33"/>
      <c r="EQ290" s="33"/>
      <c r="ER290" s="33"/>
      <c r="ES290" s="33"/>
    </row>
    <row r="291">
      <c r="A291" s="33"/>
      <c r="B291" s="33"/>
      <c r="C291" s="33"/>
      <c r="D291" s="33"/>
      <c r="E291" s="33"/>
      <c r="F291" s="33"/>
      <c r="G291" s="85"/>
      <c r="H291" s="85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3"/>
      <c r="AC291" s="33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3"/>
      <c r="AP291" s="33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3"/>
      <c r="CC291" s="33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3"/>
      <c r="CP291" s="33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3"/>
      <c r="DC291" s="33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3"/>
      <c r="DP291" s="33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3"/>
      <c r="EC291" s="33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3"/>
      <c r="EP291" s="33"/>
      <c r="EQ291" s="33"/>
      <c r="ER291" s="33"/>
      <c r="ES291" s="33"/>
    </row>
    <row r="292">
      <c r="A292" s="33"/>
      <c r="B292" s="33"/>
      <c r="C292" s="33"/>
      <c r="D292" s="33"/>
      <c r="E292" s="33"/>
      <c r="F292" s="33"/>
      <c r="G292" s="85"/>
      <c r="H292" s="85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33"/>
      <c r="Y292" s="33"/>
      <c r="Z292" s="33"/>
      <c r="AA292" s="33"/>
      <c r="AB292" s="33"/>
      <c r="AC292" s="33"/>
      <c r="AD292" s="33"/>
      <c r="AE292" s="33"/>
      <c r="AF292" s="33"/>
      <c r="AG292" s="33"/>
      <c r="AH292" s="33"/>
      <c r="AI292" s="33"/>
      <c r="AJ292" s="33"/>
      <c r="AK292" s="33"/>
      <c r="AL292" s="33"/>
      <c r="AM292" s="33"/>
      <c r="AN292" s="33"/>
      <c r="AO292" s="33"/>
      <c r="AP292" s="33"/>
      <c r="AQ292" s="33"/>
      <c r="AR292" s="33"/>
      <c r="AS292" s="33"/>
      <c r="AT292" s="33"/>
      <c r="AU292" s="33"/>
      <c r="AV292" s="33"/>
      <c r="AW292" s="33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  <c r="BU292" s="33"/>
      <c r="BV292" s="33"/>
      <c r="BW292" s="33"/>
      <c r="BX292" s="33"/>
      <c r="BY292" s="33"/>
      <c r="BZ292" s="33"/>
      <c r="CA292" s="33"/>
      <c r="CB292" s="33"/>
      <c r="CC292" s="33"/>
      <c r="CD292" s="33"/>
      <c r="CE292" s="33"/>
      <c r="CF292" s="33"/>
      <c r="CG292" s="33"/>
      <c r="CH292" s="33"/>
      <c r="CI292" s="33"/>
      <c r="CJ292" s="33"/>
      <c r="CK292" s="33"/>
      <c r="CL292" s="33"/>
      <c r="CM292" s="33"/>
      <c r="CN292" s="33"/>
      <c r="CO292" s="33"/>
      <c r="CP292" s="33"/>
      <c r="CQ292" s="33"/>
      <c r="CR292" s="33"/>
      <c r="CS292" s="33"/>
      <c r="CT292" s="33"/>
      <c r="CU292" s="33"/>
      <c r="CV292" s="33"/>
      <c r="CW292" s="33"/>
      <c r="CX292" s="33"/>
      <c r="CY292" s="33"/>
      <c r="CZ292" s="33"/>
      <c r="DA292" s="33"/>
      <c r="DB292" s="33"/>
      <c r="DC292" s="33"/>
      <c r="DD292" s="33"/>
      <c r="DE292" s="33"/>
      <c r="DF292" s="33"/>
      <c r="DG292" s="33"/>
      <c r="DH292" s="33"/>
      <c r="DI292" s="33"/>
      <c r="DJ292" s="33"/>
      <c r="DK292" s="33"/>
      <c r="DL292" s="33"/>
      <c r="DM292" s="33"/>
      <c r="DN292" s="33"/>
      <c r="DO292" s="33"/>
      <c r="DP292" s="33"/>
      <c r="DQ292" s="33"/>
      <c r="DR292" s="33"/>
      <c r="DS292" s="33"/>
      <c r="DT292" s="33"/>
      <c r="DU292" s="33"/>
      <c r="DV292" s="33"/>
      <c r="DW292" s="33"/>
      <c r="DX292" s="33"/>
      <c r="DY292" s="33"/>
      <c r="DZ292" s="33"/>
      <c r="EA292" s="33"/>
      <c r="EB292" s="33"/>
      <c r="EC292" s="33"/>
      <c r="ED292" s="33"/>
      <c r="EE292" s="33"/>
      <c r="EF292" s="33"/>
      <c r="EG292" s="33"/>
      <c r="EH292" s="33"/>
      <c r="EI292" s="33"/>
      <c r="EJ292" s="33"/>
      <c r="EK292" s="33"/>
      <c r="EL292" s="33"/>
      <c r="EM292" s="33"/>
      <c r="EN292" s="33"/>
      <c r="EO292" s="33"/>
      <c r="EP292" s="33"/>
      <c r="EQ292" s="33"/>
      <c r="ER292" s="33"/>
      <c r="ES292" s="33"/>
    </row>
    <row r="293">
      <c r="A293" s="33"/>
      <c r="B293" s="33"/>
      <c r="C293" s="33"/>
      <c r="D293" s="33"/>
      <c r="E293" s="33"/>
      <c r="F293" s="33"/>
      <c r="G293" s="85"/>
      <c r="H293" s="85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3"/>
      <c r="AC293" s="33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3"/>
      <c r="AP293" s="33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3"/>
      <c r="CC293" s="33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3"/>
      <c r="CP293" s="33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3"/>
      <c r="DC293" s="33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3"/>
      <c r="DP293" s="33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3"/>
      <c r="EC293" s="33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3"/>
      <c r="EP293" s="33"/>
      <c r="EQ293" s="33"/>
      <c r="ER293" s="33"/>
      <c r="ES293" s="33"/>
    </row>
    <row r="294">
      <c r="A294" s="33"/>
      <c r="B294" s="33"/>
      <c r="C294" s="33"/>
      <c r="D294" s="33"/>
      <c r="E294" s="33"/>
      <c r="F294" s="33"/>
      <c r="G294" s="85"/>
      <c r="H294" s="85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33"/>
      <c r="Y294" s="33"/>
      <c r="Z294" s="33"/>
      <c r="AA294" s="33"/>
      <c r="AB294" s="33"/>
      <c r="AC294" s="33"/>
      <c r="AD294" s="33"/>
      <c r="AE294" s="33"/>
      <c r="AF294" s="33"/>
      <c r="AG294" s="33"/>
      <c r="AH294" s="33"/>
      <c r="AI294" s="33"/>
      <c r="AJ294" s="33"/>
      <c r="AK294" s="33"/>
      <c r="AL294" s="33"/>
      <c r="AM294" s="33"/>
      <c r="AN294" s="33"/>
      <c r="AO294" s="33"/>
      <c r="AP294" s="33"/>
      <c r="AQ294" s="33"/>
      <c r="AR294" s="33"/>
      <c r="AS294" s="33"/>
      <c r="AT294" s="33"/>
      <c r="AU294" s="33"/>
      <c r="AV294" s="33"/>
      <c r="AW294" s="33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  <c r="BU294" s="33"/>
      <c r="BV294" s="33"/>
      <c r="BW294" s="33"/>
      <c r="BX294" s="33"/>
      <c r="BY294" s="33"/>
      <c r="BZ294" s="33"/>
      <c r="CA294" s="33"/>
      <c r="CB294" s="33"/>
      <c r="CC294" s="33"/>
      <c r="CD294" s="33"/>
      <c r="CE294" s="33"/>
      <c r="CF294" s="33"/>
      <c r="CG294" s="33"/>
      <c r="CH294" s="33"/>
      <c r="CI294" s="33"/>
      <c r="CJ294" s="33"/>
      <c r="CK294" s="33"/>
      <c r="CL294" s="33"/>
      <c r="CM294" s="33"/>
      <c r="CN294" s="33"/>
      <c r="CO294" s="33"/>
      <c r="CP294" s="33"/>
      <c r="CQ294" s="33"/>
      <c r="CR294" s="33"/>
      <c r="CS294" s="33"/>
      <c r="CT294" s="33"/>
      <c r="CU294" s="33"/>
      <c r="CV294" s="33"/>
      <c r="CW294" s="33"/>
      <c r="CX294" s="33"/>
      <c r="CY294" s="33"/>
      <c r="CZ294" s="33"/>
      <c r="DA294" s="33"/>
      <c r="DB294" s="33"/>
      <c r="DC294" s="33"/>
      <c r="DD294" s="33"/>
      <c r="DE294" s="33"/>
      <c r="DF294" s="33"/>
      <c r="DG294" s="33"/>
      <c r="DH294" s="33"/>
      <c r="DI294" s="33"/>
      <c r="DJ294" s="33"/>
      <c r="DK294" s="33"/>
      <c r="DL294" s="33"/>
      <c r="DM294" s="33"/>
      <c r="DN294" s="33"/>
      <c r="DO294" s="33"/>
      <c r="DP294" s="33"/>
      <c r="DQ294" s="33"/>
      <c r="DR294" s="33"/>
      <c r="DS294" s="33"/>
      <c r="DT294" s="33"/>
      <c r="DU294" s="33"/>
      <c r="DV294" s="33"/>
      <c r="DW294" s="33"/>
      <c r="DX294" s="33"/>
      <c r="DY294" s="33"/>
      <c r="DZ294" s="33"/>
      <c r="EA294" s="33"/>
      <c r="EB294" s="33"/>
      <c r="EC294" s="33"/>
      <c r="ED294" s="33"/>
      <c r="EE294" s="33"/>
      <c r="EF294" s="33"/>
      <c r="EG294" s="33"/>
      <c r="EH294" s="33"/>
      <c r="EI294" s="33"/>
      <c r="EJ294" s="33"/>
      <c r="EK294" s="33"/>
      <c r="EL294" s="33"/>
      <c r="EM294" s="33"/>
      <c r="EN294" s="33"/>
      <c r="EO294" s="33"/>
      <c r="EP294" s="33"/>
      <c r="EQ294" s="33"/>
      <c r="ER294" s="33"/>
      <c r="ES294" s="33"/>
    </row>
    <row r="295">
      <c r="A295" s="33"/>
      <c r="B295" s="33"/>
      <c r="C295" s="33"/>
      <c r="D295" s="33"/>
      <c r="E295" s="33"/>
      <c r="F295" s="33"/>
      <c r="G295" s="85"/>
      <c r="H295" s="85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3"/>
      <c r="AC295" s="33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3"/>
      <c r="AP295" s="33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3"/>
      <c r="CC295" s="33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3"/>
      <c r="CP295" s="33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3"/>
      <c r="DC295" s="33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3"/>
      <c r="DP295" s="33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3"/>
      <c r="EC295" s="33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3"/>
      <c r="EP295" s="33"/>
      <c r="EQ295" s="33"/>
      <c r="ER295" s="33"/>
      <c r="ES295" s="33"/>
    </row>
    <row r="296">
      <c r="A296" s="33"/>
      <c r="B296" s="33"/>
      <c r="C296" s="33"/>
      <c r="D296" s="33"/>
      <c r="E296" s="33"/>
      <c r="F296" s="33"/>
      <c r="G296" s="85"/>
      <c r="H296" s="85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33"/>
      <c r="Y296" s="33"/>
      <c r="Z296" s="33"/>
      <c r="AA296" s="33"/>
      <c r="AB296" s="33"/>
      <c r="AC296" s="33"/>
      <c r="AD296" s="33"/>
      <c r="AE296" s="33"/>
      <c r="AF296" s="33"/>
      <c r="AG296" s="33"/>
      <c r="AH296" s="33"/>
      <c r="AI296" s="33"/>
      <c r="AJ296" s="33"/>
      <c r="AK296" s="33"/>
      <c r="AL296" s="33"/>
      <c r="AM296" s="33"/>
      <c r="AN296" s="33"/>
      <c r="AO296" s="33"/>
      <c r="AP296" s="33"/>
      <c r="AQ296" s="33"/>
      <c r="AR296" s="33"/>
      <c r="AS296" s="33"/>
      <c r="AT296" s="33"/>
      <c r="AU296" s="33"/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  <c r="BU296" s="33"/>
      <c r="BV296" s="33"/>
      <c r="BW296" s="33"/>
      <c r="BX296" s="33"/>
      <c r="BY296" s="33"/>
      <c r="BZ296" s="33"/>
      <c r="CA296" s="33"/>
      <c r="CB296" s="33"/>
      <c r="CC296" s="33"/>
      <c r="CD296" s="33"/>
      <c r="CE296" s="33"/>
      <c r="CF296" s="33"/>
      <c r="CG296" s="33"/>
      <c r="CH296" s="33"/>
      <c r="CI296" s="33"/>
      <c r="CJ296" s="33"/>
      <c r="CK296" s="33"/>
      <c r="CL296" s="33"/>
      <c r="CM296" s="33"/>
      <c r="CN296" s="33"/>
      <c r="CO296" s="33"/>
      <c r="CP296" s="33"/>
      <c r="CQ296" s="33"/>
      <c r="CR296" s="33"/>
      <c r="CS296" s="33"/>
      <c r="CT296" s="33"/>
      <c r="CU296" s="33"/>
      <c r="CV296" s="33"/>
      <c r="CW296" s="33"/>
      <c r="CX296" s="33"/>
      <c r="CY296" s="33"/>
      <c r="CZ296" s="33"/>
      <c r="DA296" s="33"/>
      <c r="DB296" s="33"/>
      <c r="DC296" s="33"/>
      <c r="DD296" s="33"/>
      <c r="DE296" s="33"/>
      <c r="DF296" s="33"/>
      <c r="DG296" s="33"/>
      <c r="DH296" s="33"/>
      <c r="DI296" s="33"/>
      <c r="DJ296" s="33"/>
      <c r="DK296" s="33"/>
      <c r="DL296" s="33"/>
      <c r="DM296" s="33"/>
      <c r="DN296" s="33"/>
      <c r="DO296" s="33"/>
      <c r="DP296" s="33"/>
      <c r="DQ296" s="33"/>
      <c r="DR296" s="33"/>
      <c r="DS296" s="33"/>
      <c r="DT296" s="33"/>
      <c r="DU296" s="33"/>
      <c r="DV296" s="33"/>
      <c r="DW296" s="33"/>
      <c r="DX296" s="33"/>
      <c r="DY296" s="33"/>
      <c r="DZ296" s="33"/>
      <c r="EA296" s="33"/>
      <c r="EB296" s="33"/>
      <c r="EC296" s="33"/>
      <c r="ED296" s="33"/>
      <c r="EE296" s="33"/>
      <c r="EF296" s="33"/>
      <c r="EG296" s="33"/>
      <c r="EH296" s="33"/>
      <c r="EI296" s="33"/>
      <c r="EJ296" s="33"/>
      <c r="EK296" s="33"/>
      <c r="EL296" s="33"/>
      <c r="EM296" s="33"/>
      <c r="EN296" s="33"/>
      <c r="EO296" s="33"/>
      <c r="EP296" s="33"/>
      <c r="EQ296" s="33"/>
      <c r="ER296" s="33"/>
      <c r="ES296" s="33"/>
    </row>
    <row r="297">
      <c r="A297" s="33"/>
      <c r="B297" s="33"/>
      <c r="C297" s="33"/>
      <c r="D297" s="33"/>
      <c r="E297" s="33"/>
      <c r="F297" s="33"/>
      <c r="G297" s="85"/>
      <c r="H297" s="85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3"/>
      <c r="AC297" s="33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3"/>
      <c r="AP297" s="33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3"/>
      <c r="CC297" s="33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3"/>
      <c r="CP297" s="33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3"/>
      <c r="DC297" s="33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3"/>
      <c r="DP297" s="33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3"/>
      <c r="EC297" s="33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3"/>
      <c r="EP297" s="33"/>
      <c r="EQ297" s="33"/>
      <c r="ER297" s="33"/>
      <c r="ES297" s="33"/>
    </row>
    <row r="298">
      <c r="A298" s="33"/>
      <c r="B298" s="33"/>
      <c r="C298" s="33"/>
      <c r="D298" s="33"/>
      <c r="E298" s="33"/>
      <c r="F298" s="33"/>
      <c r="G298" s="85"/>
      <c r="H298" s="85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33"/>
      <c r="Y298" s="33"/>
      <c r="Z298" s="33"/>
      <c r="AA298" s="33"/>
      <c r="AB298" s="33"/>
      <c r="AC298" s="33"/>
      <c r="AD298" s="33"/>
      <c r="AE298" s="33"/>
      <c r="AF298" s="33"/>
      <c r="AG298" s="33"/>
      <c r="AH298" s="33"/>
      <c r="AI298" s="33"/>
      <c r="AJ298" s="33"/>
      <c r="AK298" s="33"/>
      <c r="AL298" s="33"/>
      <c r="AM298" s="33"/>
      <c r="AN298" s="33"/>
      <c r="AO298" s="33"/>
      <c r="AP298" s="33"/>
      <c r="AQ298" s="33"/>
      <c r="AR298" s="33"/>
      <c r="AS298" s="33"/>
      <c r="AT298" s="33"/>
      <c r="AU298" s="33"/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  <c r="BU298" s="33"/>
      <c r="BV298" s="33"/>
      <c r="BW298" s="33"/>
      <c r="BX298" s="33"/>
      <c r="BY298" s="33"/>
      <c r="BZ298" s="33"/>
      <c r="CA298" s="33"/>
      <c r="CB298" s="33"/>
      <c r="CC298" s="33"/>
      <c r="CD298" s="33"/>
      <c r="CE298" s="33"/>
      <c r="CF298" s="33"/>
      <c r="CG298" s="33"/>
      <c r="CH298" s="33"/>
      <c r="CI298" s="33"/>
      <c r="CJ298" s="33"/>
      <c r="CK298" s="33"/>
      <c r="CL298" s="33"/>
      <c r="CM298" s="33"/>
      <c r="CN298" s="33"/>
      <c r="CO298" s="33"/>
      <c r="CP298" s="33"/>
      <c r="CQ298" s="33"/>
      <c r="CR298" s="33"/>
      <c r="CS298" s="33"/>
      <c r="CT298" s="33"/>
      <c r="CU298" s="33"/>
      <c r="CV298" s="33"/>
      <c r="CW298" s="33"/>
      <c r="CX298" s="33"/>
      <c r="CY298" s="33"/>
      <c r="CZ298" s="33"/>
      <c r="DA298" s="33"/>
      <c r="DB298" s="33"/>
      <c r="DC298" s="33"/>
      <c r="DD298" s="33"/>
      <c r="DE298" s="33"/>
      <c r="DF298" s="33"/>
      <c r="DG298" s="33"/>
      <c r="DH298" s="33"/>
      <c r="DI298" s="33"/>
      <c r="DJ298" s="33"/>
      <c r="DK298" s="33"/>
      <c r="DL298" s="33"/>
      <c r="DM298" s="33"/>
      <c r="DN298" s="33"/>
      <c r="DO298" s="33"/>
      <c r="DP298" s="33"/>
      <c r="DQ298" s="33"/>
      <c r="DR298" s="33"/>
      <c r="DS298" s="33"/>
      <c r="DT298" s="33"/>
      <c r="DU298" s="33"/>
      <c r="DV298" s="33"/>
      <c r="DW298" s="33"/>
      <c r="DX298" s="33"/>
      <c r="DY298" s="33"/>
      <c r="DZ298" s="33"/>
      <c r="EA298" s="33"/>
      <c r="EB298" s="33"/>
      <c r="EC298" s="33"/>
      <c r="ED298" s="33"/>
      <c r="EE298" s="33"/>
      <c r="EF298" s="33"/>
      <c r="EG298" s="33"/>
      <c r="EH298" s="33"/>
      <c r="EI298" s="33"/>
      <c r="EJ298" s="33"/>
      <c r="EK298" s="33"/>
      <c r="EL298" s="33"/>
      <c r="EM298" s="33"/>
      <c r="EN298" s="33"/>
      <c r="EO298" s="33"/>
      <c r="EP298" s="33"/>
      <c r="EQ298" s="33"/>
      <c r="ER298" s="33"/>
      <c r="ES298" s="33"/>
    </row>
    <row r="299">
      <c r="A299" s="33"/>
      <c r="B299" s="33"/>
      <c r="C299" s="33"/>
      <c r="D299" s="33"/>
      <c r="E299" s="33"/>
      <c r="F299" s="33"/>
      <c r="G299" s="85"/>
      <c r="H299" s="85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3"/>
      <c r="AC299" s="33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3"/>
      <c r="AP299" s="33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3"/>
      <c r="CC299" s="33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3"/>
      <c r="CP299" s="33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3"/>
      <c r="DC299" s="33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3"/>
      <c r="DP299" s="33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3"/>
      <c r="EC299" s="33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3"/>
      <c r="EP299" s="33"/>
      <c r="EQ299" s="33"/>
      <c r="ER299" s="33"/>
      <c r="ES299" s="33"/>
    </row>
    <row r="300">
      <c r="A300" s="33"/>
      <c r="B300" s="33"/>
      <c r="C300" s="33"/>
      <c r="D300" s="33"/>
      <c r="E300" s="33"/>
      <c r="F300" s="33"/>
      <c r="G300" s="85"/>
      <c r="H300" s="85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33"/>
      <c r="Y300" s="33"/>
      <c r="Z300" s="33"/>
      <c r="AA300" s="33"/>
      <c r="AB300" s="33"/>
      <c r="AC300" s="33"/>
      <c r="AD300" s="33"/>
      <c r="AE300" s="33"/>
      <c r="AF300" s="33"/>
      <c r="AG300" s="33"/>
      <c r="AH300" s="33"/>
      <c r="AI300" s="33"/>
      <c r="AJ300" s="33"/>
      <c r="AK300" s="33"/>
      <c r="AL300" s="33"/>
      <c r="AM300" s="33"/>
      <c r="AN300" s="33"/>
      <c r="AO300" s="33"/>
      <c r="AP300" s="33"/>
      <c r="AQ300" s="33"/>
      <c r="AR300" s="33"/>
      <c r="AS300" s="33"/>
      <c r="AT300" s="33"/>
      <c r="AU300" s="33"/>
      <c r="AV300" s="33"/>
      <c r="AW300" s="33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  <c r="BU300" s="33"/>
      <c r="BV300" s="33"/>
      <c r="BW300" s="33"/>
      <c r="BX300" s="33"/>
      <c r="BY300" s="33"/>
      <c r="BZ300" s="33"/>
      <c r="CA300" s="33"/>
      <c r="CB300" s="33"/>
      <c r="CC300" s="33"/>
      <c r="CD300" s="33"/>
      <c r="CE300" s="33"/>
      <c r="CF300" s="33"/>
      <c r="CG300" s="33"/>
      <c r="CH300" s="33"/>
      <c r="CI300" s="33"/>
      <c r="CJ300" s="33"/>
      <c r="CK300" s="33"/>
      <c r="CL300" s="33"/>
      <c r="CM300" s="33"/>
      <c r="CN300" s="33"/>
      <c r="CO300" s="33"/>
      <c r="CP300" s="33"/>
      <c r="CQ300" s="33"/>
      <c r="CR300" s="33"/>
      <c r="CS300" s="33"/>
      <c r="CT300" s="33"/>
      <c r="CU300" s="33"/>
      <c r="CV300" s="33"/>
      <c r="CW300" s="33"/>
      <c r="CX300" s="33"/>
      <c r="CY300" s="33"/>
      <c r="CZ300" s="33"/>
      <c r="DA300" s="33"/>
      <c r="DB300" s="33"/>
      <c r="DC300" s="33"/>
      <c r="DD300" s="33"/>
      <c r="DE300" s="33"/>
      <c r="DF300" s="33"/>
      <c r="DG300" s="33"/>
      <c r="DH300" s="33"/>
      <c r="DI300" s="33"/>
      <c r="DJ300" s="33"/>
      <c r="DK300" s="33"/>
      <c r="DL300" s="33"/>
      <c r="DM300" s="33"/>
      <c r="DN300" s="33"/>
      <c r="DO300" s="33"/>
      <c r="DP300" s="33"/>
      <c r="DQ300" s="33"/>
      <c r="DR300" s="33"/>
      <c r="DS300" s="33"/>
      <c r="DT300" s="33"/>
      <c r="DU300" s="33"/>
      <c r="DV300" s="33"/>
      <c r="DW300" s="33"/>
      <c r="DX300" s="33"/>
      <c r="DY300" s="33"/>
      <c r="DZ300" s="33"/>
      <c r="EA300" s="33"/>
      <c r="EB300" s="33"/>
      <c r="EC300" s="33"/>
      <c r="ED300" s="33"/>
      <c r="EE300" s="33"/>
      <c r="EF300" s="33"/>
      <c r="EG300" s="33"/>
      <c r="EH300" s="33"/>
      <c r="EI300" s="33"/>
      <c r="EJ300" s="33"/>
      <c r="EK300" s="33"/>
      <c r="EL300" s="33"/>
      <c r="EM300" s="33"/>
      <c r="EN300" s="33"/>
      <c r="EO300" s="33"/>
      <c r="EP300" s="33"/>
      <c r="EQ300" s="33"/>
      <c r="ER300" s="33"/>
      <c r="ES300" s="33"/>
    </row>
    <row r="301">
      <c r="A301" s="33"/>
      <c r="B301" s="33"/>
      <c r="C301" s="33"/>
      <c r="D301" s="33"/>
      <c r="E301" s="33"/>
      <c r="F301" s="33"/>
      <c r="G301" s="85"/>
      <c r="H301" s="85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3"/>
      <c r="AC301" s="33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3"/>
      <c r="AP301" s="33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3"/>
      <c r="CC301" s="33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3"/>
      <c r="CP301" s="33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3"/>
      <c r="DC301" s="33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3"/>
      <c r="DP301" s="33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3"/>
      <c r="EC301" s="33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3"/>
      <c r="EP301" s="33"/>
      <c r="EQ301" s="33"/>
      <c r="ER301" s="33"/>
      <c r="ES301" s="33"/>
    </row>
    <row r="302">
      <c r="A302" s="33"/>
      <c r="B302" s="33"/>
      <c r="C302" s="33"/>
      <c r="D302" s="33"/>
      <c r="E302" s="33"/>
      <c r="F302" s="33"/>
      <c r="G302" s="85"/>
      <c r="H302" s="85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33"/>
      <c r="Y302" s="33"/>
      <c r="Z302" s="33"/>
      <c r="AA302" s="33"/>
      <c r="AB302" s="33"/>
      <c r="AC302" s="33"/>
      <c r="AD302" s="33"/>
      <c r="AE302" s="33"/>
      <c r="AF302" s="33"/>
      <c r="AG302" s="33"/>
      <c r="AH302" s="33"/>
      <c r="AI302" s="33"/>
      <c r="AJ302" s="33"/>
      <c r="AK302" s="33"/>
      <c r="AL302" s="33"/>
      <c r="AM302" s="33"/>
      <c r="AN302" s="33"/>
      <c r="AO302" s="33"/>
      <c r="AP302" s="33"/>
      <c r="AQ302" s="33"/>
      <c r="AR302" s="33"/>
      <c r="AS302" s="33"/>
      <c r="AT302" s="33"/>
      <c r="AU302" s="33"/>
      <c r="AV302" s="33"/>
      <c r="AW302" s="33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  <c r="BU302" s="33"/>
      <c r="BV302" s="33"/>
      <c r="BW302" s="33"/>
      <c r="BX302" s="33"/>
      <c r="BY302" s="33"/>
      <c r="BZ302" s="33"/>
      <c r="CA302" s="33"/>
      <c r="CB302" s="33"/>
      <c r="CC302" s="33"/>
      <c r="CD302" s="33"/>
      <c r="CE302" s="33"/>
      <c r="CF302" s="33"/>
      <c r="CG302" s="33"/>
      <c r="CH302" s="33"/>
      <c r="CI302" s="33"/>
      <c r="CJ302" s="33"/>
      <c r="CK302" s="33"/>
      <c r="CL302" s="33"/>
      <c r="CM302" s="33"/>
      <c r="CN302" s="33"/>
      <c r="CO302" s="33"/>
      <c r="CP302" s="33"/>
      <c r="CQ302" s="33"/>
      <c r="CR302" s="33"/>
      <c r="CS302" s="33"/>
      <c r="CT302" s="33"/>
      <c r="CU302" s="33"/>
      <c r="CV302" s="33"/>
      <c r="CW302" s="33"/>
      <c r="CX302" s="33"/>
      <c r="CY302" s="33"/>
      <c r="CZ302" s="33"/>
      <c r="DA302" s="33"/>
      <c r="DB302" s="33"/>
      <c r="DC302" s="33"/>
      <c r="DD302" s="33"/>
      <c r="DE302" s="33"/>
      <c r="DF302" s="33"/>
      <c r="DG302" s="33"/>
      <c r="DH302" s="33"/>
      <c r="DI302" s="33"/>
      <c r="DJ302" s="33"/>
      <c r="DK302" s="33"/>
      <c r="DL302" s="33"/>
      <c r="DM302" s="33"/>
      <c r="DN302" s="33"/>
      <c r="DO302" s="33"/>
      <c r="DP302" s="33"/>
      <c r="DQ302" s="33"/>
      <c r="DR302" s="33"/>
      <c r="DS302" s="33"/>
      <c r="DT302" s="33"/>
      <c r="DU302" s="33"/>
      <c r="DV302" s="33"/>
      <c r="DW302" s="33"/>
      <c r="DX302" s="33"/>
      <c r="DY302" s="33"/>
      <c r="DZ302" s="33"/>
      <c r="EA302" s="33"/>
      <c r="EB302" s="33"/>
      <c r="EC302" s="33"/>
      <c r="ED302" s="33"/>
      <c r="EE302" s="33"/>
      <c r="EF302" s="33"/>
      <c r="EG302" s="33"/>
      <c r="EH302" s="33"/>
      <c r="EI302" s="33"/>
      <c r="EJ302" s="33"/>
      <c r="EK302" s="33"/>
      <c r="EL302" s="33"/>
      <c r="EM302" s="33"/>
      <c r="EN302" s="33"/>
      <c r="EO302" s="33"/>
      <c r="EP302" s="33"/>
      <c r="EQ302" s="33"/>
      <c r="ER302" s="33"/>
      <c r="ES302" s="33"/>
    </row>
    <row r="303">
      <c r="A303" s="33"/>
      <c r="B303" s="33"/>
      <c r="C303" s="33"/>
      <c r="D303" s="33"/>
      <c r="E303" s="33"/>
      <c r="F303" s="33"/>
      <c r="G303" s="85"/>
      <c r="H303" s="85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3"/>
      <c r="AC303" s="33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3"/>
      <c r="AP303" s="33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3"/>
      <c r="CC303" s="33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3"/>
      <c r="CP303" s="33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3"/>
      <c r="DC303" s="33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3"/>
      <c r="DP303" s="33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3"/>
      <c r="EC303" s="33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3"/>
      <c r="EP303" s="33"/>
      <c r="EQ303" s="33"/>
      <c r="ER303" s="33"/>
      <c r="ES303" s="33"/>
    </row>
    <row r="304">
      <c r="A304" s="33"/>
      <c r="B304" s="33"/>
      <c r="C304" s="33"/>
      <c r="D304" s="33"/>
      <c r="E304" s="33"/>
      <c r="F304" s="33"/>
      <c r="G304" s="85"/>
      <c r="H304" s="85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  <c r="AA304" s="33"/>
      <c r="AB304" s="33"/>
      <c r="AC304" s="33"/>
      <c r="AD304" s="33"/>
      <c r="AE304" s="33"/>
      <c r="AF304" s="33"/>
      <c r="AG304" s="33"/>
      <c r="AH304" s="33"/>
      <c r="AI304" s="33"/>
      <c r="AJ304" s="33"/>
      <c r="AK304" s="33"/>
      <c r="AL304" s="33"/>
      <c r="AM304" s="33"/>
      <c r="AN304" s="33"/>
      <c r="AO304" s="33"/>
      <c r="AP304" s="33"/>
      <c r="AQ304" s="33"/>
      <c r="AR304" s="33"/>
      <c r="AS304" s="33"/>
      <c r="AT304" s="33"/>
      <c r="AU304" s="33"/>
      <c r="AV304" s="33"/>
      <c r="AW304" s="33"/>
      <c r="AX304" s="33"/>
      <c r="AY304" s="33"/>
      <c r="AZ304" s="33"/>
      <c r="BA304" s="33"/>
      <c r="BB304" s="33"/>
      <c r="BC304" s="33"/>
      <c r="BD304" s="33"/>
      <c r="BE304" s="33"/>
      <c r="BF304" s="33"/>
      <c r="BG304" s="33"/>
      <c r="BH304" s="33"/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  <c r="BU304" s="33"/>
      <c r="BV304" s="33"/>
      <c r="BW304" s="33"/>
      <c r="BX304" s="33"/>
      <c r="BY304" s="33"/>
      <c r="BZ304" s="33"/>
      <c r="CA304" s="33"/>
      <c r="CB304" s="33"/>
      <c r="CC304" s="33"/>
      <c r="CD304" s="33"/>
      <c r="CE304" s="33"/>
      <c r="CF304" s="33"/>
      <c r="CG304" s="33"/>
      <c r="CH304" s="33"/>
      <c r="CI304" s="33"/>
      <c r="CJ304" s="33"/>
      <c r="CK304" s="33"/>
      <c r="CL304" s="33"/>
      <c r="CM304" s="33"/>
      <c r="CN304" s="33"/>
      <c r="CO304" s="33"/>
      <c r="CP304" s="33"/>
      <c r="CQ304" s="33"/>
      <c r="CR304" s="33"/>
      <c r="CS304" s="33"/>
      <c r="CT304" s="33"/>
      <c r="CU304" s="33"/>
      <c r="CV304" s="33"/>
      <c r="CW304" s="33"/>
      <c r="CX304" s="33"/>
      <c r="CY304" s="33"/>
      <c r="CZ304" s="33"/>
      <c r="DA304" s="33"/>
      <c r="DB304" s="33"/>
      <c r="DC304" s="33"/>
      <c r="DD304" s="33"/>
      <c r="DE304" s="33"/>
      <c r="DF304" s="33"/>
      <c r="DG304" s="33"/>
      <c r="DH304" s="33"/>
      <c r="DI304" s="33"/>
      <c r="DJ304" s="33"/>
      <c r="DK304" s="33"/>
      <c r="DL304" s="33"/>
      <c r="DM304" s="33"/>
      <c r="DN304" s="33"/>
      <c r="DO304" s="33"/>
      <c r="DP304" s="33"/>
      <c r="DQ304" s="33"/>
      <c r="DR304" s="33"/>
      <c r="DS304" s="33"/>
      <c r="DT304" s="33"/>
      <c r="DU304" s="33"/>
      <c r="DV304" s="33"/>
      <c r="DW304" s="33"/>
      <c r="DX304" s="33"/>
      <c r="DY304" s="33"/>
      <c r="DZ304" s="33"/>
      <c r="EA304" s="33"/>
      <c r="EB304" s="33"/>
      <c r="EC304" s="33"/>
      <c r="ED304" s="33"/>
      <c r="EE304" s="33"/>
      <c r="EF304" s="33"/>
      <c r="EG304" s="33"/>
      <c r="EH304" s="33"/>
      <c r="EI304" s="33"/>
      <c r="EJ304" s="33"/>
      <c r="EK304" s="33"/>
      <c r="EL304" s="33"/>
      <c r="EM304" s="33"/>
      <c r="EN304" s="33"/>
      <c r="EO304" s="33"/>
      <c r="EP304" s="33"/>
      <c r="EQ304" s="33"/>
      <c r="ER304" s="33"/>
      <c r="ES304" s="33"/>
    </row>
    <row r="305">
      <c r="A305" s="33"/>
      <c r="B305" s="33"/>
      <c r="C305" s="33"/>
      <c r="D305" s="33"/>
      <c r="E305" s="33"/>
      <c r="F305" s="33"/>
      <c r="G305" s="85"/>
      <c r="H305" s="85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3"/>
      <c r="AC305" s="33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3"/>
      <c r="AP305" s="33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3"/>
      <c r="BC305" s="33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3"/>
      <c r="CC305" s="33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3"/>
      <c r="CP305" s="33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3"/>
      <c r="DC305" s="33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3"/>
      <c r="DP305" s="33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3"/>
      <c r="EC305" s="33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3"/>
      <c r="EP305" s="33"/>
      <c r="EQ305" s="33"/>
      <c r="ER305" s="33"/>
      <c r="ES305" s="33"/>
    </row>
    <row r="306">
      <c r="A306" s="33"/>
      <c r="B306" s="33"/>
      <c r="C306" s="33"/>
      <c r="D306" s="33"/>
      <c r="E306" s="33"/>
      <c r="F306" s="33"/>
      <c r="G306" s="85"/>
      <c r="H306" s="85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33"/>
      <c r="Y306" s="33"/>
      <c r="Z306" s="33"/>
      <c r="AA306" s="33"/>
      <c r="AB306" s="33"/>
      <c r="AC306" s="33"/>
      <c r="AD306" s="33"/>
      <c r="AE306" s="33"/>
      <c r="AF306" s="33"/>
      <c r="AG306" s="33"/>
      <c r="AH306" s="33"/>
      <c r="AI306" s="33"/>
      <c r="AJ306" s="33"/>
      <c r="AK306" s="33"/>
      <c r="AL306" s="33"/>
      <c r="AM306" s="33"/>
      <c r="AN306" s="33"/>
      <c r="AO306" s="33"/>
      <c r="AP306" s="33"/>
      <c r="AQ306" s="33"/>
      <c r="AR306" s="33"/>
      <c r="AS306" s="33"/>
      <c r="AT306" s="33"/>
      <c r="AU306" s="33"/>
      <c r="AV306" s="33"/>
      <c r="AW306" s="33"/>
      <c r="AX306" s="33"/>
      <c r="AY306" s="33"/>
      <c r="AZ306" s="33"/>
      <c r="BA306" s="33"/>
      <c r="BB306" s="33"/>
      <c r="BC306" s="33"/>
      <c r="BD306" s="33"/>
      <c r="BE306" s="33"/>
      <c r="BF306" s="33"/>
      <c r="BG306" s="33"/>
      <c r="BH306" s="33"/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  <c r="BU306" s="33"/>
      <c r="BV306" s="33"/>
      <c r="BW306" s="33"/>
      <c r="BX306" s="33"/>
      <c r="BY306" s="33"/>
      <c r="BZ306" s="33"/>
      <c r="CA306" s="33"/>
      <c r="CB306" s="33"/>
      <c r="CC306" s="33"/>
      <c r="CD306" s="33"/>
      <c r="CE306" s="33"/>
      <c r="CF306" s="33"/>
      <c r="CG306" s="33"/>
      <c r="CH306" s="33"/>
      <c r="CI306" s="33"/>
      <c r="CJ306" s="33"/>
      <c r="CK306" s="33"/>
      <c r="CL306" s="33"/>
      <c r="CM306" s="33"/>
      <c r="CN306" s="33"/>
      <c r="CO306" s="33"/>
      <c r="CP306" s="33"/>
      <c r="CQ306" s="33"/>
      <c r="CR306" s="33"/>
      <c r="CS306" s="33"/>
      <c r="CT306" s="33"/>
      <c r="CU306" s="33"/>
      <c r="CV306" s="33"/>
      <c r="CW306" s="33"/>
      <c r="CX306" s="33"/>
      <c r="CY306" s="33"/>
      <c r="CZ306" s="33"/>
      <c r="DA306" s="33"/>
      <c r="DB306" s="33"/>
      <c r="DC306" s="33"/>
      <c r="DD306" s="33"/>
      <c r="DE306" s="33"/>
      <c r="DF306" s="33"/>
      <c r="DG306" s="33"/>
      <c r="DH306" s="33"/>
      <c r="DI306" s="33"/>
      <c r="DJ306" s="33"/>
      <c r="DK306" s="33"/>
      <c r="DL306" s="33"/>
      <c r="DM306" s="33"/>
      <c r="DN306" s="33"/>
      <c r="DO306" s="33"/>
      <c r="DP306" s="33"/>
      <c r="DQ306" s="33"/>
      <c r="DR306" s="33"/>
      <c r="DS306" s="33"/>
      <c r="DT306" s="33"/>
      <c r="DU306" s="33"/>
      <c r="DV306" s="33"/>
      <c r="DW306" s="33"/>
      <c r="DX306" s="33"/>
      <c r="DY306" s="33"/>
      <c r="DZ306" s="33"/>
      <c r="EA306" s="33"/>
      <c r="EB306" s="33"/>
      <c r="EC306" s="33"/>
      <c r="ED306" s="33"/>
      <c r="EE306" s="33"/>
      <c r="EF306" s="33"/>
      <c r="EG306" s="33"/>
      <c r="EH306" s="33"/>
      <c r="EI306" s="33"/>
      <c r="EJ306" s="33"/>
      <c r="EK306" s="33"/>
      <c r="EL306" s="33"/>
      <c r="EM306" s="33"/>
      <c r="EN306" s="33"/>
      <c r="EO306" s="33"/>
      <c r="EP306" s="33"/>
      <c r="EQ306" s="33"/>
      <c r="ER306" s="33"/>
      <c r="ES306" s="33"/>
    </row>
    <row r="307">
      <c r="A307" s="33"/>
      <c r="B307" s="33"/>
      <c r="C307" s="33"/>
      <c r="D307" s="33"/>
      <c r="E307" s="33"/>
      <c r="F307" s="33"/>
      <c r="G307" s="85"/>
      <c r="H307" s="85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3"/>
      <c r="AC307" s="33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3"/>
      <c r="AP307" s="33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3"/>
      <c r="BC307" s="33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3"/>
      <c r="CC307" s="33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3"/>
      <c r="CP307" s="33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3"/>
      <c r="DC307" s="33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3"/>
      <c r="DP307" s="33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3"/>
      <c r="EC307" s="33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3"/>
      <c r="EP307" s="33"/>
      <c r="EQ307" s="33"/>
      <c r="ER307" s="33"/>
      <c r="ES307" s="33"/>
    </row>
    <row r="308">
      <c r="A308" s="33"/>
      <c r="B308" s="33"/>
      <c r="C308" s="33"/>
      <c r="D308" s="33"/>
      <c r="E308" s="33"/>
      <c r="F308" s="33"/>
      <c r="G308" s="85"/>
      <c r="H308" s="85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33"/>
      <c r="Y308" s="33"/>
      <c r="Z308" s="33"/>
      <c r="AA308" s="33"/>
      <c r="AB308" s="33"/>
      <c r="AC308" s="33"/>
      <c r="AD308" s="33"/>
      <c r="AE308" s="33"/>
      <c r="AF308" s="33"/>
      <c r="AG308" s="33"/>
      <c r="AH308" s="33"/>
      <c r="AI308" s="33"/>
      <c r="AJ308" s="33"/>
      <c r="AK308" s="33"/>
      <c r="AL308" s="33"/>
      <c r="AM308" s="33"/>
      <c r="AN308" s="33"/>
      <c r="AO308" s="33"/>
      <c r="AP308" s="33"/>
      <c r="AQ308" s="33"/>
      <c r="AR308" s="33"/>
      <c r="AS308" s="33"/>
      <c r="AT308" s="33"/>
      <c r="AU308" s="33"/>
      <c r="AV308" s="33"/>
      <c r="AW308" s="33"/>
      <c r="AX308" s="33"/>
      <c r="AY308" s="33"/>
      <c r="AZ308" s="33"/>
      <c r="BA308" s="33"/>
      <c r="BB308" s="33"/>
      <c r="BC308" s="33"/>
      <c r="BD308" s="33"/>
      <c r="BE308" s="33"/>
      <c r="BF308" s="33"/>
      <c r="BG308" s="33"/>
      <c r="BH308" s="33"/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  <c r="BU308" s="33"/>
      <c r="BV308" s="33"/>
      <c r="BW308" s="33"/>
      <c r="BX308" s="33"/>
      <c r="BY308" s="33"/>
      <c r="BZ308" s="33"/>
      <c r="CA308" s="33"/>
      <c r="CB308" s="33"/>
      <c r="CC308" s="33"/>
      <c r="CD308" s="33"/>
      <c r="CE308" s="33"/>
      <c r="CF308" s="33"/>
      <c r="CG308" s="33"/>
      <c r="CH308" s="33"/>
      <c r="CI308" s="33"/>
      <c r="CJ308" s="33"/>
      <c r="CK308" s="33"/>
      <c r="CL308" s="33"/>
      <c r="CM308" s="33"/>
      <c r="CN308" s="33"/>
      <c r="CO308" s="33"/>
      <c r="CP308" s="33"/>
      <c r="CQ308" s="33"/>
      <c r="CR308" s="33"/>
      <c r="CS308" s="33"/>
      <c r="CT308" s="33"/>
      <c r="CU308" s="33"/>
      <c r="CV308" s="33"/>
      <c r="CW308" s="33"/>
      <c r="CX308" s="33"/>
      <c r="CY308" s="33"/>
      <c r="CZ308" s="33"/>
      <c r="DA308" s="33"/>
      <c r="DB308" s="33"/>
      <c r="DC308" s="33"/>
      <c r="DD308" s="33"/>
      <c r="DE308" s="33"/>
      <c r="DF308" s="33"/>
      <c r="DG308" s="33"/>
      <c r="DH308" s="33"/>
      <c r="DI308" s="33"/>
      <c r="DJ308" s="33"/>
      <c r="DK308" s="33"/>
      <c r="DL308" s="33"/>
      <c r="DM308" s="33"/>
      <c r="DN308" s="33"/>
      <c r="DO308" s="33"/>
      <c r="DP308" s="33"/>
      <c r="DQ308" s="33"/>
      <c r="DR308" s="33"/>
      <c r="DS308" s="33"/>
      <c r="DT308" s="33"/>
      <c r="DU308" s="33"/>
      <c r="DV308" s="33"/>
      <c r="DW308" s="33"/>
      <c r="DX308" s="33"/>
      <c r="DY308" s="33"/>
      <c r="DZ308" s="33"/>
      <c r="EA308" s="33"/>
      <c r="EB308" s="33"/>
      <c r="EC308" s="33"/>
      <c r="ED308" s="33"/>
      <c r="EE308" s="33"/>
      <c r="EF308" s="33"/>
      <c r="EG308" s="33"/>
      <c r="EH308" s="33"/>
      <c r="EI308" s="33"/>
      <c r="EJ308" s="33"/>
      <c r="EK308" s="33"/>
      <c r="EL308" s="33"/>
      <c r="EM308" s="33"/>
      <c r="EN308" s="33"/>
      <c r="EO308" s="33"/>
      <c r="EP308" s="33"/>
      <c r="EQ308" s="33"/>
      <c r="ER308" s="33"/>
      <c r="ES308" s="33"/>
    </row>
    <row r="309">
      <c r="A309" s="33"/>
      <c r="B309" s="33"/>
      <c r="C309" s="33"/>
      <c r="D309" s="33"/>
      <c r="E309" s="33"/>
      <c r="F309" s="33"/>
      <c r="G309" s="85"/>
      <c r="H309" s="85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3"/>
      <c r="AC309" s="33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3"/>
      <c r="AP309" s="33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3"/>
      <c r="BC309" s="33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3"/>
      <c r="CC309" s="33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3"/>
      <c r="CP309" s="33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3"/>
      <c r="DC309" s="33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3"/>
      <c r="DP309" s="33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3"/>
      <c r="EC309" s="33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3"/>
      <c r="EP309" s="33"/>
      <c r="EQ309" s="33"/>
      <c r="ER309" s="33"/>
      <c r="ES309" s="33"/>
    </row>
    <row r="310">
      <c r="A310" s="33"/>
      <c r="B310" s="33"/>
      <c r="C310" s="33"/>
      <c r="D310" s="33"/>
      <c r="E310" s="33"/>
      <c r="F310" s="33"/>
      <c r="G310" s="85"/>
      <c r="H310" s="85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33"/>
      <c r="Y310" s="33"/>
      <c r="Z310" s="33"/>
      <c r="AA310" s="33"/>
      <c r="AB310" s="33"/>
      <c r="AC310" s="33"/>
      <c r="AD310" s="33"/>
      <c r="AE310" s="33"/>
      <c r="AF310" s="33"/>
      <c r="AG310" s="33"/>
      <c r="AH310" s="33"/>
      <c r="AI310" s="33"/>
      <c r="AJ310" s="33"/>
      <c r="AK310" s="33"/>
      <c r="AL310" s="33"/>
      <c r="AM310" s="33"/>
      <c r="AN310" s="33"/>
      <c r="AO310" s="33"/>
      <c r="AP310" s="33"/>
      <c r="AQ310" s="33"/>
      <c r="AR310" s="33"/>
      <c r="AS310" s="33"/>
      <c r="AT310" s="33"/>
      <c r="AU310" s="33"/>
      <c r="AV310" s="33"/>
      <c r="AW310" s="33"/>
      <c r="AX310" s="33"/>
      <c r="AY310" s="33"/>
      <c r="AZ310" s="33"/>
      <c r="BA310" s="33"/>
      <c r="BB310" s="33"/>
      <c r="BC310" s="33"/>
      <c r="BD310" s="33"/>
      <c r="BE310" s="33"/>
      <c r="BF310" s="33"/>
      <c r="BG310" s="33"/>
      <c r="BH310" s="33"/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  <c r="BU310" s="33"/>
      <c r="BV310" s="33"/>
      <c r="BW310" s="33"/>
      <c r="BX310" s="33"/>
      <c r="BY310" s="33"/>
      <c r="BZ310" s="33"/>
      <c r="CA310" s="33"/>
      <c r="CB310" s="33"/>
      <c r="CC310" s="33"/>
      <c r="CD310" s="33"/>
      <c r="CE310" s="33"/>
      <c r="CF310" s="33"/>
      <c r="CG310" s="33"/>
      <c r="CH310" s="33"/>
      <c r="CI310" s="33"/>
      <c r="CJ310" s="33"/>
      <c r="CK310" s="33"/>
      <c r="CL310" s="33"/>
      <c r="CM310" s="33"/>
      <c r="CN310" s="33"/>
      <c r="CO310" s="33"/>
      <c r="CP310" s="33"/>
      <c r="CQ310" s="33"/>
      <c r="CR310" s="33"/>
      <c r="CS310" s="33"/>
      <c r="CT310" s="33"/>
      <c r="CU310" s="33"/>
      <c r="CV310" s="33"/>
      <c r="CW310" s="33"/>
      <c r="CX310" s="33"/>
      <c r="CY310" s="33"/>
      <c r="CZ310" s="33"/>
      <c r="DA310" s="33"/>
      <c r="DB310" s="33"/>
      <c r="DC310" s="33"/>
      <c r="DD310" s="33"/>
      <c r="DE310" s="33"/>
      <c r="DF310" s="33"/>
      <c r="DG310" s="33"/>
      <c r="DH310" s="33"/>
      <c r="DI310" s="33"/>
      <c r="DJ310" s="33"/>
      <c r="DK310" s="33"/>
      <c r="DL310" s="33"/>
      <c r="DM310" s="33"/>
      <c r="DN310" s="33"/>
      <c r="DO310" s="33"/>
      <c r="DP310" s="33"/>
      <c r="DQ310" s="33"/>
      <c r="DR310" s="33"/>
      <c r="DS310" s="33"/>
      <c r="DT310" s="33"/>
      <c r="DU310" s="33"/>
      <c r="DV310" s="33"/>
      <c r="DW310" s="33"/>
      <c r="DX310" s="33"/>
      <c r="DY310" s="33"/>
      <c r="DZ310" s="33"/>
      <c r="EA310" s="33"/>
      <c r="EB310" s="33"/>
      <c r="EC310" s="33"/>
      <c r="ED310" s="33"/>
      <c r="EE310" s="33"/>
      <c r="EF310" s="33"/>
      <c r="EG310" s="33"/>
      <c r="EH310" s="33"/>
      <c r="EI310" s="33"/>
      <c r="EJ310" s="33"/>
      <c r="EK310" s="33"/>
      <c r="EL310" s="33"/>
      <c r="EM310" s="33"/>
      <c r="EN310" s="33"/>
      <c r="EO310" s="33"/>
      <c r="EP310" s="33"/>
      <c r="EQ310" s="33"/>
      <c r="ER310" s="33"/>
      <c r="ES310" s="33"/>
    </row>
    <row r="311">
      <c r="A311" s="33"/>
      <c r="B311" s="33"/>
      <c r="C311" s="33"/>
      <c r="D311" s="33"/>
      <c r="E311" s="33"/>
      <c r="F311" s="33"/>
      <c r="G311" s="85"/>
      <c r="H311" s="85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3"/>
      <c r="AC311" s="33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3"/>
      <c r="AP311" s="33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3"/>
      <c r="BC311" s="33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3"/>
      <c r="CC311" s="33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3"/>
      <c r="CP311" s="33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3"/>
      <c r="DC311" s="33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3"/>
      <c r="DP311" s="33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3"/>
      <c r="EC311" s="33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3"/>
      <c r="EP311" s="33"/>
      <c r="EQ311" s="33"/>
      <c r="ER311" s="33"/>
      <c r="ES311" s="33"/>
    </row>
    <row r="312">
      <c r="A312" s="33"/>
      <c r="B312" s="33"/>
      <c r="C312" s="33"/>
      <c r="D312" s="33"/>
      <c r="E312" s="33"/>
      <c r="F312" s="33"/>
      <c r="G312" s="85"/>
      <c r="H312" s="85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33"/>
      <c r="Y312" s="33"/>
      <c r="Z312" s="33"/>
      <c r="AA312" s="33"/>
      <c r="AB312" s="33"/>
      <c r="AC312" s="33"/>
      <c r="AD312" s="33"/>
      <c r="AE312" s="33"/>
      <c r="AF312" s="33"/>
      <c r="AG312" s="33"/>
      <c r="AH312" s="33"/>
      <c r="AI312" s="33"/>
      <c r="AJ312" s="33"/>
      <c r="AK312" s="33"/>
      <c r="AL312" s="33"/>
      <c r="AM312" s="33"/>
      <c r="AN312" s="33"/>
      <c r="AO312" s="33"/>
      <c r="AP312" s="33"/>
      <c r="AQ312" s="33"/>
      <c r="AR312" s="33"/>
      <c r="AS312" s="33"/>
      <c r="AT312" s="33"/>
      <c r="AU312" s="33"/>
      <c r="AV312" s="33"/>
      <c r="AW312" s="33"/>
      <c r="AX312" s="33"/>
      <c r="AY312" s="33"/>
      <c r="AZ312" s="33"/>
      <c r="BA312" s="33"/>
      <c r="BB312" s="33"/>
      <c r="BC312" s="33"/>
      <c r="BD312" s="33"/>
      <c r="BE312" s="33"/>
      <c r="BF312" s="33"/>
      <c r="BG312" s="33"/>
      <c r="BH312" s="33"/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  <c r="BU312" s="33"/>
      <c r="BV312" s="33"/>
      <c r="BW312" s="33"/>
      <c r="BX312" s="33"/>
      <c r="BY312" s="33"/>
      <c r="BZ312" s="33"/>
      <c r="CA312" s="33"/>
      <c r="CB312" s="33"/>
      <c r="CC312" s="33"/>
      <c r="CD312" s="33"/>
      <c r="CE312" s="33"/>
      <c r="CF312" s="33"/>
      <c r="CG312" s="33"/>
      <c r="CH312" s="33"/>
      <c r="CI312" s="33"/>
      <c r="CJ312" s="33"/>
      <c r="CK312" s="33"/>
      <c r="CL312" s="33"/>
      <c r="CM312" s="33"/>
      <c r="CN312" s="33"/>
      <c r="CO312" s="33"/>
      <c r="CP312" s="33"/>
      <c r="CQ312" s="33"/>
      <c r="CR312" s="33"/>
      <c r="CS312" s="33"/>
      <c r="CT312" s="33"/>
      <c r="CU312" s="33"/>
      <c r="CV312" s="33"/>
      <c r="CW312" s="33"/>
      <c r="CX312" s="33"/>
      <c r="CY312" s="33"/>
      <c r="CZ312" s="33"/>
      <c r="DA312" s="33"/>
      <c r="DB312" s="33"/>
      <c r="DC312" s="33"/>
      <c r="DD312" s="33"/>
      <c r="DE312" s="33"/>
      <c r="DF312" s="33"/>
      <c r="DG312" s="33"/>
      <c r="DH312" s="33"/>
      <c r="DI312" s="33"/>
      <c r="DJ312" s="33"/>
      <c r="DK312" s="33"/>
      <c r="DL312" s="33"/>
      <c r="DM312" s="33"/>
      <c r="DN312" s="33"/>
      <c r="DO312" s="33"/>
      <c r="DP312" s="33"/>
      <c r="DQ312" s="33"/>
      <c r="DR312" s="33"/>
      <c r="DS312" s="33"/>
      <c r="DT312" s="33"/>
      <c r="DU312" s="33"/>
      <c r="DV312" s="33"/>
      <c r="DW312" s="33"/>
      <c r="DX312" s="33"/>
      <c r="DY312" s="33"/>
      <c r="DZ312" s="33"/>
      <c r="EA312" s="33"/>
      <c r="EB312" s="33"/>
      <c r="EC312" s="33"/>
      <c r="ED312" s="33"/>
      <c r="EE312" s="33"/>
      <c r="EF312" s="33"/>
      <c r="EG312" s="33"/>
      <c r="EH312" s="33"/>
      <c r="EI312" s="33"/>
      <c r="EJ312" s="33"/>
      <c r="EK312" s="33"/>
      <c r="EL312" s="33"/>
      <c r="EM312" s="33"/>
      <c r="EN312" s="33"/>
      <c r="EO312" s="33"/>
      <c r="EP312" s="33"/>
      <c r="EQ312" s="33"/>
      <c r="ER312" s="33"/>
      <c r="ES312" s="33"/>
    </row>
    <row r="313">
      <c r="A313" s="33"/>
      <c r="B313" s="33"/>
      <c r="C313" s="33"/>
      <c r="D313" s="33"/>
      <c r="E313" s="33"/>
      <c r="F313" s="33"/>
      <c r="G313" s="85"/>
      <c r="H313" s="85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3"/>
      <c r="AC313" s="33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3"/>
      <c r="AP313" s="33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3"/>
      <c r="BC313" s="33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3"/>
      <c r="CC313" s="33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3"/>
      <c r="CP313" s="33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3"/>
      <c r="DC313" s="33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3"/>
      <c r="DP313" s="33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3"/>
      <c r="EC313" s="33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3"/>
      <c r="EP313" s="33"/>
      <c r="EQ313" s="33"/>
      <c r="ER313" s="33"/>
      <c r="ES313" s="33"/>
    </row>
    <row r="314">
      <c r="A314" s="33"/>
      <c r="B314" s="33"/>
      <c r="C314" s="33"/>
      <c r="D314" s="33"/>
      <c r="E314" s="33"/>
      <c r="F314" s="33"/>
      <c r="G314" s="85"/>
      <c r="H314" s="85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33"/>
      <c r="Y314" s="33"/>
      <c r="Z314" s="33"/>
      <c r="AA314" s="33"/>
      <c r="AB314" s="33"/>
      <c r="AC314" s="33"/>
      <c r="AD314" s="33"/>
      <c r="AE314" s="33"/>
      <c r="AF314" s="33"/>
      <c r="AG314" s="33"/>
      <c r="AH314" s="33"/>
      <c r="AI314" s="33"/>
      <c r="AJ314" s="33"/>
      <c r="AK314" s="33"/>
      <c r="AL314" s="33"/>
      <c r="AM314" s="33"/>
      <c r="AN314" s="33"/>
      <c r="AO314" s="33"/>
      <c r="AP314" s="33"/>
      <c r="AQ314" s="33"/>
      <c r="AR314" s="33"/>
      <c r="AS314" s="33"/>
      <c r="AT314" s="33"/>
      <c r="AU314" s="33"/>
      <c r="AV314" s="33"/>
      <c r="AW314" s="33"/>
      <c r="AX314" s="33"/>
      <c r="AY314" s="33"/>
      <c r="AZ314" s="33"/>
      <c r="BA314" s="33"/>
      <c r="BB314" s="33"/>
      <c r="BC314" s="33"/>
      <c r="BD314" s="33"/>
      <c r="BE314" s="33"/>
      <c r="BF314" s="33"/>
      <c r="BG314" s="33"/>
      <c r="BH314" s="33"/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  <c r="BU314" s="33"/>
      <c r="BV314" s="33"/>
      <c r="BW314" s="33"/>
      <c r="BX314" s="33"/>
      <c r="BY314" s="33"/>
      <c r="BZ314" s="33"/>
      <c r="CA314" s="33"/>
      <c r="CB314" s="33"/>
      <c r="CC314" s="33"/>
      <c r="CD314" s="33"/>
      <c r="CE314" s="33"/>
      <c r="CF314" s="33"/>
      <c r="CG314" s="33"/>
      <c r="CH314" s="33"/>
      <c r="CI314" s="33"/>
      <c r="CJ314" s="33"/>
      <c r="CK314" s="33"/>
      <c r="CL314" s="33"/>
      <c r="CM314" s="33"/>
      <c r="CN314" s="33"/>
      <c r="CO314" s="33"/>
      <c r="CP314" s="33"/>
      <c r="CQ314" s="33"/>
      <c r="CR314" s="33"/>
      <c r="CS314" s="33"/>
      <c r="CT314" s="33"/>
      <c r="CU314" s="33"/>
      <c r="CV314" s="33"/>
      <c r="CW314" s="33"/>
      <c r="CX314" s="33"/>
      <c r="CY314" s="33"/>
      <c r="CZ314" s="33"/>
      <c r="DA314" s="33"/>
      <c r="DB314" s="33"/>
      <c r="DC314" s="33"/>
      <c r="DD314" s="33"/>
      <c r="DE314" s="33"/>
      <c r="DF314" s="33"/>
      <c r="DG314" s="33"/>
      <c r="DH314" s="33"/>
      <c r="DI314" s="33"/>
      <c r="DJ314" s="33"/>
      <c r="DK314" s="33"/>
      <c r="DL314" s="33"/>
      <c r="DM314" s="33"/>
      <c r="DN314" s="33"/>
      <c r="DO314" s="33"/>
      <c r="DP314" s="33"/>
      <c r="DQ314" s="33"/>
      <c r="DR314" s="33"/>
      <c r="DS314" s="33"/>
      <c r="DT314" s="33"/>
      <c r="DU314" s="33"/>
      <c r="DV314" s="33"/>
      <c r="DW314" s="33"/>
      <c r="DX314" s="33"/>
      <c r="DY314" s="33"/>
      <c r="DZ314" s="33"/>
      <c r="EA314" s="33"/>
      <c r="EB314" s="33"/>
      <c r="EC314" s="33"/>
      <c r="ED314" s="33"/>
      <c r="EE314" s="33"/>
      <c r="EF314" s="33"/>
      <c r="EG314" s="33"/>
      <c r="EH314" s="33"/>
      <c r="EI314" s="33"/>
      <c r="EJ314" s="33"/>
      <c r="EK314" s="33"/>
      <c r="EL314" s="33"/>
      <c r="EM314" s="33"/>
      <c r="EN314" s="33"/>
      <c r="EO314" s="33"/>
      <c r="EP314" s="33"/>
      <c r="EQ314" s="33"/>
      <c r="ER314" s="33"/>
      <c r="ES314" s="33"/>
    </row>
    <row r="315">
      <c r="A315" s="33"/>
      <c r="B315" s="33"/>
      <c r="C315" s="33"/>
      <c r="D315" s="33"/>
      <c r="E315" s="33"/>
      <c r="F315" s="33"/>
      <c r="G315" s="85"/>
      <c r="H315" s="85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3"/>
      <c r="AC315" s="33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3"/>
      <c r="AP315" s="33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3"/>
      <c r="CC315" s="33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3"/>
      <c r="CP315" s="33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3"/>
      <c r="DC315" s="33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3"/>
      <c r="DP315" s="33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3"/>
      <c r="EC315" s="33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3"/>
      <c r="EP315" s="33"/>
      <c r="EQ315" s="33"/>
      <c r="ER315" s="33"/>
      <c r="ES315" s="33"/>
    </row>
    <row r="316">
      <c r="A316" s="33"/>
      <c r="B316" s="33"/>
      <c r="C316" s="33"/>
      <c r="D316" s="33"/>
      <c r="E316" s="33"/>
      <c r="F316" s="33"/>
      <c r="G316" s="85"/>
      <c r="H316" s="85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33"/>
      <c r="Y316" s="33"/>
      <c r="Z316" s="33"/>
      <c r="AA316" s="33"/>
      <c r="AB316" s="33"/>
      <c r="AC316" s="33"/>
      <c r="AD316" s="33"/>
      <c r="AE316" s="33"/>
      <c r="AF316" s="33"/>
      <c r="AG316" s="33"/>
      <c r="AH316" s="33"/>
      <c r="AI316" s="33"/>
      <c r="AJ316" s="33"/>
      <c r="AK316" s="33"/>
      <c r="AL316" s="33"/>
      <c r="AM316" s="33"/>
      <c r="AN316" s="33"/>
      <c r="AO316" s="33"/>
      <c r="AP316" s="33"/>
      <c r="AQ316" s="33"/>
      <c r="AR316" s="33"/>
      <c r="AS316" s="33"/>
      <c r="AT316" s="33"/>
      <c r="AU316" s="33"/>
      <c r="AV316" s="33"/>
      <c r="AW316" s="33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  <c r="BU316" s="33"/>
      <c r="BV316" s="33"/>
      <c r="BW316" s="33"/>
      <c r="BX316" s="33"/>
      <c r="BY316" s="33"/>
      <c r="BZ316" s="33"/>
      <c r="CA316" s="33"/>
      <c r="CB316" s="33"/>
      <c r="CC316" s="33"/>
      <c r="CD316" s="33"/>
      <c r="CE316" s="33"/>
      <c r="CF316" s="33"/>
      <c r="CG316" s="33"/>
      <c r="CH316" s="33"/>
      <c r="CI316" s="33"/>
      <c r="CJ316" s="33"/>
      <c r="CK316" s="33"/>
      <c r="CL316" s="33"/>
      <c r="CM316" s="33"/>
      <c r="CN316" s="33"/>
      <c r="CO316" s="33"/>
      <c r="CP316" s="33"/>
      <c r="CQ316" s="33"/>
      <c r="CR316" s="33"/>
      <c r="CS316" s="33"/>
      <c r="CT316" s="33"/>
      <c r="CU316" s="33"/>
      <c r="CV316" s="33"/>
      <c r="CW316" s="33"/>
      <c r="CX316" s="33"/>
      <c r="CY316" s="33"/>
      <c r="CZ316" s="33"/>
      <c r="DA316" s="33"/>
      <c r="DB316" s="33"/>
      <c r="DC316" s="33"/>
      <c r="DD316" s="33"/>
      <c r="DE316" s="33"/>
      <c r="DF316" s="33"/>
      <c r="DG316" s="33"/>
      <c r="DH316" s="33"/>
      <c r="DI316" s="33"/>
      <c r="DJ316" s="33"/>
      <c r="DK316" s="33"/>
      <c r="DL316" s="33"/>
      <c r="DM316" s="33"/>
      <c r="DN316" s="33"/>
      <c r="DO316" s="33"/>
      <c r="DP316" s="33"/>
      <c r="DQ316" s="33"/>
      <c r="DR316" s="33"/>
      <c r="DS316" s="33"/>
      <c r="DT316" s="33"/>
      <c r="DU316" s="33"/>
      <c r="DV316" s="33"/>
      <c r="DW316" s="33"/>
      <c r="DX316" s="33"/>
      <c r="DY316" s="33"/>
      <c r="DZ316" s="33"/>
      <c r="EA316" s="33"/>
      <c r="EB316" s="33"/>
      <c r="EC316" s="33"/>
      <c r="ED316" s="33"/>
      <c r="EE316" s="33"/>
      <c r="EF316" s="33"/>
      <c r="EG316" s="33"/>
      <c r="EH316" s="33"/>
      <c r="EI316" s="33"/>
      <c r="EJ316" s="33"/>
      <c r="EK316" s="33"/>
      <c r="EL316" s="33"/>
      <c r="EM316" s="33"/>
      <c r="EN316" s="33"/>
      <c r="EO316" s="33"/>
      <c r="EP316" s="33"/>
      <c r="EQ316" s="33"/>
      <c r="ER316" s="33"/>
      <c r="ES316" s="33"/>
    </row>
    <row r="317">
      <c r="A317" s="33"/>
      <c r="B317" s="33"/>
      <c r="C317" s="33"/>
      <c r="D317" s="33"/>
      <c r="E317" s="33"/>
      <c r="F317" s="33"/>
      <c r="G317" s="85"/>
      <c r="H317" s="85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3"/>
      <c r="AC317" s="33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3"/>
      <c r="AP317" s="33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3"/>
      <c r="CC317" s="33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3"/>
      <c r="CP317" s="33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3"/>
      <c r="DC317" s="33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3"/>
      <c r="DP317" s="33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3"/>
      <c r="EC317" s="33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3"/>
      <c r="EP317" s="33"/>
      <c r="EQ317" s="33"/>
      <c r="ER317" s="33"/>
      <c r="ES317" s="33"/>
    </row>
    <row r="318">
      <c r="A318" s="33"/>
      <c r="B318" s="33"/>
      <c r="C318" s="33"/>
      <c r="D318" s="33"/>
      <c r="E318" s="33"/>
      <c r="F318" s="33"/>
      <c r="G318" s="85"/>
      <c r="H318" s="85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  <c r="Z318" s="33"/>
      <c r="AA318" s="33"/>
      <c r="AB318" s="33"/>
      <c r="AC318" s="33"/>
      <c r="AD318" s="33"/>
      <c r="AE318" s="33"/>
      <c r="AF318" s="33"/>
      <c r="AG318" s="33"/>
      <c r="AH318" s="33"/>
      <c r="AI318" s="33"/>
      <c r="AJ318" s="33"/>
      <c r="AK318" s="33"/>
      <c r="AL318" s="33"/>
      <c r="AM318" s="33"/>
      <c r="AN318" s="33"/>
      <c r="AO318" s="33"/>
      <c r="AP318" s="33"/>
      <c r="AQ318" s="33"/>
      <c r="AR318" s="33"/>
      <c r="AS318" s="33"/>
      <c r="AT318" s="33"/>
      <c r="AU318" s="33"/>
      <c r="AV318" s="33"/>
      <c r="AW318" s="33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  <c r="BU318" s="33"/>
      <c r="BV318" s="33"/>
      <c r="BW318" s="33"/>
      <c r="BX318" s="33"/>
      <c r="BY318" s="33"/>
      <c r="BZ318" s="33"/>
      <c r="CA318" s="33"/>
      <c r="CB318" s="33"/>
      <c r="CC318" s="33"/>
      <c r="CD318" s="33"/>
      <c r="CE318" s="33"/>
      <c r="CF318" s="33"/>
      <c r="CG318" s="33"/>
      <c r="CH318" s="33"/>
      <c r="CI318" s="33"/>
      <c r="CJ318" s="33"/>
      <c r="CK318" s="33"/>
      <c r="CL318" s="33"/>
      <c r="CM318" s="33"/>
      <c r="CN318" s="33"/>
      <c r="CO318" s="33"/>
      <c r="CP318" s="33"/>
      <c r="CQ318" s="33"/>
      <c r="CR318" s="33"/>
      <c r="CS318" s="33"/>
      <c r="CT318" s="33"/>
      <c r="CU318" s="33"/>
      <c r="CV318" s="33"/>
      <c r="CW318" s="33"/>
      <c r="CX318" s="33"/>
      <c r="CY318" s="33"/>
      <c r="CZ318" s="33"/>
      <c r="DA318" s="33"/>
      <c r="DB318" s="33"/>
      <c r="DC318" s="33"/>
      <c r="DD318" s="33"/>
      <c r="DE318" s="33"/>
      <c r="DF318" s="33"/>
      <c r="DG318" s="33"/>
      <c r="DH318" s="33"/>
      <c r="DI318" s="33"/>
      <c r="DJ318" s="33"/>
      <c r="DK318" s="33"/>
      <c r="DL318" s="33"/>
      <c r="DM318" s="33"/>
      <c r="DN318" s="33"/>
      <c r="DO318" s="33"/>
      <c r="DP318" s="33"/>
      <c r="DQ318" s="33"/>
      <c r="DR318" s="33"/>
      <c r="DS318" s="33"/>
      <c r="DT318" s="33"/>
      <c r="DU318" s="33"/>
      <c r="DV318" s="33"/>
      <c r="DW318" s="33"/>
      <c r="DX318" s="33"/>
      <c r="DY318" s="33"/>
      <c r="DZ318" s="33"/>
      <c r="EA318" s="33"/>
      <c r="EB318" s="33"/>
      <c r="EC318" s="33"/>
      <c r="ED318" s="33"/>
      <c r="EE318" s="33"/>
      <c r="EF318" s="33"/>
      <c r="EG318" s="33"/>
      <c r="EH318" s="33"/>
      <c r="EI318" s="33"/>
      <c r="EJ318" s="33"/>
      <c r="EK318" s="33"/>
      <c r="EL318" s="33"/>
      <c r="EM318" s="33"/>
      <c r="EN318" s="33"/>
      <c r="EO318" s="33"/>
      <c r="EP318" s="33"/>
      <c r="EQ318" s="33"/>
      <c r="ER318" s="33"/>
      <c r="ES318" s="33"/>
    </row>
    <row r="319">
      <c r="A319" s="33"/>
      <c r="B319" s="33"/>
      <c r="C319" s="33"/>
      <c r="D319" s="33"/>
      <c r="E319" s="33"/>
      <c r="F319" s="33"/>
      <c r="G319" s="85"/>
      <c r="H319" s="85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3"/>
      <c r="AC319" s="33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3"/>
      <c r="AP319" s="33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3"/>
      <c r="CC319" s="33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3"/>
      <c r="CP319" s="33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3"/>
      <c r="DC319" s="33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3"/>
      <c r="DP319" s="33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3"/>
      <c r="EC319" s="33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3"/>
      <c r="EP319" s="33"/>
      <c r="EQ319" s="33"/>
      <c r="ER319" s="33"/>
      <c r="ES319" s="33"/>
    </row>
    <row r="320">
      <c r="A320" s="33"/>
      <c r="B320" s="33"/>
      <c r="C320" s="33"/>
      <c r="D320" s="33"/>
      <c r="E320" s="33"/>
      <c r="F320" s="33"/>
      <c r="G320" s="85"/>
      <c r="H320" s="85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  <c r="Z320" s="33"/>
      <c r="AA320" s="33"/>
      <c r="AB320" s="33"/>
      <c r="AC320" s="33"/>
      <c r="AD320" s="33"/>
      <c r="AE320" s="33"/>
      <c r="AF320" s="33"/>
      <c r="AG320" s="33"/>
      <c r="AH320" s="33"/>
      <c r="AI320" s="33"/>
      <c r="AJ320" s="33"/>
      <c r="AK320" s="33"/>
      <c r="AL320" s="33"/>
      <c r="AM320" s="33"/>
      <c r="AN320" s="33"/>
      <c r="AO320" s="33"/>
      <c r="AP320" s="33"/>
      <c r="AQ320" s="33"/>
      <c r="AR320" s="33"/>
      <c r="AS320" s="33"/>
      <c r="AT320" s="33"/>
      <c r="AU320" s="33"/>
      <c r="AV320" s="33"/>
      <c r="AW320" s="33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  <c r="BU320" s="33"/>
      <c r="BV320" s="33"/>
      <c r="BW320" s="33"/>
      <c r="BX320" s="33"/>
      <c r="BY320" s="33"/>
      <c r="BZ320" s="33"/>
      <c r="CA320" s="33"/>
      <c r="CB320" s="33"/>
      <c r="CC320" s="33"/>
      <c r="CD320" s="33"/>
      <c r="CE320" s="33"/>
      <c r="CF320" s="33"/>
      <c r="CG320" s="33"/>
      <c r="CH320" s="33"/>
      <c r="CI320" s="33"/>
      <c r="CJ320" s="33"/>
      <c r="CK320" s="33"/>
      <c r="CL320" s="33"/>
      <c r="CM320" s="33"/>
      <c r="CN320" s="33"/>
      <c r="CO320" s="33"/>
      <c r="CP320" s="33"/>
      <c r="CQ320" s="33"/>
      <c r="CR320" s="33"/>
      <c r="CS320" s="33"/>
      <c r="CT320" s="33"/>
      <c r="CU320" s="33"/>
      <c r="CV320" s="33"/>
      <c r="CW320" s="33"/>
      <c r="CX320" s="33"/>
      <c r="CY320" s="33"/>
      <c r="CZ320" s="33"/>
      <c r="DA320" s="33"/>
      <c r="DB320" s="33"/>
      <c r="DC320" s="33"/>
      <c r="DD320" s="33"/>
      <c r="DE320" s="33"/>
      <c r="DF320" s="33"/>
      <c r="DG320" s="33"/>
      <c r="DH320" s="33"/>
      <c r="DI320" s="33"/>
      <c r="DJ320" s="33"/>
      <c r="DK320" s="33"/>
      <c r="DL320" s="33"/>
      <c r="DM320" s="33"/>
      <c r="DN320" s="33"/>
      <c r="DO320" s="33"/>
      <c r="DP320" s="33"/>
      <c r="DQ320" s="33"/>
      <c r="DR320" s="33"/>
      <c r="DS320" s="33"/>
      <c r="DT320" s="33"/>
      <c r="DU320" s="33"/>
      <c r="DV320" s="33"/>
      <c r="DW320" s="33"/>
      <c r="DX320" s="33"/>
      <c r="DY320" s="33"/>
      <c r="DZ320" s="33"/>
      <c r="EA320" s="33"/>
      <c r="EB320" s="33"/>
      <c r="EC320" s="33"/>
      <c r="ED320" s="33"/>
      <c r="EE320" s="33"/>
      <c r="EF320" s="33"/>
      <c r="EG320" s="33"/>
      <c r="EH320" s="33"/>
      <c r="EI320" s="33"/>
      <c r="EJ320" s="33"/>
      <c r="EK320" s="33"/>
      <c r="EL320" s="33"/>
      <c r="EM320" s="33"/>
      <c r="EN320" s="33"/>
      <c r="EO320" s="33"/>
      <c r="EP320" s="33"/>
      <c r="EQ320" s="33"/>
      <c r="ER320" s="33"/>
      <c r="ES320" s="33"/>
    </row>
    <row r="321">
      <c r="A321" s="33"/>
      <c r="B321" s="33"/>
      <c r="C321" s="33"/>
      <c r="D321" s="33"/>
      <c r="E321" s="33"/>
      <c r="F321" s="33"/>
      <c r="G321" s="85"/>
      <c r="H321" s="85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3"/>
      <c r="AC321" s="33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3"/>
      <c r="AP321" s="33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3"/>
      <c r="CC321" s="33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3"/>
      <c r="CP321" s="33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3"/>
      <c r="DC321" s="33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3"/>
      <c r="DP321" s="33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3"/>
      <c r="EC321" s="33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3"/>
      <c r="EP321" s="33"/>
      <c r="EQ321" s="33"/>
      <c r="ER321" s="33"/>
      <c r="ES321" s="33"/>
    </row>
    <row r="322">
      <c r="A322" s="33"/>
      <c r="B322" s="33"/>
      <c r="C322" s="33"/>
      <c r="D322" s="33"/>
      <c r="E322" s="33"/>
      <c r="F322" s="33"/>
      <c r="G322" s="85"/>
      <c r="H322" s="85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  <c r="Z322" s="33"/>
      <c r="AA322" s="33"/>
      <c r="AB322" s="33"/>
      <c r="AC322" s="33"/>
      <c r="AD322" s="33"/>
      <c r="AE322" s="33"/>
      <c r="AF322" s="33"/>
      <c r="AG322" s="33"/>
      <c r="AH322" s="33"/>
      <c r="AI322" s="33"/>
      <c r="AJ322" s="33"/>
      <c r="AK322" s="33"/>
      <c r="AL322" s="33"/>
      <c r="AM322" s="33"/>
      <c r="AN322" s="33"/>
      <c r="AO322" s="33"/>
      <c r="AP322" s="33"/>
      <c r="AQ322" s="33"/>
      <c r="AR322" s="33"/>
      <c r="AS322" s="33"/>
      <c r="AT322" s="33"/>
      <c r="AU322" s="33"/>
      <c r="AV322" s="33"/>
      <c r="AW322" s="33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  <c r="BU322" s="33"/>
      <c r="BV322" s="33"/>
      <c r="BW322" s="33"/>
      <c r="BX322" s="33"/>
      <c r="BY322" s="33"/>
      <c r="BZ322" s="33"/>
      <c r="CA322" s="33"/>
      <c r="CB322" s="33"/>
      <c r="CC322" s="33"/>
      <c r="CD322" s="33"/>
      <c r="CE322" s="33"/>
      <c r="CF322" s="33"/>
      <c r="CG322" s="33"/>
      <c r="CH322" s="33"/>
      <c r="CI322" s="33"/>
      <c r="CJ322" s="33"/>
      <c r="CK322" s="33"/>
      <c r="CL322" s="33"/>
      <c r="CM322" s="33"/>
      <c r="CN322" s="33"/>
      <c r="CO322" s="33"/>
      <c r="CP322" s="33"/>
      <c r="CQ322" s="33"/>
      <c r="CR322" s="33"/>
      <c r="CS322" s="33"/>
      <c r="CT322" s="33"/>
      <c r="CU322" s="33"/>
      <c r="CV322" s="33"/>
      <c r="CW322" s="33"/>
      <c r="CX322" s="33"/>
      <c r="CY322" s="33"/>
      <c r="CZ322" s="33"/>
      <c r="DA322" s="33"/>
      <c r="DB322" s="33"/>
      <c r="DC322" s="33"/>
      <c r="DD322" s="33"/>
      <c r="DE322" s="33"/>
      <c r="DF322" s="33"/>
      <c r="DG322" s="33"/>
      <c r="DH322" s="33"/>
      <c r="DI322" s="33"/>
      <c r="DJ322" s="33"/>
      <c r="DK322" s="33"/>
      <c r="DL322" s="33"/>
      <c r="DM322" s="33"/>
      <c r="DN322" s="33"/>
      <c r="DO322" s="33"/>
      <c r="DP322" s="33"/>
      <c r="DQ322" s="33"/>
      <c r="DR322" s="33"/>
      <c r="DS322" s="33"/>
      <c r="DT322" s="33"/>
      <c r="DU322" s="33"/>
      <c r="DV322" s="33"/>
      <c r="DW322" s="33"/>
      <c r="DX322" s="33"/>
      <c r="DY322" s="33"/>
      <c r="DZ322" s="33"/>
      <c r="EA322" s="33"/>
      <c r="EB322" s="33"/>
      <c r="EC322" s="33"/>
      <c r="ED322" s="33"/>
      <c r="EE322" s="33"/>
      <c r="EF322" s="33"/>
      <c r="EG322" s="33"/>
      <c r="EH322" s="33"/>
      <c r="EI322" s="33"/>
      <c r="EJ322" s="33"/>
      <c r="EK322" s="33"/>
      <c r="EL322" s="33"/>
      <c r="EM322" s="33"/>
      <c r="EN322" s="33"/>
      <c r="EO322" s="33"/>
      <c r="EP322" s="33"/>
      <c r="EQ322" s="33"/>
      <c r="ER322" s="33"/>
      <c r="ES322" s="33"/>
    </row>
    <row r="323">
      <c r="A323" s="33"/>
      <c r="B323" s="33"/>
      <c r="C323" s="33"/>
      <c r="D323" s="33"/>
      <c r="E323" s="33"/>
      <c r="F323" s="33"/>
      <c r="G323" s="85"/>
      <c r="H323" s="85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3"/>
      <c r="AC323" s="33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3"/>
      <c r="AP323" s="33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3"/>
      <c r="CC323" s="33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3"/>
      <c r="CP323" s="33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3"/>
      <c r="DC323" s="33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3"/>
      <c r="DP323" s="33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3"/>
      <c r="EC323" s="33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3"/>
      <c r="EP323" s="33"/>
      <c r="EQ323" s="33"/>
      <c r="ER323" s="33"/>
      <c r="ES323" s="33"/>
    </row>
    <row r="324">
      <c r="A324" s="33"/>
      <c r="B324" s="33"/>
      <c r="C324" s="33"/>
      <c r="D324" s="33"/>
      <c r="E324" s="33"/>
      <c r="F324" s="33"/>
      <c r="G324" s="85"/>
      <c r="H324" s="85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  <c r="Z324" s="33"/>
      <c r="AA324" s="33"/>
      <c r="AB324" s="33"/>
      <c r="AC324" s="33"/>
      <c r="AD324" s="33"/>
      <c r="AE324" s="33"/>
      <c r="AF324" s="33"/>
      <c r="AG324" s="33"/>
      <c r="AH324" s="33"/>
      <c r="AI324" s="33"/>
      <c r="AJ324" s="33"/>
      <c r="AK324" s="33"/>
      <c r="AL324" s="33"/>
      <c r="AM324" s="33"/>
      <c r="AN324" s="33"/>
      <c r="AO324" s="33"/>
      <c r="AP324" s="33"/>
      <c r="AQ324" s="33"/>
      <c r="AR324" s="33"/>
      <c r="AS324" s="33"/>
      <c r="AT324" s="33"/>
      <c r="AU324" s="33"/>
      <c r="AV324" s="33"/>
      <c r="AW324" s="33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  <c r="BU324" s="33"/>
      <c r="BV324" s="33"/>
      <c r="BW324" s="33"/>
      <c r="BX324" s="33"/>
      <c r="BY324" s="33"/>
      <c r="BZ324" s="33"/>
      <c r="CA324" s="33"/>
      <c r="CB324" s="33"/>
      <c r="CC324" s="33"/>
      <c r="CD324" s="33"/>
      <c r="CE324" s="33"/>
      <c r="CF324" s="33"/>
      <c r="CG324" s="33"/>
      <c r="CH324" s="33"/>
      <c r="CI324" s="33"/>
      <c r="CJ324" s="33"/>
      <c r="CK324" s="33"/>
      <c r="CL324" s="33"/>
      <c r="CM324" s="33"/>
      <c r="CN324" s="33"/>
      <c r="CO324" s="33"/>
      <c r="CP324" s="33"/>
      <c r="CQ324" s="33"/>
      <c r="CR324" s="33"/>
      <c r="CS324" s="33"/>
      <c r="CT324" s="33"/>
      <c r="CU324" s="33"/>
      <c r="CV324" s="33"/>
      <c r="CW324" s="33"/>
      <c r="CX324" s="33"/>
      <c r="CY324" s="33"/>
      <c r="CZ324" s="33"/>
      <c r="DA324" s="33"/>
      <c r="DB324" s="33"/>
      <c r="DC324" s="33"/>
      <c r="DD324" s="33"/>
      <c r="DE324" s="33"/>
      <c r="DF324" s="33"/>
      <c r="DG324" s="33"/>
      <c r="DH324" s="33"/>
      <c r="DI324" s="33"/>
      <c r="DJ324" s="33"/>
      <c r="DK324" s="33"/>
      <c r="DL324" s="33"/>
      <c r="DM324" s="33"/>
      <c r="DN324" s="33"/>
      <c r="DO324" s="33"/>
      <c r="DP324" s="33"/>
      <c r="DQ324" s="33"/>
      <c r="DR324" s="33"/>
      <c r="DS324" s="33"/>
      <c r="DT324" s="33"/>
      <c r="DU324" s="33"/>
      <c r="DV324" s="33"/>
      <c r="DW324" s="33"/>
      <c r="DX324" s="33"/>
      <c r="DY324" s="33"/>
      <c r="DZ324" s="33"/>
      <c r="EA324" s="33"/>
      <c r="EB324" s="33"/>
      <c r="EC324" s="33"/>
      <c r="ED324" s="33"/>
      <c r="EE324" s="33"/>
      <c r="EF324" s="33"/>
      <c r="EG324" s="33"/>
      <c r="EH324" s="33"/>
      <c r="EI324" s="33"/>
      <c r="EJ324" s="33"/>
      <c r="EK324" s="33"/>
      <c r="EL324" s="33"/>
      <c r="EM324" s="33"/>
      <c r="EN324" s="33"/>
      <c r="EO324" s="33"/>
      <c r="EP324" s="33"/>
      <c r="EQ324" s="33"/>
      <c r="ER324" s="33"/>
      <c r="ES324" s="33"/>
    </row>
    <row r="325">
      <c r="A325" s="33"/>
      <c r="B325" s="33"/>
      <c r="C325" s="33"/>
      <c r="D325" s="33"/>
      <c r="E325" s="33"/>
      <c r="F325" s="33"/>
      <c r="G325" s="85"/>
      <c r="H325" s="85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3"/>
      <c r="AC325" s="33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3"/>
      <c r="AP325" s="33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3"/>
      <c r="CC325" s="33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3"/>
      <c r="CP325" s="33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3"/>
      <c r="DC325" s="33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3"/>
      <c r="DP325" s="33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3"/>
      <c r="EC325" s="33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3"/>
      <c r="EP325" s="33"/>
      <c r="EQ325" s="33"/>
      <c r="ER325" s="33"/>
      <c r="ES325" s="33"/>
    </row>
    <row r="326">
      <c r="A326" s="33"/>
      <c r="B326" s="33"/>
      <c r="C326" s="33"/>
      <c r="D326" s="33"/>
      <c r="E326" s="33"/>
      <c r="F326" s="33"/>
      <c r="G326" s="85"/>
      <c r="H326" s="85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  <c r="Z326" s="33"/>
      <c r="AA326" s="33"/>
      <c r="AB326" s="33"/>
      <c r="AC326" s="33"/>
      <c r="AD326" s="33"/>
      <c r="AE326" s="33"/>
      <c r="AF326" s="33"/>
      <c r="AG326" s="33"/>
      <c r="AH326" s="33"/>
      <c r="AI326" s="33"/>
      <c r="AJ326" s="33"/>
      <c r="AK326" s="33"/>
      <c r="AL326" s="33"/>
      <c r="AM326" s="33"/>
      <c r="AN326" s="33"/>
      <c r="AO326" s="33"/>
      <c r="AP326" s="33"/>
      <c r="AQ326" s="33"/>
      <c r="AR326" s="33"/>
      <c r="AS326" s="33"/>
      <c r="AT326" s="33"/>
      <c r="AU326" s="33"/>
      <c r="AV326" s="33"/>
      <c r="AW326" s="33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  <c r="BU326" s="33"/>
      <c r="BV326" s="33"/>
      <c r="BW326" s="33"/>
      <c r="BX326" s="33"/>
      <c r="BY326" s="33"/>
      <c r="BZ326" s="33"/>
      <c r="CA326" s="33"/>
      <c r="CB326" s="33"/>
      <c r="CC326" s="33"/>
      <c r="CD326" s="33"/>
      <c r="CE326" s="33"/>
      <c r="CF326" s="33"/>
      <c r="CG326" s="33"/>
      <c r="CH326" s="33"/>
      <c r="CI326" s="33"/>
      <c r="CJ326" s="33"/>
      <c r="CK326" s="33"/>
      <c r="CL326" s="33"/>
      <c r="CM326" s="33"/>
      <c r="CN326" s="33"/>
      <c r="CO326" s="33"/>
      <c r="CP326" s="33"/>
      <c r="CQ326" s="33"/>
      <c r="CR326" s="33"/>
      <c r="CS326" s="33"/>
      <c r="CT326" s="33"/>
      <c r="CU326" s="33"/>
      <c r="CV326" s="33"/>
      <c r="CW326" s="33"/>
      <c r="CX326" s="33"/>
      <c r="CY326" s="33"/>
      <c r="CZ326" s="33"/>
      <c r="DA326" s="33"/>
      <c r="DB326" s="33"/>
      <c r="DC326" s="33"/>
      <c r="DD326" s="33"/>
      <c r="DE326" s="33"/>
      <c r="DF326" s="33"/>
      <c r="DG326" s="33"/>
      <c r="DH326" s="33"/>
      <c r="DI326" s="33"/>
      <c r="DJ326" s="33"/>
      <c r="DK326" s="33"/>
      <c r="DL326" s="33"/>
      <c r="DM326" s="33"/>
      <c r="DN326" s="33"/>
      <c r="DO326" s="33"/>
      <c r="DP326" s="33"/>
      <c r="DQ326" s="33"/>
      <c r="DR326" s="33"/>
      <c r="DS326" s="33"/>
      <c r="DT326" s="33"/>
      <c r="DU326" s="33"/>
      <c r="DV326" s="33"/>
      <c r="DW326" s="33"/>
      <c r="DX326" s="33"/>
      <c r="DY326" s="33"/>
      <c r="DZ326" s="33"/>
      <c r="EA326" s="33"/>
      <c r="EB326" s="33"/>
      <c r="EC326" s="33"/>
      <c r="ED326" s="33"/>
      <c r="EE326" s="33"/>
      <c r="EF326" s="33"/>
      <c r="EG326" s="33"/>
      <c r="EH326" s="33"/>
      <c r="EI326" s="33"/>
      <c r="EJ326" s="33"/>
      <c r="EK326" s="33"/>
      <c r="EL326" s="33"/>
      <c r="EM326" s="33"/>
      <c r="EN326" s="33"/>
      <c r="EO326" s="33"/>
      <c r="EP326" s="33"/>
      <c r="EQ326" s="33"/>
      <c r="ER326" s="33"/>
      <c r="ES326" s="33"/>
    </row>
    <row r="327">
      <c r="A327" s="33"/>
      <c r="B327" s="33"/>
      <c r="C327" s="33"/>
      <c r="D327" s="33"/>
      <c r="E327" s="33"/>
      <c r="F327" s="33"/>
      <c r="G327" s="85"/>
      <c r="H327" s="85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3"/>
      <c r="AC327" s="33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3"/>
      <c r="AP327" s="33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3"/>
      <c r="CC327" s="33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3"/>
      <c r="CP327" s="33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3"/>
      <c r="DC327" s="33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3"/>
      <c r="DP327" s="33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3"/>
      <c r="EC327" s="33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3"/>
      <c r="EP327" s="33"/>
      <c r="EQ327" s="33"/>
      <c r="ER327" s="33"/>
      <c r="ES327" s="33"/>
    </row>
    <row r="328">
      <c r="A328" s="33"/>
      <c r="B328" s="33"/>
      <c r="C328" s="33"/>
      <c r="D328" s="33"/>
      <c r="E328" s="33"/>
      <c r="F328" s="33"/>
      <c r="G328" s="85"/>
      <c r="H328" s="85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  <c r="Z328" s="33"/>
      <c r="AA328" s="33"/>
      <c r="AB328" s="33"/>
      <c r="AC328" s="33"/>
      <c r="AD328" s="33"/>
      <c r="AE328" s="33"/>
      <c r="AF328" s="33"/>
      <c r="AG328" s="33"/>
      <c r="AH328" s="33"/>
      <c r="AI328" s="33"/>
      <c r="AJ328" s="33"/>
      <c r="AK328" s="33"/>
      <c r="AL328" s="33"/>
      <c r="AM328" s="33"/>
      <c r="AN328" s="33"/>
      <c r="AO328" s="33"/>
      <c r="AP328" s="33"/>
      <c r="AQ328" s="33"/>
      <c r="AR328" s="33"/>
      <c r="AS328" s="33"/>
      <c r="AT328" s="33"/>
      <c r="AU328" s="33"/>
      <c r="AV328" s="33"/>
      <c r="AW328" s="33"/>
      <c r="AX328" s="33"/>
      <c r="AY328" s="33"/>
      <c r="AZ328" s="33"/>
      <c r="BA328" s="33"/>
      <c r="BB328" s="33"/>
      <c r="BC328" s="33"/>
      <c r="BD328" s="33"/>
      <c r="BE328" s="33"/>
      <c r="BF328" s="33"/>
      <c r="BG328" s="33"/>
      <c r="BH328" s="33"/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  <c r="BU328" s="33"/>
      <c r="BV328" s="33"/>
      <c r="BW328" s="33"/>
      <c r="BX328" s="33"/>
      <c r="BY328" s="33"/>
      <c r="BZ328" s="33"/>
      <c r="CA328" s="33"/>
      <c r="CB328" s="33"/>
      <c r="CC328" s="33"/>
      <c r="CD328" s="33"/>
      <c r="CE328" s="33"/>
      <c r="CF328" s="33"/>
      <c r="CG328" s="33"/>
      <c r="CH328" s="33"/>
      <c r="CI328" s="33"/>
      <c r="CJ328" s="33"/>
      <c r="CK328" s="33"/>
      <c r="CL328" s="33"/>
      <c r="CM328" s="33"/>
      <c r="CN328" s="33"/>
      <c r="CO328" s="33"/>
      <c r="CP328" s="33"/>
      <c r="CQ328" s="33"/>
      <c r="CR328" s="33"/>
      <c r="CS328" s="33"/>
      <c r="CT328" s="33"/>
      <c r="CU328" s="33"/>
      <c r="CV328" s="33"/>
      <c r="CW328" s="33"/>
      <c r="CX328" s="33"/>
      <c r="CY328" s="33"/>
      <c r="CZ328" s="33"/>
      <c r="DA328" s="33"/>
      <c r="DB328" s="33"/>
      <c r="DC328" s="33"/>
      <c r="DD328" s="33"/>
      <c r="DE328" s="33"/>
      <c r="DF328" s="33"/>
      <c r="DG328" s="33"/>
      <c r="DH328" s="33"/>
      <c r="DI328" s="33"/>
      <c r="DJ328" s="33"/>
      <c r="DK328" s="33"/>
      <c r="DL328" s="33"/>
      <c r="DM328" s="33"/>
      <c r="DN328" s="33"/>
      <c r="DO328" s="33"/>
      <c r="DP328" s="33"/>
      <c r="DQ328" s="33"/>
      <c r="DR328" s="33"/>
      <c r="DS328" s="33"/>
      <c r="DT328" s="33"/>
      <c r="DU328" s="33"/>
      <c r="DV328" s="33"/>
      <c r="DW328" s="33"/>
      <c r="DX328" s="33"/>
      <c r="DY328" s="33"/>
      <c r="DZ328" s="33"/>
      <c r="EA328" s="33"/>
      <c r="EB328" s="33"/>
      <c r="EC328" s="33"/>
      <c r="ED328" s="33"/>
      <c r="EE328" s="33"/>
      <c r="EF328" s="33"/>
      <c r="EG328" s="33"/>
      <c r="EH328" s="33"/>
      <c r="EI328" s="33"/>
      <c r="EJ328" s="33"/>
      <c r="EK328" s="33"/>
      <c r="EL328" s="33"/>
      <c r="EM328" s="33"/>
      <c r="EN328" s="33"/>
      <c r="EO328" s="33"/>
      <c r="EP328" s="33"/>
      <c r="EQ328" s="33"/>
      <c r="ER328" s="33"/>
      <c r="ES328" s="33"/>
    </row>
    <row r="329">
      <c r="A329" s="33"/>
      <c r="B329" s="33"/>
      <c r="C329" s="33"/>
      <c r="D329" s="33"/>
      <c r="E329" s="33"/>
      <c r="F329" s="33"/>
      <c r="G329" s="85"/>
      <c r="H329" s="85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3"/>
      <c r="AC329" s="33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3"/>
      <c r="AP329" s="33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3"/>
      <c r="BC329" s="33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3"/>
      <c r="CC329" s="33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3"/>
      <c r="CP329" s="33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3"/>
      <c r="DC329" s="33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3"/>
      <c r="DP329" s="33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3"/>
      <c r="EC329" s="33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3"/>
      <c r="EP329" s="33"/>
      <c r="EQ329" s="33"/>
      <c r="ER329" s="33"/>
      <c r="ES329" s="33"/>
    </row>
    <row r="330">
      <c r="A330" s="33"/>
      <c r="B330" s="33"/>
      <c r="C330" s="33"/>
      <c r="D330" s="33"/>
      <c r="E330" s="33"/>
      <c r="F330" s="33"/>
      <c r="G330" s="85"/>
      <c r="H330" s="85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  <c r="Z330" s="33"/>
      <c r="AA330" s="33"/>
      <c r="AB330" s="33"/>
      <c r="AC330" s="33"/>
      <c r="AD330" s="33"/>
      <c r="AE330" s="33"/>
      <c r="AF330" s="33"/>
      <c r="AG330" s="33"/>
      <c r="AH330" s="33"/>
      <c r="AI330" s="33"/>
      <c r="AJ330" s="33"/>
      <c r="AK330" s="33"/>
      <c r="AL330" s="33"/>
      <c r="AM330" s="33"/>
      <c r="AN330" s="33"/>
      <c r="AO330" s="33"/>
      <c r="AP330" s="33"/>
      <c r="AQ330" s="33"/>
      <c r="AR330" s="33"/>
      <c r="AS330" s="33"/>
      <c r="AT330" s="33"/>
      <c r="AU330" s="33"/>
      <c r="AV330" s="33"/>
      <c r="AW330" s="33"/>
      <c r="AX330" s="33"/>
      <c r="AY330" s="33"/>
      <c r="AZ330" s="33"/>
      <c r="BA330" s="33"/>
      <c r="BB330" s="33"/>
      <c r="BC330" s="33"/>
      <c r="BD330" s="33"/>
      <c r="BE330" s="33"/>
      <c r="BF330" s="33"/>
      <c r="BG330" s="33"/>
      <c r="BH330" s="33"/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  <c r="BU330" s="33"/>
      <c r="BV330" s="33"/>
      <c r="BW330" s="33"/>
      <c r="BX330" s="33"/>
      <c r="BY330" s="33"/>
      <c r="BZ330" s="33"/>
      <c r="CA330" s="33"/>
      <c r="CB330" s="33"/>
      <c r="CC330" s="33"/>
      <c r="CD330" s="33"/>
      <c r="CE330" s="33"/>
      <c r="CF330" s="33"/>
      <c r="CG330" s="33"/>
      <c r="CH330" s="33"/>
      <c r="CI330" s="33"/>
      <c r="CJ330" s="33"/>
      <c r="CK330" s="33"/>
      <c r="CL330" s="33"/>
      <c r="CM330" s="33"/>
      <c r="CN330" s="33"/>
      <c r="CO330" s="33"/>
      <c r="CP330" s="33"/>
      <c r="CQ330" s="33"/>
      <c r="CR330" s="33"/>
      <c r="CS330" s="33"/>
      <c r="CT330" s="33"/>
      <c r="CU330" s="33"/>
      <c r="CV330" s="33"/>
      <c r="CW330" s="33"/>
      <c r="CX330" s="33"/>
      <c r="CY330" s="33"/>
      <c r="CZ330" s="33"/>
      <c r="DA330" s="33"/>
      <c r="DB330" s="33"/>
      <c r="DC330" s="33"/>
      <c r="DD330" s="33"/>
      <c r="DE330" s="33"/>
      <c r="DF330" s="33"/>
      <c r="DG330" s="33"/>
      <c r="DH330" s="33"/>
      <c r="DI330" s="33"/>
      <c r="DJ330" s="33"/>
      <c r="DK330" s="33"/>
      <c r="DL330" s="33"/>
      <c r="DM330" s="33"/>
      <c r="DN330" s="33"/>
      <c r="DO330" s="33"/>
      <c r="DP330" s="33"/>
      <c r="DQ330" s="33"/>
      <c r="DR330" s="33"/>
      <c r="DS330" s="33"/>
      <c r="DT330" s="33"/>
      <c r="DU330" s="33"/>
      <c r="DV330" s="33"/>
      <c r="DW330" s="33"/>
      <c r="DX330" s="33"/>
      <c r="DY330" s="33"/>
      <c r="DZ330" s="33"/>
      <c r="EA330" s="33"/>
      <c r="EB330" s="33"/>
      <c r="EC330" s="33"/>
      <c r="ED330" s="33"/>
      <c r="EE330" s="33"/>
      <c r="EF330" s="33"/>
      <c r="EG330" s="33"/>
      <c r="EH330" s="33"/>
      <c r="EI330" s="33"/>
      <c r="EJ330" s="33"/>
      <c r="EK330" s="33"/>
      <c r="EL330" s="33"/>
      <c r="EM330" s="33"/>
      <c r="EN330" s="33"/>
      <c r="EO330" s="33"/>
      <c r="EP330" s="33"/>
      <c r="EQ330" s="33"/>
      <c r="ER330" s="33"/>
      <c r="ES330" s="33"/>
    </row>
    <row r="331">
      <c r="A331" s="33"/>
      <c r="B331" s="33"/>
      <c r="C331" s="33"/>
      <c r="D331" s="33"/>
      <c r="E331" s="33"/>
      <c r="F331" s="33"/>
      <c r="G331" s="85"/>
      <c r="H331" s="85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3"/>
      <c r="AC331" s="33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3"/>
      <c r="AP331" s="33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3"/>
      <c r="BC331" s="33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3"/>
      <c r="CC331" s="33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3"/>
      <c r="CP331" s="33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3"/>
      <c r="DC331" s="33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3"/>
      <c r="DP331" s="33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3"/>
      <c r="EC331" s="33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3"/>
      <c r="EP331" s="33"/>
      <c r="EQ331" s="33"/>
      <c r="ER331" s="33"/>
      <c r="ES331" s="33"/>
    </row>
    <row r="332">
      <c r="A332" s="33"/>
      <c r="B332" s="33"/>
      <c r="C332" s="33"/>
      <c r="D332" s="33"/>
      <c r="E332" s="33"/>
      <c r="F332" s="33"/>
      <c r="G332" s="85"/>
      <c r="H332" s="85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  <c r="Z332" s="33"/>
      <c r="AA332" s="33"/>
      <c r="AB332" s="33"/>
      <c r="AC332" s="33"/>
      <c r="AD332" s="33"/>
      <c r="AE332" s="33"/>
      <c r="AF332" s="33"/>
      <c r="AG332" s="33"/>
      <c r="AH332" s="33"/>
      <c r="AI332" s="33"/>
      <c r="AJ332" s="33"/>
      <c r="AK332" s="33"/>
      <c r="AL332" s="33"/>
      <c r="AM332" s="33"/>
      <c r="AN332" s="33"/>
      <c r="AO332" s="33"/>
      <c r="AP332" s="33"/>
      <c r="AQ332" s="33"/>
      <c r="AR332" s="33"/>
      <c r="AS332" s="33"/>
      <c r="AT332" s="33"/>
      <c r="AU332" s="33"/>
      <c r="AV332" s="33"/>
      <c r="AW332" s="33"/>
      <c r="AX332" s="33"/>
      <c r="AY332" s="33"/>
      <c r="AZ332" s="33"/>
      <c r="BA332" s="33"/>
      <c r="BB332" s="33"/>
      <c r="BC332" s="33"/>
      <c r="BD332" s="33"/>
      <c r="BE332" s="33"/>
      <c r="BF332" s="33"/>
      <c r="BG332" s="33"/>
      <c r="BH332" s="33"/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  <c r="BU332" s="33"/>
      <c r="BV332" s="33"/>
      <c r="BW332" s="33"/>
      <c r="BX332" s="33"/>
      <c r="BY332" s="33"/>
      <c r="BZ332" s="33"/>
      <c r="CA332" s="33"/>
      <c r="CB332" s="33"/>
      <c r="CC332" s="33"/>
      <c r="CD332" s="33"/>
      <c r="CE332" s="33"/>
      <c r="CF332" s="33"/>
      <c r="CG332" s="33"/>
      <c r="CH332" s="33"/>
      <c r="CI332" s="33"/>
      <c r="CJ332" s="33"/>
      <c r="CK332" s="33"/>
      <c r="CL332" s="33"/>
      <c r="CM332" s="33"/>
      <c r="CN332" s="33"/>
      <c r="CO332" s="33"/>
      <c r="CP332" s="33"/>
      <c r="CQ332" s="33"/>
      <c r="CR332" s="33"/>
      <c r="CS332" s="33"/>
      <c r="CT332" s="33"/>
      <c r="CU332" s="33"/>
      <c r="CV332" s="33"/>
      <c r="CW332" s="33"/>
      <c r="CX332" s="33"/>
      <c r="CY332" s="33"/>
      <c r="CZ332" s="33"/>
      <c r="DA332" s="33"/>
      <c r="DB332" s="33"/>
      <c r="DC332" s="33"/>
      <c r="DD332" s="33"/>
      <c r="DE332" s="33"/>
      <c r="DF332" s="33"/>
      <c r="DG332" s="33"/>
      <c r="DH332" s="33"/>
      <c r="DI332" s="33"/>
      <c r="DJ332" s="33"/>
      <c r="DK332" s="33"/>
      <c r="DL332" s="33"/>
      <c r="DM332" s="33"/>
      <c r="DN332" s="33"/>
      <c r="DO332" s="33"/>
      <c r="DP332" s="33"/>
      <c r="DQ332" s="33"/>
      <c r="DR332" s="33"/>
      <c r="DS332" s="33"/>
      <c r="DT332" s="33"/>
      <c r="DU332" s="33"/>
      <c r="DV332" s="33"/>
      <c r="DW332" s="33"/>
      <c r="DX332" s="33"/>
      <c r="DY332" s="33"/>
      <c r="DZ332" s="33"/>
      <c r="EA332" s="33"/>
      <c r="EB332" s="33"/>
      <c r="EC332" s="33"/>
      <c r="ED332" s="33"/>
      <c r="EE332" s="33"/>
      <c r="EF332" s="33"/>
      <c r="EG332" s="33"/>
      <c r="EH332" s="33"/>
      <c r="EI332" s="33"/>
      <c r="EJ332" s="33"/>
      <c r="EK332" s="33"/>
      <c r="EL332" s="33"/>
      <c r="EM332" s="33"/>
      <c r="EN332" s="33"/>
      <c r="EO332" s="33"/>
      <c r="EP332" s="33"/>
      <c r="EQ332" s="33"/>
      <c r="ER332" s="33"/>
      <c r="ES332" s="33"/>
    </row>
    <row r="333">
      <c r="A333" s="33"/>
      <c r="B333" s="33"/>
      <c r="C333" s="33"/>
      <c r="D333" s="33"/>
      <c r="E333" s="33"/>
      <c r="F333" s="33"/>
      <c r="G333" s="85"/>
      <c r="H333" s="85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3"/>
      <c r="AC333" s="33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3"/>
      <c r="AP333" s="33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3"/>
      <c r="BC333" s="33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3"/>
      <c r="CC333" s="33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3"/>
      <c r="CP333" s="33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3"/>
      <c r="DC333" s="33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3"/>
      <c r="DP333" s="33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3"/>
      <c r="EC333" s="33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3"/>
      <c r="EP333" s="33"/>
      <c r="EQ333" s="33"/>
      <c r="ER333" s="33"/>
      <c r="ES333" s="33"/>
    </row>
    <row r="334">
      <c r="A334" s="33"/>
      <c r="B334" s="33"/>
      <c r="C334" s="33"/>
      <c r="D334" s="33"/>
      <c r="E334" s="33"/>
      <c r="F334" s="33"/>
      <c r="G334" s="85"/>
      <c r="H334" s="85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  <c r="Z334" s="33"/>
      <c r="AA334" s="33"/>
      <c r="AB334" s="33"/>
      <c r="AC334" s="33"/>
      <c r="AD334" s="33"/>
      <c r="AE334" s="33"/>
      <c r="AF334" s="33"/>
      <c r="AG334" s="33"/>
      <c r="AH334" s="33"/>
      <c r="AI334" s="33"/>
      <c r="AJ334" s="33"/>
      <c r="AK334" s="33"/>
      <c r="AL334" s="33"/>
      <c r="AM334" s="33"/>
      <c r="AN334" s="33"/>
      <c r="AO334" s="33"/>
      <c r="AP334" s="33"/>
      <c r="AQ334" s="33"/>
      <c r="AR334" s="33"/>
      <c r="AS334" s="33"/>
      <c r="AT334" s="33"/>
      <c r="AU334" s="33"/>
      <c r="AV334" s="33"/>
      <c r="AW334" s="33"/>
      <c r="AX334" s="33"/>
      <c r="AY334" s="33"/>
      <c r="AZ334" s="33"/>
      <c r="BA334" s="33"/>
      <c r="BB334" s="33"/>
      <c r="BC334" s="33"/>
      <c r="BD334" s="33"/>
      <c r="BE334" s="33"/>
      <c r="BF334" s="33"/>
      <c r="BG334" s="33"/>
      <c r="BH334" s="33"/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  <c r="BU334" s="33"/>
      <c r="BV334" s="33"/>
      <c r="BW334" s="33"/>
      <c r="BX334" s="33"/>
      <c r="BY334" s="33"/>
      <c r="BZ334" s="33"/>
      <c r="CA334" s="33"/>
      <c r="CB334" s="33"/>
      <c r="CC334" s="33"/>
      <c r="CD334" s="33"/>
      <c r="CE334" s="33"/>
      <c r="CF334" s="33"/>
      <c r="CG334" s="33"/>
      <c r="CH334" s="33"/>
      <c r="CI334" s="33"/>
      <c r="CJ334" s="33"/>
      <c r="CK334" s="33"/>
      <c r="CL334" s="33"/>
      <c r="CM334" s="33"/>
      <c r="CN334" s="33"/>
      <c r="CO334" s="33"/>
      <c r="CP334" s="33"/>
      <c r="CQ334" s="33"/>
      <c r="CR334" s="33"/>
      <c r="CS334" s="33"/>
      <c r="CT334" s="33"/>
      <c r="CU334" s="33"/>
      <c r="CV334" s="33"/>
      <c r="CW334" s="33"/>
      <c r="CX334" s="33"/>
      <c r="CY334" s="33"/>
      <c r="CZ334" s="33"/>
      <c r="DA334" s="33"/>
      <c r="DB334" s="33"/>
      <c r="DC334" s="33"/>
      <c r="DD334" s="33"/>
      <c r="DE334" s="33"/>
      <c r="DF334" s="33"/>
      <c r="DG334" s="33"/>
      <c r="DH334" s="33"/>
      <c r="DI334" s="33"/>
      <c r="DJ334" s="33"/>
      <c r="DK334" s="33"/>
      <c r="DL334" s="33"/>
      <c r="DM334" s="33"/>
      <c r="DN334" s="33"/>
      <c r="DO334" s="33"/>
      <c r="DP334" s="33"/>
      <c r="DQ334" s="33"/>
      <c r="DR334" s="33"/>
      <c r="DS334" s="33"/>
      <c r="DT334" s="33"/>
      <c r="DU334" s="33"/>
      <c r="DV334" s="33"/>
      <c r="DW334" s="33"/>
      <c r="DX334" s="33"/>
      <c r="DY334" s="33"/>
      <c r="DZ334" s="33"/>
      <c r="EA334" s="33"/>
      <c r="EB334" s="33"/>
      <c r="EC334" s="33"/>
      <c r="ED334" s="33"/>
      <c r="EE334" s="33"/>
      <c r="EF334" s="33"/>
      <c r="EG334" s="33"/>
      <c r="EH334" s="33"/>
      <c r="EI334" s="33"/>
      <c r="EJ334" s="33"/>
      <c r="EK334" s="33"/>
      <c r="EL334" s="33"/>
      <c r="EM334" s="33"/>
      <c r="EN334" s="33"/>
      <c r="EO334" s="33"/>
      <c r="EP334" s="33"/>
      <c r="EQ334" s="33"/>
      <c r="ER334" s="33"/>
      <c r="ES334" s="33"/>
    </row>
    <row r="335">
      <c r="A335" s="33"/>
      <c r="B335" s="33"/>
      <c r="C335" s="33"/>
      <c r="D335" s="33"/>
      <c r="E335" s="33"/>
      <c r="F335" s="33"/>
      <c r="G335" s="85"/>
      <c r="H335" s="85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3"/>
      <c r="AC335" s="33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3"/>
      <c r="AP335" s="33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3"/>
      <c r="BC335" s="33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3"/>
      <c r="CC335" s="33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3"/>
      <c r="CP335" s="33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3"/>
      <c r="DC335" s="33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3"/>
      <c r="DP335" s="33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3"/>
      <c r="EC335" s="33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3"/>
      <c r="EP335" s="33"/>
      <c r="EQ335" s="33"/>
      <c r="ER335" s="33"/>
      <c r="ES335" s="33"/>
    </row>
    <row r="336">
      <c r="A336" s="33"/>
      <c r="B336" s="33"/>
      <c r="C336" s="33"/>
      <c r="D336" s="33"/>
      <c r="E336" s="33"/>
      <c r="F336" s="33"/>
      <c r="G336" s="85"/>
      <c r="H336" s="85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  <c r="Z336" s="33"/>
      <c r="AA336" s="33"/>
      <c r="AB336" s="33"/>
      <c r="AC336" s="33"/>
      <c r="AD336" s="33"/>
      <c r="AE336" s="33"/>
      <c r="AF336" s="33"/>
      <c r="AG336" s="33"/>
      <c r="AH336" s="33"/>
      <c r="AI336" s="33"/>
      <c r="AJ336" s="33"/>
      <c r="AK336" s="33"/>
      <c r="AL336" s="33"/>
      <c r="AM336" s="33"/>
      <c r="AN336" s="33"/>
      <c r="AO336" s="33"/>
      <c r="AP336" s="33"/>
      <c r="AQ336" s="33"/>
      <c r="AR336" s="33"/>
      <c r="AS336" s="33"/>
      <c r="AT336" s="33"/>
      <c r="AU336" s="33"/>
      <c r="AV336" s="33"/>
      <c r="AW336" s="33"/>
      <c r="AX336" s="33"/>
      <c r="AY336" s="33"/>
      <c r="AZ336" s="33"/>
      <c r="BA336" s="33"/>
      <c r="BB336" s="33"/>
      <c r="BC336" s="33"/>
      <c r="BD336" s="33"/>
      <c r="BE336" s="33"/>
      <c r="BF336" s="33"/>
      <c r="BG336" s="33"/>
      <c r="BH336" s="33"/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  <c r="BU336" s="33"/>
      <c r="BV336" s="33"/>
      <c r="BW336" s="33"/>
      <c r="BX336" s="33"/>
      <c r="BY336" s="33"/>
      <c r="BZ336" s="33"/>
      <c r="CA336" s="33"/>
      <c r="CB336" s="33"/>
      <c r="CC336" s="33"/>
      <c r="CD336" s="33"/>
      <c r="CE336" s="33"/>
      <c r="CF336" s="33"/>
      <c r="CG336" s="33"/>
      <c r="CH336" s="33"/>
      <c r="CI336" s="33"/>
      <c r="CJ336" s="33"/>
      <c r="CK336" s="33"/>
      <c r="CL336" s="33"/>
      <c r="CM336" s="33"/>
      <c r="CN336" s="33"/>
      <c r="CO336" s="33"/>
      <c r="CP336" s="33"/>
      <c r="CQ336" s="33"/>
      <c r="CR336" s="33"/>
      <c r="CS336" s="33"/>
      <c r="CT336" s="33"/>
      <c r="CU336" s="33"/>
      <c r="CV336" s="33"/>
      <c r="CW336" s="33"/>
      <c r="CX336" s="33"/>
      <c r="CY336" s="33"/>
      <c r="CZ336" s="33"/>
      <c r="DA336" s="33"/>
      <c r="DB336" s="33"/>
      <c r="DC336" s="33"/>
      <c r="DD336" s="33"/>
      <c r="DE336" s="33"/>
      <c r="DF336" s="33"/>
      <c r="DG336" s="33"/>
      <c r="DH336" s="33"/>
      <c r="DI336" s="33"/>
      <c r="DJ336" s="33"/>
      <c r="DK336" s="33"/>
      <c r="DL336" s="33"/>
      <c r="DM336" s="33"/>
      <c r="DN336" s="33"/>
      <c r="DO336" s="33"/>
      <c r="DP336" s="33"/>
      <c r="DQ336" s="33"/>
      <c r="DR336" s="33"/>
      <c r="DS336" s="33"/>
      <c r="DT336" s="33"/>
      <c r="DU336" s="33"/>
      <c r="DV336" s="33"/>
      <c r="DW336" s="33"/>
      <c r="DX336" s="33"/>
      <c r="DY336" s="33"/>
      <c r="DZ336" s="33"/>
      <c r="EA336" s="33"/>
      <c r="EB336" s="33"/>
      <c r="EC336" s="33"/>
      <c r="ED336" s="33"/>
      <c r="EE336" s="33"/>
      <c r="EF336" s="33"/>
      <c r="EG336" s="33"/>
      <c r="EH336" s="33"/>
      <c r="EI336" s="33"/>
      <c r="EJ336" s="33"/>
      <c r="EK336" s="33"/>
      <c r="EL336" s="33"/>
      <c r="EM336" s="33"/>
      <c r="EN336" s="33"/>
      <c r="EO336" s="33"/>
      <c r="EP336" s="33"/>
      <c r="EQ336" s="33"/>
      <c r="ER336" s="33"/>
      <c r="ES336" s="33"/>
    </row>
    <row r="337">
      <c r="A337" s="33"/>
      <c r="B337" s="33"/>
      <c r="C337" s="33"/>
      <c r="D337" s="33"/>
      <c r="E337" s="33"/>
      <c r="F337" s="33"/>
      <c r="G337" s="85"/>
      <c r="H337" s="85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3"/>
      <c r="AC337" s="33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3"/>
      <c r="AP337" s="33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3"/>
      <c r="BC337" s="33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3"/>
      <c r="CC337" s="33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3"/>
      <c r="CP337" s="33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3"/>
      <c r="DC337" s="33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3"/>
      <c r="DP337" s="33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3"/>
      <c r="EC337" s="33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3"/>
      <c r="EP337" s="33"/>
      <c r="EQ337" s="33"/>
      <c r="ER337" s="33"/>
      <c r="ES337" s="33"/>
    </row>
    <row r="338">
      <c r="A338" s="33"/>
      <c r="B338" s="33"/>
      <c r="C338" s="33"/>
      <c r="D338" s="33"/>
      <c r="E338" s="33"/>
      <c r="F338" s="33"/>
      <c r="G338" s="85"/>
      <c r="H338" s="85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  <c r="Z338" s="33"/>
      <c r="AA338" s="33"/>
      <c r="AB338" s="33"/>
      <c r="AC338" s="33"/>
      <c r="AD338" s="33"/>
      <c r="AE338" s="33"/>
      <c r="AF338" s="33"/>
      <c r="AG338" s="33"/>
      <c r="AH338" s="33"/>
      <c r="AI338" s="33"/>
      <c r="AJ338" s="33"/>
      <c r="AK338" s="33"/>
      <c r="AL338" s="33"/>
      <c r="AM338" s="33"/>
      <c r="AN338" s="33"/>
      <c r="AO338" s="33"/>
      <c r="AP338" s="33"/>
      <c r="AQ338" s="33"/>
      <c r="AR338" s="33"/>
      <c r="AS338" s="33"/>
      <c r="AT338" s="33"/>
      <c r="AU338" s="33"/>
      <c r="AV338" s="33"/>
      <c r="AW338" s="33"/>
      <c r="AX338" s="33"/>
      <c r="AY338" s="33"/>
      <c r="AZ338" s="33"/>
      <c r="BA338" s="33"/>
      <c r="BB338" s="33"/>
      <c r="BC338" s="33"/>
      <c r="BD338" s="33"/>
      <c r="BE338" s="33"/>
      <c r="BF338" s="33"/>
      <c r="BG338" s="33"/>
      <c r="BH338" s="33"/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  <c r="BU338" s="33"/>
      <c r="BV338" s="33"/>
      <c r="BW338" s="33"/>
      <c r="BX338" s="33"/>
      <c r="BY338" s="33"/>
      <c r="BZ338" s="33"/>
      <c r="CA338" s="33"/>
      <c r="CB338" s="33"/>
      <c r="CC338" s="33"/>
      <c r="CD338" s="33"/>
      <c r="CE338" s="33"/>
      <c r="CF338" s="33"/>
      <c r="CG338" s="33"/>
      <c r="CH338" s="33"/>
      <c r="CI338" s="33"/>
      <c r="CJ338" s="33"/>
      <c r="CK338" s="33"/>
      <c r="CL338" s="33"/>
      <c r="CM338" s="33"/>
      <c r="CN338" s="33"/>
      <c r="CO338" s="33"/>
      <c r="CP338" s="33"/>
      <c r="CQ338" s="33"/>
      <c r="CR338" s="33"/>
      <c r="CS338" s="33"/>
      <c r="CT338" s="33"/>
      <c r="CU338" s="33"/>
      <c r="CV338" s="33"/>
      <c r="CW338" s="33"/>
      <c r="CX338" s="33"/>
      <c r="CY338" s="33"/>
      <c r="CZ338" s="33"/>
      <c r="DA338" s="33"/>
      <c r="DB338" s="33"/>
      <c r="DC338" s="33"/>
      <c r="DD338" s="33"/>
      <c r="DE338" s="33"/>
      <c r="DF338" s="33"/>
      <c r="DG338" s="33"/>
      <c r="DH338" s="33"/>
      <c r="DI338" s="33"/>
      <c r="DJ338" s="33"/>
      <c r="DK338" s="33"/>
      <c r="DL338" s="33"/>
      <c r="DM338" s="33"/>
      <c r="DN338" s="33"/>
      <c r="DO338" s="33"/>
      <c r="DP338" s="33"/>
      <c r="DQ338" s="33"/>
      <c r="DR338" s="33"/>
      <c r="DS338" s="33"/>
      <c r="DT338" s="33"/>
      <c r="DU338" s="33"/>
      <c r="DV338" s="33"/>
      <c r="DW338" s="33"/>
      <c r="DX338" s="33"/>
      <c r="DY338" s="33"/>
      <c r="DZ338" s="33"/>
      <c r="EA338" s="33"/>
      <c r="EB338" s="33"/>
      <c r="EC338" s="33"/>
      <c r="ED338" s="33"/>
      <c r="EE338" s="33"/>
      <c r="EF338" s="33"/>
      <c r="EG338" s="33"/>
      <c r="EH338" s="33"/>
      <c r="EI338" s="33"/>
      <c r="EJ338" s="33"/>
      <c r="EK338" s="33"/>
      <c r="EL338" s="33"/>
      <c r="EM338" s="33"/>
      <c r="EN338" s="33"/>
      <c r="EO338" s="33"/>
      <c r="EP338" s="33"/>
      <c r="EQ338" s="33"/>
      <c r="ER338" s="33"/>
      <c r="ES338" s="33"/>
    </row>
    <row r="339">
      <c r="A339" s="33"/>
      <c r="B339" s="33"/>
      <c r="C339" s="33"/>
      <c r="D339" s="33"/>
      <c r="E339" s="33"/>
      <c r="F339" s="33"/>
      <c r="G339" s="85"/>
      <c r="H339" s="85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3"/>
      <c r="AC339" s="33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3"/>
      <c r="AP339" s="33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3"/>
      <c r="CC339" s="33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3"/>
      <c r="CP339" s="33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3"/>
      <c r="DC339" s="33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3"/>
      <c r="DP339" s="33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3"/>
      <c r="EC339" s="33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3"/>
      <c r="EP339" s="33"/>
      <c r="EQ339" s="33"/>
      <c r="ER339" s="33"/>
      <c r="ES339" s="33"/>
    </row>
    <row r="340">
      <c r="A340" s="33"/>
      <c r="B340" s="33"/>
      <c r="C340" s="33"/>
      <c r="D340" s="33"/>
      <c r="E340" s="33"/>
      <c r="F340" s="33"/>
      <c r="G340" s="85"/>
      <c r="H340" s="85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  <c r="Z340" s="33"/>
      <c r="AA340" s="33"/>
      <c r="AB340" s="33"/>
      <c r="AC340" s="33"/>
      <c r="AD340" s="33"/>
      <c r="AE340" s="33"/>
      <c r="AF340" s="33"/>
      <c r="AG340" s="33"/>
      <c r="AH340" s="33"/>
      <c r="AI340" s="33"/>
      <c r="AJ340" s="33"/>
      <c r="AK340" s="33"/>
      <c r="AL340" s="33"/>
      <c r="AM340" s="33"/>
      <c r="AN340" s="33"/>
      <c r="AO340" s="33"/>
      <c r="AP340" s="33"/>
      <c r="AQ340" s="33"/>
      <c r="AR340" s="33"/>
      <c r="AS340" s="33"/>
      <c r="AT340" s="33"/>
      <c r="AU340" s="33"/>
      <c r="AV340" s="33"/>
      <c r="AW340" s="33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  <c r="BU340" s="33"/>
      <c r="BV340" s="33"/>
      <c r="BW340" s="33"/>
      <c r="BX340" s="33"/>
      <c r="BY340" s="33"/>
      <c r="BZ340" s="33"/>
      <c r="CA340" s="33"/>
      <c r="CB340" s="33"/>
      <c r="CC340" s="33"/>
      <c r="CD340" s="33"/>
      <c r="CE340" s="33"/>
      <c r="CF340" s="33"/>
      <c r="CG340" s="33"/>
      <c r="CH340" s="33"/>
      <c r="CI340" s="33"/>
      <c r="CJ340" s="33"/>
      <c r="CK340" s="33"/>
      <c r="CL340" s="33"/>
      <c r="CM340" s="33"/>
      <c r="CN340" s="33"/>
      <c r="CO340" s="33"/>
      <c r="CP340" s="33"/>
      <c r="CQ340" s="33"/>
      <c r="CR340" s="33"/>
      <c r="CS340" s="33"/>
      <c r="CT340" s="33"/>
      <c r="CU340" s="33"/>
      <c r="CV340" s="33"/>
      <c r="CW340" s="33"/>
      <c r="CX340" s="33"/>
      <c r="CY340" s="33"/>
      <c r="CZ340" s="33"/>
      <c r="DA340" s="33"/>
      <c r="DB340" s="33"/>
      <c r="DC340" s="33"/>
      <c r="DD340" s="33"/>
      <c r="DE340" s="33"/>
      <c r="DF340" s="33"/>
      <c r="DG340" s="33"/>
      <c r="DH340" s="33"/>
      <c r="DI340" s="33"/>
      <c r="DJ340" s="33"/>
      <c r="DK340" s="33"/>
      <c r="DL340" s="33"/>
      <c r="DM340" s="33"/>
      <c r="DN340" s="33"/>
      <c r="DO340" s="33"/>
      <c r="DP340" s="33"/>
      <c r="DQ340" s="33"/>
      <c r="DR340" s="33"/>
      <c r="DS340" s="33"/>
      <c r="DT340" s="33"/>
      <c r="DU340" s="33"/>
      <c r="DV340" s="33"/>
      <c r="DW340" s="33"/>
      <c r="DX340" s="33"/>
      <c r="DY340" s="33"/>
      <c r="DZ340" s="33"/>
      <c r="EA340" s="33"/>
      <c r="EB340" s="33"/>
      <c r="EC340" s="33"/>
      <c r="ED340" s="33"/>
      <c r="EE340" s="33"/>
      <c r="EF340" s="33"/>
      <c r="EG340" s="33"/>
      <c r="EH340" s="33"/>
      <c r="EI340" s="33"/>
      <c r="EJ340" s="33"/>
      <c r="EK340" s="33"/>
      <c r="EL340" s="33"/>
      <c r="EM340" s="33"/>
      <c r="EN340" s="33"/>
      <c r="EO340" s="33"/>
      <c r="EP340" s="33"/>
      <c r="EQ340" s="33"/>
      <c r="ER340" s="33"/>
      <c r="ES340" s="33"/>
    </row>
    <row r="341">
      <c r="A341" s="33"/>
      <c r="B341" s="33"/>
      <c r="C341" s="33"/>
      <c r="D341" s="33"/>
      <c r="E341" s="33"/>
      <c r="F341" s="33"/>
      <c r="G341" s="85"/>
      <c r="H341" s="85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3"/>
      <c r="AC341" s="33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3"/>
      <c r="AP341" s="33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3"/>
      <c r="CC341" s="33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3"/>
      <c r="CP341" s="33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3"/>
      <c r="DC341" s="33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3"/>
      <c r="DP341" s="33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3"/>
      <c r="EC341" s="33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3"/>
      <c r="EP341" s="33"/>
      <c r="EQ341" s="33"/>
      <c r="ER341" s="33"/>
      <c r="ES341" s="33"/>
    </row>
    <row r="342">
      <c r="A342" s="33"/>
      <c r="B342" s="33"/>
      <c r="C342" s="33"/>
      <c r="D342" s="33"/>
      <c r="E342" s="33"/>
      <c r="F342" s="33"/>
      <c r="G342" s="85"/>
      <c r="H342" s="85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  <c r="Z342" s="33"/>
      <c r="AA342" s="33"/>
      <c r="AB342" s="33"/>
      <c r="AC342" s="33"/>
      <c r="AD342" s="33"/>
      <c r="AE342" s="33"/>
      <c r="AF342" s="33"/>
      <c r="AG342" s="33"/>
      <c r="AH342" s="33"/>
      <c r="AI342" s="33"/>
      <c r="AJ342" s="33"/>
      <c r="AK342" s="33"/>
      <c r="AL342" s="33"/>
      <c r="AM342" s="33"/>
      <c r="AN342" s="33"/>
      <c r="AO342" s="33"/>
      <c r="AP342" s="33"/>
      <c r="AQ342" s="33"/>
      <c r="AR342" s="33"/>
      <c r="AS342" s="33"/>
      <c r="AT342" s="33"/>
      <c r="AU342" s="33"/>
      <c r="AV342" s="33"/>
      <c r="AW342" s="33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  <c r="BU342" s="33"/>
      <c r="BV342" s="33"/>
      <c r="BW342" s="33"/>
      <c r="BX342" s="33"/>
      <c r="BY342" s="33"/>
      <c r="BZ342" s="33"/>
      <c r="CA342" s="33"/>
      <c r="CB342" s="33"/>
      <c r="CC342" s="33"/>
      <c r="CD342" s="33"/>
      <c r="CE342" s="33"/>
      <c r="CF342" s="33"/>
      <c r="CG342" s="33"/>
      <c r="CH342" s="33"/>
      <c r="CI342" s="33"/>
      <c r="CJ342" s="33"/>
      <c r="CK342" s="33"/>
      <c r="CL342" s="33"/>
      <c r="CM342" s="33"/>
      <c r="CN342" s="33"/>
      <c r="CO342" s="33"/>
      <c r="CP342" s="33"/>
      <c r="CQ342" s="33"/>
      <c r="CR342" s="33"/>
      <c r="CS342" s="33"/>
      <c r="CT342" s="33"/>
      <c r="CU342" s="33"/>
      <c r="CV342" s="33"/>
      <c r="CW342" s="33"/>
      <c r="CX342" s="33"/>
      <c r="CY342" s="33"/>
      <c r="CZ342" s="33"/>
      <c r="DA342" s="33"/>
      <c r="DB342" s="33"/>
      <c r="DC342" s="33"/>
      <c r="DD342" s="33"/>
      <c r="DE342" s="33"/>
      <c r="DF342" s="33"/>
      <c r="DG342" s="33"/>
      <c r="DH342" s="33"/>
      <c r="DI342" s="33"/>
      <c r="DJ342" s="33"/>
      <c r="DK342" s="33"/>
      <c r="DL342" s="33"/>
      <c r="DM342" s="33"/>
      <c r="DN342" s="33"/>
      <c r="DO342" s="33"/>
      <c r="DP342" s="33"/>
      <c r="DQ342" s="33"/>
      <c r="DR342" s="33"/>
      <c r="DS342" s="33"/>
      <c r="DT342" s="33"/>
      <c r="DU342" s="33"/>
      <c r="DV342" s="33"/>
      <c r="DW342" s="33"/>
      <c r="DX342" s="33"/>
      <c r="DY342" s="33"/>
      <c r="DZ342" s="33"/>
      <c r="EA342" s="33"/>
      <c r="EB342" s="33"/>
      <c r="EC342" s="33"/>
      <c r="ED342" s="33"/>
      <c r="EE342" s="33"/>
      <c r="EF342" s="33"/>
      <c r="EG342" s="33"/>
      <c r="EH342" s="33"/>
      <c r="EI342" s="33"/>
      <c r="EJ342" s="33"/>
      <c r="EK342" s="33"/>
      <c r="EL342" s="33"/>
      <c r="EM342" s="33"/>
      <c r="EN342" s="33"/>
      <c r="EO342" s="33"/>
      <c r="EP342" s="33"/>
      <c r="EQ342" s="33"/>
      <c r="ER342" s="33"/>
      <c r="ES342" s="33"/>
    </row>
    <row r="343">
      <c r="A343" s="33"/>
      <c r="B343" s="33"/>
      <c r="C343" s="33"/>
      <c r="D343" s="33"/>
      <c r="E343" s="33"/>
      <c r="F343" s="33"/>
      <c r="G343" s="85"/>
      <c r="H343" s="85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3"/>
      <c r="AC343" s="33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3"/>
      <c r="AP343" s="33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3"/>
      <c r="CC343" s="33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3"/>
      <c r="CP343" s="33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3"/>
      <c r="DC343" s="33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3"/>
      <c r="DP343" s="33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3"/>
      <c r="EC343" s="33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3"/>
      <c r="EP343" s="33"/>
      <c r="EQ343" s="33"/>
      <c r="ER343" s="33"/>
      <c r="ES343" s="33"/>
    </row>
    <row r="344">
      <c r="A344" s="33"/>
      <c r="B344" s="33"/>
      <c r="C344" s="33"/>
      <c r="D344" s="33"/>
      <c r="E344" s="33"/>
      <c r="F344" s="33"/>
      <c r="G344" s="85"/>
      <c r="H344" s="85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33"/>
      <c r="Y344" s="33"/>
      <c r="Z344" s="33"/>
      <c r="AA344" s="33"/>
      <c r="AB344" s="33"/>
      <c r="AC344" s="33"/>
      <c r="AD344" s="33"/>
      <c r="AE344" s="33"/>
      <c r="AF344" s="33"/>
      <c r="AG344" s="33"/>
      <c r="AH344" s="33"/>
      <c r="AI344" s="33"/>
      <c r="AJ344" s="33"/>
      <c r="AK344" s="33"/>
      <c r="AL344" s="33"/>
      <c r="AM344" s="33"/>
      <c r="AN344" s="33"/>
      <c r="AO344" s="33"/>
      <c r="AP344" s="33"/>
      <c r="AQ344" s="33"/>
      <c r="AR344" s="33"/>
      <c r="AS344" s="33"/>
      <c r="AT344" s="33"/>
      <c r="AU344" s="33"/>
      <c r="AV344" s="33"/>
      <c r="AW344" s="33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  <c r="BU344" s="33"/>
      <c r="BV344" s="33"/>
      <c r="BW344" s="33"/>
      <c r="BX344" s="33"/>
      <c r="BY344" s="33"/>
      <c r="BZ344" s="33"/>
      <c r="CA344" s="33"/>
      <c r="CB344" s="33"/>
      <c r="CC344" s="33"/>
      <c r="CD344" s="33"/>
      <c r="CE344" s="33"/>
      <c r="CF344" s="33"/>
      <c r="CG344" s="33"/>
      <c r="CH344" s="33"/>
      <c r="CI344" s="33"/>
      <c r="CJ344" s="33"/>
      <c r="CK344" s="33"/>
      <c r="CL344" s="33"/>
      <c r="CM344" s="33"/>
      <c r="CN344" s="33"/>
      <c r="CO344" s="33"/>
      <c r="CP344" s="33"/>
      <c r="CQ344" s="33"/>
      <c r="CR344" s="33"/>
      <c r="CS344" s="33"/>
      <c r="CT344" s="33"/>
      <c r="CU344" s="33"/>
      <c r="CV344" s="33"/>
      <c r="CW344" s="33"/>
      <c r="CX344" s="33"/>
      <c r="CY344" s="33"/>
      <c r="CZ344" s="33"/>
      <c r="DA344" s="33"/>
      <c r="DB344" s="33"/>
      <c r="DC344" s="33"/>
      <c r="DD344" s="33"/>
      <c r="DE344" s="33"/>
      <c r="DF344" s="33"/>
      <c r="DG344" s="33"/>
      <c r="DH344" s="33"/>
      <c r="DI344" s="33"/>
      <c r="DJ344" s="33"/>
      <c r="DK344" s="33"/>
      <c r="DL344" s="33"/>
      <c r="DM344" s="33"/>
      <c r="DN344" s="33"/>
      <c r="DO344" s="33"/>
      <c r="DP344" s="33"/>
      <c r="DQ344" s="33"/>
      <c r="DR344" s="33"/>
      <c r="DS344" s="33"/>
      <c r="DT344" s="33"/>
      <c r="DU344" s="33"/>
      <c r="DV344" s="33"/>
      <c r="DW344" s="33"/>
      <c r="DX344" s="33"/>
      <c r="DY344" s="33"/>
      <c r="DZ344" s="33"/>
      <c r="EA344" s="33"/>
      <c r="EB344" s="33"/>
      <c r="EC344" s="33"/>
      <c r="ED344" s="33"/>
      <c r="EE344" s="33"/>
      <c r="EF344" s="33"/>
      <c r="EG344" s="33"/>
      <c r="EH344" s="33"/>
      <c r="EI344" s="33"/>
      <c r="EJ344" s="33"/>
      <c r="EK344" s="33"/>
      <c r="EL344" s="33"/>
      <c r="EM344" s="33"/>
      <c r="EN344" s="33"/>
      <c r="EO344" s="33"/>
      <c r="EP344" s="33"/>
      <c r="EQ344" s="33"/>
      <c r="ER344" s="33"/>
      <c r="ES344" s="33"/>
    </row>
    <row r="345">
      <c r="A345" s="33"/>
      <c r="B345" s="33"/>
      <c r="C345" s="33"/>
      <c r="D345" s="33"/>
      <c r="E345" s="33"/>
      <c r="F345" s="33"/>
      <c r="G345" s="85"/>
      <c r="H345" s="85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3"/>
      <c r="AC345" s="33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3"/>
      <c r="AP345" s="33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3"/>
      <c r="CC345" s="33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3"/>
      <c r="CP345" s="33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3"/>
      <c r="DC345" s="33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3"/>
      <c r="DP345" s="33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3"/>
      <c r="EC345" s="33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3"/>
      <c r="EP345" s="33"/>
      <c r="EQ345" s="33"/>
      <c r="ER345" s="33"/>
      <c r="ES345" s="33"/>
    </row>
    <row r="346">
      <c r="A346" s="33"/>
      <c r="B346" s="33"/>
      <c r="C346" s="33"/>
      <c r="D346" s="33"/>
      <c r="E346" s="33"/>
      <c r="F346" s="33"/>
      <c r="G346" s="85"/>
      <c r="H346" s="85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33"/>
      <c r="Y346" s="33"/>
      <c r="Z346" s="33"/>
      <c r="AA346" s="33"/>
      <c r="AB346" s="33"/>
      <c r="AC346" s="33"/>
      <c r="AD346" s="33"/>
      <c r="AE346" s="33"/>
      <c r="AF346" s="33"/>
      <c r="AG346" s="33"/>
      <c r="AH346" s="33"/>
      <c r="AI346" s="33"/>
      <c r="AJ346" s="33"/>
      <c r="AK346" s="33"/>
      <c r="AL346" s="33"/>
      <c r="AM346" s="33"/>
      <c r="AN346" s="33"/>
      <c r="AO346" s="33"/>
      <c r="AP346" s="33"/>
      <c r="AQ346" s="33"/>
      <c r="AR346" s="33"/>
      <c r="AS346" s="33"/>
      <c r="AT346" s="33"/>
      <c r="AU346" s="33"/>
      <c r="AV346" s="33"/>
      <c r="AW346" s="33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  <c r="BU346" s="33"/>
      <c r="BV346" s="33"/>
      <c r="BW346" s="33"/>
      <c r="BX346" s="33"/>
      <c r="BY346" s="33"/>
      <c r="BZ346" s="33"/>
      <c r="CA346" s="33"/>
      <c r="CB346" s="33"/>
      <c r="CC346" s="33"/>
      <c r="CD346" s="33"/>
      <c r="CE346" s="33"/>
      <c r="CF346" s="33"/>
      <c r="CG346" s="33"/>
      <c r="CH346" s="33"/>
      <c r="CI346" s="33"/>
      <c r="CJ346" s="33"/>
      <c r="CK346" s="33"/>
      <c r="CL346" s="33"/>
      <c r="CM346" s="33"/>
      <c r="CN346" s="33"/>
      <c r="CO346" s="33"/>
      <c r="CP346" s="33"/>
      <c r="CQ346" s="33"/>
      <c r="CR346" s="33"/>
      <c r="CS346" s="33"/>
      <c r="CT346" s="33"/>
      <c r="CU346" s="33"/>
      <c r="CV346" s="33"/>
      <c r="CW346" s="33"/>
      <c r="CX346" s="33"/>
      <c r="CY346" s="33"/>
      <c r="CZ346" s="33"/>
      <c r="DA346" s="33"/>
      <c r="DB346" s="33"/>
      <c r="DC346" s="33"/>
      <c r="DD346" s="33"/>
      <c r="DE346" s="33"/>
      <c r="DF346" s="33"/>
      <c r="DG346" s="33"/>
      <c r="DH346" s="33"/>
      <c r="DI346" s="33"/>
      <c r="DJ346" s="33"/>
      <c r="DK346" s="33"/>
      <c r="DL346" s="33"/>
      <c r="DM346" s="33"/>
      <c r="DN346" s="33"/>
      <c r="DO346" s="33"/>
      <c r="DP346" s="33"/>
      <c r="DQ346" s="33"/>
      <c r="DR346" s="33"/>
      <c r="DS346" s="33"/>
      <c r="DT346" s="33"/>
      <c r="DU346" s="33"/>
      <c r="DV346" s="33"/>
      <c r="DW346" s="33"/>
      <c r="DX346" s="33"/>
      <c r="DY346" s="33"/>
      <c r="DZ346" s="33"/>
      <c r="EA346" s="33"/>
      <c r="EB346" s="33"/>
      <c r="EC346" s="33"/>
      <c r="ED346" s="33"/>
      <c r="EE346" s="33"/>
      <c r="EF346" s="33"/>
      <c r="EG346" s="33"/>
      <c r="EH346" s="33"/>
      <c r="EI346" s="33"/>
      <c r="EJ346" s="33"/>
      <c r="EK346" s="33"/>
      <c r="EL346" s="33"/>
      <c r="EM346" s="33"/>
      <c r="EN346" s="33"/>
      <c r="EO346" s="33"/>
      <c r="EP346" s="33"/>
      <c r="EQ346" s="33"/>
      <c r="ER346" s="33"/>
      <c r="ES346" s="33"/>
    </row>
    <row r="347">
      <c r="A347" s="33"/>
      <c r="B347" s="33"/>
      <c r="C347" s="33"/>
      <c r="D347" s="33"/>
      <c r="E347" s="33"/>
      <c r="F347" s="33"/>
      <c r="G347" s="85"/>
      <c r="H347" s="85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3"/>
      <c r="AC347" s="33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3"/>
      <c r="AP347" s="33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3"/>
      <c r="CC347" s="33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3"/>
      <c r="CP347" s="33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3"/>
      <c r="DC347" s="33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3"/>
      <c r="DP347" s="33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3"/>
      <c r="EC347" s="33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3"/>
      <c r="EP347" s="33"/>
      <c r="EQ347" s="33"/>
      <c r="ER347" s="33"/>
      <c r="ES347" s="33"/>
    </row>
    <row r="348">
      <c r="A348" s="33"/>
      <c r="B348" s="33"/>
      <c r="C348" s="33"/>
      <c r="D348" s="33"/>
      <c r="E348" s="33"/>
      <c r="F348" s="33"/>
      <c r="G348" s="85"/>
      <c r="H348" s="85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33"/>
      <c r="Y348" s="33"/>
      <c r="Z348" s="33"/>
      <c r="AA348" s="33"/>
      <c r="AB348" s="33"/>
      <c r="AC348" s="33"/>
      <c r="AD348" s="33"/>
      <c r="AE348" s="33"/>
      <c r="AF348" s="33"/>
      <c r="AG348" s="33"/>
      <c r="AH348" s="33"/>
      <c r="AI348" s="33"/>
      <c r="AJ348" s="33"/>
      <c r="AK348" s="33"/>
      <c r="AL348" s="33"/>
      <c r="AM348" s="33"/>
      <c r="AN348" s="33"/>
      <c r="AO348" s="33"/>
      <c r="AP348" s="33"/>
      <c r="AQ348" s="33"/>
      <c r="AR348" s="33"/>
      <c r="AS348" s="33"/>
      <c r="AT348" s="33"/>
      <c r="AU348" s="33"/>
      <c r="AV348" s="33"/>
      <c r="AW348" s="33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  <c r="BU348" s="33"/>
      <c r="BV348" s="33"/>
      <c r="BW348" s="33"/>
      <c r="BX348" s="33"/>
      <c r="BY348" s="33"/>
      <c r="BZ348" s="33"/>
      <c r="CA348" s="33"/>
      <c r="CB348" s="33"/>
      <c r="CC348" s="33"/>
      <c r="CD348" s="33"/>
      <c r="CE348" s="33"/>
      <c r="CF348" s="33"/>
      <c r="CG348" s="33"/>
      <c r="CH348" s="33"/>
      <c r="CI348" s="33"/>
      <c r="CJ348" s="33"/>
      <c r="CK348" s="33"/>
      <c r="CL348" s="33"/>
      <c r="CM348" s="33"/>
      <c r="CN348" s="33"/>
      <c r="CO348" s="33"/>
      <c r="CP348" s="33"/>
      <c r="CQ348" s="33"/>
      <c r="CR348" s="33"/>
      <c r="CS348" s="33"/>
      <c r="CT348" s="33"/>
      <c r="CU348" s="33"/>
      <c r="CV348" s="33"/>
      <c r="CW348" s="33"/>
      <c r="CX348" s="33"/>
      <c r="CY348" s="33"/>
      <c r="CZ348" s="33"/>
      <c r="DA348" s="33"/>
      <c r="DB348" s="33"/>
      <c r="DC348" s="33"/>
      <c r="DD348" s="33"/>
      <c r="DE348" s="33"/>
      <c r="DF348" s="33"/>
      <c r="DG348" s="33"/>
      <c r="DH348" s="33"/>
      <c r="DI348" s="33"/>
      <c r="DJ348" s="33"/>
      <c r="DK348" s="33"/>
      <c r="DL348" s="33"/>
      <c r="DM348" s="33"/>
      <c r="DN348" s="33"/>
      <c r="DO348" s="33"/>
      <c r="DP348" s="33"/>
      <c r="DQ348" s="33"/>
      <c r="DR348" s="33"/>
      <c r="DS348" s="33"/>
      <c r="DT348" s="33"/>
      <c r="DU348" s="33"/>
      <c r="DV348" s="33"/>
      <c r="DW348" s="33"/>
      <c r="DX348" s="33"/>
      <c r="DY348" s="33"/>
      <c r="DZ348" s="33"/>
      <c r="EA348" s="33"/>
      <c r="EB348" s="33"/>
      <c r="EC348" s="33"/>
      <c r="ED348" s="33"/>
      <c r="EE348" s="33"/>
      <c r="EF348" s="33"/>
      <c r="EG348" s="33"/>
      <c r="EH348" s="33"/>
      <c r="EI348" s="33"/>
      <c r="EJ348" s="33"/>
      <c r="EK348" s="33"/>
      <c r="EL348" s="33"/>
      <c r="EM348" s="33"/>
      <c r="EN348" s="33"/>
      <c r="EO348" s="33"/>
      <c r="EP348" s="33"/>
      <c r="EQ348" s="33"/>
      <c r="ER348" s="33"/>
      <c r="ES348" s="33"/>
    </row>
    <row r="349">
      <c r="A349" s="33"/>
      <c r="B349" s="33"/>
      <c r="C349" s="33"/>
      <c r="D349" s="33"/>
      <c r="E349" s="33"/>
      <c r="F349" s="33"/>
      <c r="G349" s="85"/>
      <c r="H349" s="85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3"/>
      <c r="AC349" s="33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3"/>
      <c r="AP349" s="33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3"/>
      <c r="CC349" s="33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3"/>
      <c r="CP349" s="33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3"/>
      <c r="DC349" s="33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3"/>
      <c r="DP349" s="33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3"/>
      <c r="EC349" s="33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3"/>
      <c r="EP349" s="33"/>
      <c r="EQ349" s="33"/>
      <c r="ER349" s="33"/>
      <c r="ES349" s="33"/>
    </row>
    <row r="350">
      <c r="A350" s="33"/>
      <c r="B350" s="33"/>
      <c r="C350" s="33"/>
      <c r="D350" s="33"/>
      <c r="E350" s="33"/>
      <c r="F350" s="33"/>
      <c r="G350" s="85"/>
      <c r="H350" s="85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33"/>
      <c r="Y350" s="33"/>
      <c r="Z350" s="33"/>
      <c r="AA350" s="33"/>
      <c r="AB350" s="33"/>
      <c r="AC350" s="33"/>
      <c r="AD350" s="33"/>
      <c r="AE350" s="33"/>
      <c r="AF350" s="33"/>
      <c r="AG350" s="33"/>
      <c r="AH350" s="33"/>
      <c r="AI350" s="33"/>
      <c r="AJ350" s="33"/>
      <c r="AK350" s="33"/>
      <c r="AL350" s="33"/>
      <c r="AM350" s="33"/>
      <c r="AN350" s="33"/>
      <c r="AO350" s="33"/>
      <c r="AP350" s="33"/>
      <c r="AQ350" s="33"/>
      <c r="AR350" s="33"/>
      <c r="AS350" s="33"/>
      <c r="AT350" s="33"/>
      <c r="AU350" s="33"/>
      <c r="AV350" s="33"/>
      <c r="AW350" s="33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  <c r="BU350" s="33"/>
      <c r="BV350" s="33"/>
      <c r="BW350" s="33"/>
      <c r="BX350" s="33"/>
      <c r="BY350" s="33"/>
      <c r="BZ350" s="33"/>
      <c r="CA350" s="33"/>
      <c r="CB350" s="33"/>
      <c r="CC350" s="33"/>
      <c r="CD350" s="33"/>
      <c r="CE350" s="33"/>
      <c r="CF350" s="33"/>
      <c r="CG350" s="33"/>
      <c r="CH350" s="33"/>
      <c r="CI350" s="33"/>
      <c r="CJ350" s="33"/>
      <c r="CK350" s="33"/>
      <c r="CL350" s="33"/>
      <c r="CM350" s="33"/>
      <c r="CN350" s="33"/>
      <c r="CO350" s="33"/>
      <c r="CP350" s="33"/>
      <c r="CQ350" s="33"/>
      <c r="CR350" s="33"/>
      <c r="CS350" s="33"/>
      <c r="CT350" s="33"/>
      <c r="CU350" s="33"/>
      <c r="CV350" s="33"/>
      <c r="CW350" s="33"/>
      <c r="CX350" s="33"/>
      <c r="CY350" s="33"/>
      <c r="CZ350" s="33"/>
      <c r="DA350" s="33"/>
      <c r="DB350" s="33"/>
      <c r="DC350" s="33"/>
      <c r="DD350" s="33"/>
      <c r="DE350" s="33"/>
      <c r="DF350" s="33"/>
      <c r="DG350" s="33"/>
      <c r="DH350" s="33"/>
      <c r="DI350" s="33"/>
      <c r="DJ350" s="33"/>
      <c r="DK350" s="33"/>
      <c r="DL350" s="33"/>
      <c r="DM350" s="33"/>
      <c r="DN350" s="33"/>
      <c r="DO350" s="33"/>
      <c r="DP350" s="33"/>
      <c r="DQ350" s="33"/>
      <c r="DR350" s="33"/>
      <c r="DS350" s="33"/>
      <c r="DT350" s="33"/>
      <c r="DU350" s="33"/>
      <c r="DV350" s="33"/>
      <c r="DW350" s="33"/>
      <c r="DX350" s="33"/>
      <c r="DY350" s="33"/>
      <c r="DZ350" s="33"/>
      <c r="EA350" s="33"/>
      <c r="EB350" s="33"/>
      <c r="EC350" s="33"/>
      <c r="ED350" s="33"/>
      <c r="EE350" s="33"/>
      <c r="EF350" s="33"/>
      <c r="EG350" s="33"/>
      <c r="EH350" s="33"/>
      <c r="EI350" s="33"/>
      <c r="EJ350" s="33"/>
      <c r="EK350" s="33"/>
      <c r="EL350" s="33"/>
      <c r="EM350" s="33"/>
      <c r="EN350" s="33"/>
      <c r="EO350" s="33"/>
      <c r="EP350" s="33"/>
      <c r="EQ350" s="33"/>
      <c r="ER350" s="33"/>
      <c r="ES350" s="33"/>
    </row>
    <row r="351">
      <c r="A351" s="33"/>
      <c r="B351" s="33"/>
      <c r="C351" s="33"/>
      <c r="D351" s="33"/>
      <c r="E351" s="33"/>
      <c r="F351" s="33"/>
      <c r="G351" s="85"/>
      <c r="H351" s="85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3"/>
      <c r="AC351" s="33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3"/>
      <c r="AP351" s="33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3"/>
      <c r="CC351" s="33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3"/>
      <c r="CP351" s="33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3"/>
      <c r="DC351" s="33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3"/>
      <c r="DP351" s="33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3"/>
      <c r="EC351" s="33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3"/>
      <c r="EP351" s="33"/>
      <c r="EQ351" s="33"/>
      <c r="ER351" s="33"/>
      <c r="ES351" s="33"/>
    </row>
    <row r="352">
      <c r="A352" s="33"/>
      <c r="B352" s="33"/>
      <c r="C352" s="33"/>
      <c r="D352" s="33"/>
      <c r="E352" s="33"/>
      <c r="F352" s="33"/>
      <c r="G352" s="85"/>
      <c r="H352" s="85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33"/>
      <c r="Y352" s="33"/>
      <c r="Z352" s="33"/>
      <c r="AA352" s="33"/>
      <c r="AB352" s="33"/>
      <c r="AC352" s="33"/>
      <c r="AD352" s="33"/>
      <c r="AE352" s="33"/>
      <c r="AF352" s="33"/>
      <c r="AG352" s="33"/>
      <c r="AH352" s="33"/>
      <c r="AI352" s="33"/>
      <c r="AJ352" s="33"/>
      <c r="AK352" s="33"/>
      <c r="AL352" s="33"/>
      <c r="AM352" s="33"/>
      <c r="AN352" s="33"/>
      <c r="AO352" s="33"/>
      <c r="AP352" s="33"/>
      <c r="AQ352" s="33"/>
      <c r="AR352" s="33"/>
      <c r="AS352" s="33"/>
      <c r="AT352" s="33"/>
      <c r="AU352" s="33"/>
      <c r="AV352" s="33"/>
      <c r="AW352" s="33"/>
      <c r="AX352" s="33"/>
      <c r="AY352" s="33"/>
      <c r="AZ352" s="33"/>
      <c r="BA352" s="33"/>
      <c r="BB352" s="33"/>
      <c r="BC352" s="33"/>
      <c r="BD352" s="33"/>
      <c r="BE352" s="33"/>
      <c r="BF352" s="33"/>
      <c r="BG352" s="33"/>
      <c r="BH352" s="33"/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  <c r="BU352" s="33"/>
      <c r="BV352" s="33"/>
      <c r="BW352" s="33"/>
      <c r="BX352" s="33"/>
      <c r="BY352" s="33"/>
      <c r="BZ352" s="33"/>
      <c r="CA352" s="33"/>
      <c r="CB352" s="33"/>
      <c r="CC352" s="33"/>
      <c r="CD352" s="33"/>
      <c r="CE352" s="33"/>
      <c r="CF352" s="33"/>
      <c r="CG352" s="33"/>
      <c r="CH352" s="33"/>
      <c r="CI352" s="33"/>
      <c r="CJ352" s="33"/>
      <c r="CK352" s="33"/>
      <c r="CL352" s="33"/>
      <c r="CM352" s="33"/>
      <c r="CN352" s="33"/>
      <c r="CO352" s="33"/>
      <c r="CP352" s="33"/>
      <c r="CQ352" s="33"/>
      <c r="CR352" s="33"/>
      <c r="CS352" s="33"/>
      <c r="CT352" s="33"/>
      <c r="CU352" s="33"/>
      <c r="CV352" s="33"/>
      <c r="CW352" s="33"/>
      <c r="CX352" s="33"/>
      <c r="CY352" s="33"/>
      <c r="CZ352" s="33"/>
      <c r="DA352" s="33"/>
      <c r="DB352" s="33"/>
      <c r="DC352" s="33"/>
      <c r="DD352" s="33"/>
      <c r="DE352" s="33"/>
      <c r="DF352" s="33"/>
      <c r="DG352" s="33"/>
      <c r="DH352" s="33"/>
      <c r="DI352" s="33"/>
      <c r="DJ352" s="33"/>
      <c r="DK352" s="33"/>
      <c r="DL352" s="33"/>
      <c r="DM352" s="33"/>
      <c r="DN352" s="33"/>
      <c r="DO352" s="33"/>
      <c r="DP352" s="33"/>
      <c r="DQ352" s="33"/>
      <c r="DR352" s="33"/>
      <c r="DS352" s="33"/>
      <c r="DT352" s="33"/>
      <c r="DU352" s="33"/>
      <c r="DV352" s="33"/>
      <c r="DW352" s="33"/>
      <c r="DX352" s="33"/>
      <c r="DY352" s="33"/>
      <c r="DZ352" s="33"/>
      <c r="EA352" s="33"/>
      <c r="EB352" s="33"/>
      <c r="EC352" s="33"/>
      <c r="ED352" s="33"/>
      <c r="EE352" s="33"/>
      <c r="EF352" s="33"/>
      <c r="EG352" s="33"/>
      <c r="EH352" s="33"/>
      <c r="EI352" s="33"/>
      <c r="EJ352" s="33"/>
      <c r="EK352" s="33"/>
      <c r="EL352" s="33"/>
      <c r="EM352" s="33"/>
      <c r="EN352" s="33"/>
      <c r="EO352" s="33"/>
      <c r="EP352" s="33"/>
      <c r="EQ352" s="33"/>
      <c r="ER352" s="33"/>
      <c r="ES352" s="33"/>
    </row>
    <row r="353">
      <c r="A353" s="33"/>
      <c r="B353" s="33"/>
      <c r="C353" s="33"/>
      <c r="D353" s="33"/>
      <c r="E353" s="33"/>
      <c r="F353" s="33"/>
      <c r="G353" s="85"/>
      <c r="H353" s="85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3"/>
      <c r="AC353" s="33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3"/>
      <c r="AP353" s="33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3"/>
      <c r="BC353" s="33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3"/>
      <c r="CC353" s="33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3"/>
      <c r="CP353" s="33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3"/>
      <c r="DC353" s="33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3"/>
      <c r="DP353" s="33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3"/>
      <c r="EC353" s="33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3"/>
      <c r="EP353" s="33"/>
      <c r="EQ353" s="33"/>
      <c r="ER353" s="33"/>
      <c r="ES353" s="33"/>
    </row>
    <row r="354">
      <c r="A354" s="33"/>
      <c r="B354" s="33"/>
      <c r="C354" s="33"/>
      <c r="D354" s="33"/>
      <c r="E354" s="33"/>
      <c r="F354" s="33"/>
      <c r="G354" s="85"/>
      <c r="H354" s="85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33"/>
      <c r="Y354" s="33"/>
      <c r="Z354" s="33"/>
      <c r="AA354" s="33"/>
      <c r="AB354" s="33"/>
      <c r="AC354" s="33"/>
      <c r="AD354" s="33"/>
      <c r="AE354" s="33"/>
      <c r="AF354" s="33"/>
      <c r="AG354" s="33"/>
      <c r="AH354" s="33"/>
      <c r="AI354" s="33"/>
      <c r="AJ354" s="33"/>
      <c r="AK354" s="33"/>
      <c r="AL354" s="33"/>
      <c r="AM354" s="33"/>
      <c r="AN354" s="33"/>
      <c r="AO354" s="33"/>
      <c r="AP354" s="33"/>
      <c r="AQ354" s="33"/>
      <c r="AR354" s="33"/>
      <c r="AS354" s="33"/>
      <c r="AT354" s="33"/>
      <c r="AU354" s="33"/>
      <c r="AV354" s="33"/>
      <c r="AW354" s="33"/>
      <c r="AX354" s="33"/>
      <c r="AY354" s="33"/>
      <c r="AZ354" s="33"/>
      <c r="BA354" s="33"/>
      <c r="BB354" s="33"/>
      <c r="BC354" s="33"/>
      <c r="BD354" s="33"/>
      <c r="BE354" s="33"/>
      <c r="BF354" s="33"/>
      <c r="BG354" s="33"/>
      <c r="BH354" s="33"/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  <c r="BU354" s="33"/>
      <c r="BV354" s="33"/>
      <c r="BW354" s="33"/>
      <c r="BX354" s="33"/>
      <c r="BY354" s="33"/>
      <c r="BZ354" s="33"/>
      <c r="CA354" s="33"/>
      <c r="CB354" s="33"/>
      <c r="CC354" s="33"/>
      <c r="CD354" s="33"/>
      <c r="CE354" s="33"/>
      <c r="CF354" s="33"/>
      <c r="CG354" s="33"/>
      <c r="CH354" s="33"/>
      <c r="CI354" s="33"/>
      <c r="CJ354" s="33"/>
      <c r="CK354" s="33"/>
      <c r="CL354" s="33"/>
      <c r="CM354" s="33"/>
      <c r="CN354" s="33"/>
      <c r="CO354" s="33"/>
      <c r="CP354" s="33"/>
      <c r="CQ354" s="33"/>
      <c r="CR354" s="33"/>
      <c r="CS354" s="33"/>
      <c r="CT354" s="33"/>
      <c r="CU354" s="33"/>
      <c r="CV354" s="33"/>
      <c r="CW354" s="33"/>
      <c r="CX354" s="33"/>
      <c r="CY354" s="33"/>
      <c r="CZ354" s="33"/>
      <c r="DA354" s="33"/>
      <c r="DB354" s="33"/>
      <c r="DC354" s="33"/>
      <c r="DD354" s="33"/>
      <c r="DE354" s="33"/>
      <c r="DF354" s="33"/>
      <c r="DG354" s="33"/>
      <c r="DH354" s="33"/>
      <c r="DI354" s="33"/>
      <c r="DJ354" s="33"/>
      <c r="DK354" s="33"/>
      <c r="DL354" s="33"/>
      <c r="DM354" s="33"/>
      <c r="DN354" s="33"/>
      <c r="DO354" s="33"/>
      <c r="DP354" s="33"/>
      <c r="DQ354" s="33"/>
      <c r="DR354" s="33"/>
      <c r="DS354" s="33"/>
      <c r="DT354" s="33"/>
      <c r="DU354" s="33"/>
      <c r="DV354" s="33"/>
      <c r="DW354" s="33"/>
      <c r="DX354" s="33"/>
      <c r="DY354" s="33"/>
      <c r="DZ354" s="33"/>
      <c r="EA354" s="33"/>
      <c r="EB354" s="33"/>
      <c r="EC354" s="33"/>
      <c r="ED354" s="33"/>
      <c r="EE354" s="33"/>
      <c r="EF354" s="33"/>
      <c r="EG354" s="33"/>
      <c r="EH354" s="33"/>
      <c r="EI354" s="33"/>
      <c r="EJ354" s="33"/>
      <c r="EK354" s="33"/>
      <c r="EL354" s="33"/>
      <c r="EM354" s="33"/>
      <c r="EN354" s="33"/>
      <c r="EO354" s="33"/>
      <c r="EP354" s="33"/>
      <c r="EQ354" s="33"/>
      <c r="ER354" s="33"/>
      <c r="ES354" s="33"/>
    </row>
    <row r="355">
      <c r="A355" s="33"/>
      <c r="B355" s="33"/>
      <c r="C355" s="33"/>
      <c r="D355" s="33"/>
      <c r="E355" s="33"/>
      <c r="F355" s="33"/>
      <c r="G355" s="85"/>
      <c r="H355" s="85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3"/>
      <c r="AC355" s="33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3"/>
      <c r="AP355" s="33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3"/>
      <c r="BC355" s="33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3"/>
      <c r="CC355" s="33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3"/>
      <c r="CP355" s="33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3"/>
      <c r="DC355" s="33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3"/>
      <c r="DP355" s="33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3"/>
      <c r="EC355" s="33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3"/>
      <c r="EP355" s="33"/>
      <c r="EQ355" s="33"/>
      <c r="ER355" s="33"/>
      <c r="ES355" s="33"/>
    </row>
    <row r="356">
      <c r="A356" s="33"/>
      <c r="B356" s="33"/>
      <c r="C356" s="33"/>
      <c r="D356" s="33"/>
      <c r="E356" s="33"/>
      <c r="F356" s="33"/>
      <c r="G356" s="85"/>
      <c r="H356" s="85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33"/>
      <c r="Y356" s="33"/>
      <c r="Z356" s="33"/>
      <c r="AA356" s="33"/>
      <c r="AB356" s="33"/>
      <c r="AC356" s="33"/>
      <c r="AD356" s="33"/>
      <c r="AE356" s="33"/>
      <c r="AF356" s="33"/>
      <c r="AG356" s="33"/>
      <c r="AH356" s="33"/>
      <c r="AI356" s="33"/>
      <c r="AJ356" s="33"/>
      <c r="AK356" s="33"/>
      <c r="AL356" s="33"/>
      <c r="AM356" s="33"/>
      <c r="AN356" s="33"/>
      <c r="AO356" s="33"/>
      <c r="AP356" s="33"/>
      <c r="AQ356" s="33"/>
      <c r="AR356" s="33"/>
      <c r="AS356" s="33"/>
      <c r="AT356" s="33"/>
      <c r="AU356" s="33"/>
      <c r="AV356" s="33"/>
      <c r="AW356" s="33"/>
      <c r="AX356" s="33"/>
      <c r="AY356" s="33"/>
      <c r="AZ356" s="33"/>
      <c r="BA356" s="33"/>
      <c r="BB356" s="33"/>
      <c r="BC356" s="33"/>
      <c r="BD356" s="33"/>
      <c r="BE356" s="33"/>
      <c r="BF356" s="33"/>
      <c r="BG356" s="33"/>
      <c r="BH356" s="33"/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  <c r="BU356" s="33"/>
      <c r="BV356" s="33"/>
      <c r="BW356" s="33"/>
      <c r="BX356" s="33"/>
      <c r="BY356" s="33"/>
      <c r="BZ356" s="33"/>
      <c r="CA356" s="33"/>
      <c r="CB356" s="33"/>
      <c r="CC356" s="33"/>
      <c r="CD356" s="33"/>
      <c r="CE356" s="33"/>
      <c r="CF356" s="33"/>
      <c r="CG356" s="33"/>
      <c r="CH356" s="33"/>
      <c r="CI356" s="33"/>
      <c r="CJ356" s="33"/>
      <c r="CK356" s="33"/>
      <c r="CL356" s="33"/>
      <c r="CM356" s="33"/>
      <c r="CN356" s="33"/>
      <c r="CO356" s="33"/>
      <c r="CP356" s="33"/>
      <c r="CQ356" s="33"/>
      <c r="CR356" s="33"/>
      <c r="CS356" s="33"/>
      <c r="CT356" s="33"/>
      <c r="CU356" s="33"/>
      <c r="CV356" s="33"/>
      <c r="CW356" s="33"/>
      <c r="CX356" s="33"/>
      <c r="CY356" s="33"/>
      <c r="CZ356" s="33"/>
      <c r="DA356" s="33"/>
      <c r="DB356" s="33"/>
      <c r="DC356" s="33"/>
      <c r="DD356" s="33"/>
      <c r="DE356" s="33"/>
      <c r="DF356" s="33"/>
      <c r="DG356" s="33"/>
      <c r="DH356" s="33"/>
      <c r="DI356" s="33"/>
      <c r="DJ356" s="33"/>
      <c r="DK356" s="33"/>
      <c r="DL356" s="33"/>
      <c r="DM356" s="33"/>
      <c r="DN356" s="33"/>
      <c r="DO356" s="33"/>
      <c r="DP356" s="33"/>
      <c r="DQ356" s="33"/>
      <c r="DR356" s="33"/>
      <c r="DS356" s="33"/>
      <c r="DT356" s="33"/>
      <c r="DU356" s="33"/>
      <c r="DV356" s="33"/>
      <c r="DW356" s="33"/>
      <c r="DX356" s="33"/>
      <c r="DY356" s="33"/>
      <c r="DZ356" s="33"/>
      <c r="EA356" s="33"/>
      <c r="EB356" s="33"/>
      <c r="EC356" s="33"/>
      <c r="ED356" s="33"/>
      <c r="EE356" s="33"/>
      <c r="EF356" s="33"/>
      <c r="EG356" s="33"/>
      <c r="EH356" s="33"/>
      <c r="EI356" s="33"/>
      <c r="EJ356" s="33"/>
      <c r="EK356" s="33"/>
      <c r="EL356" s="33"/>
      <c r="EM356" s="33"/>
      <c r="EN356" s="33"/>
      <c r="EO356" s="33"/>
      <c r="EP356" s="33"/>
      <c r="EQ356" s="33"/>
      <c r="ER356" s="33"/>
      <c r="ES356" s="33"/>
    </row>
    <row r="357">
      <c r="A357" s="33"/>
      <c r="B357" s="33"/>
      <c r="C357" s="33"/>
      <c r="D357" s="33"/>
      <c r="E357" s="33"/>
      <c r="F357" s="33"/>
      <c r="G357" s="85"/>
      <c r="H357" s="85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3"/>
      <c r="AC357" s="33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3"/>
      <c r="AP357" s="33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3"/>
      <c r="BC357" s="33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3"/>
      <c r="CC357" s="33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3"/>
      <c r="CP357" s="33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3"/>
      <c r="DC357" s="33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3"/>
      <c r="DP357" s="33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3"/>
      <c r="EC357" s="33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3"/>
      <c r="EP357" s="33"/>
      <c r="EQ357" s="33"/>
      <c r="ER357" s="33"/>
      <c r="ES357" s="33"/>
    </row>
    <row r="358">
      <c r="A358" s="33"/>
      <c r="B358" s="33"/>
      <c r="C358" s="33"/>
      <c r="D358" s="33"/>
      <c r="E358" s="33"/>
      <c r="F358" s="33"/>
      <c r="G358" s="85"/>
      <c r="H358" s="85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33"/>
      <c r="Y358" s="33"/>
      <c r="Z358" s="33"/>
      <c r="AA358" s="33"/>
      <c r="AB358" s="33"/>
      <c r="AC358" s="33"/>
      <c r="AD358" s="33"/>
      <c r="AE358" s="33"/>
      <c r="AF358" s="33"/>
      <c r="AG358" s="33"/>
      <c r="AH358" s="33"/>
      <c r="AI358" s="33"/>
      <c r="AJ358" s="33"/>
      <c r="AK358" s="33"/>
      <c r="AL358" s="33"/>
      <c r="AM358" s="33"/>
      <c r="AN358" s="33"/>
      <c r="AO358" s="33"/>
      <c r="AP358" s="33"/>
      <c r="AQ358" s="33"/>
      <c r="AR358" s="33"/>
      <c r="AS358" s="33"/>
      <c r="AT358" s="33"/>
      <c r="AU358" s="33"/>
      <c r="AV358" s="33"/>
      <c r="AW358" s="33"/>
      <c r="AX358" s="33"/>
      <c r="AY358" s="33"/>
      <c r="AZ358" s="33"/>
      <c r="BA358" s="33"/>
      <c r="BB358" s="33"/>
      <c r="BC358" s="33"/>
      <c r="BD358" s="33"/>
      <c r="BE358" s="33"/>
      <c r="BF358" s="33"/>
      <c r="BG358" s="33"/>
      <c r="BH358" s="33"/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  <c r="BU358" s="33"/>
      <c r="BV358" s="33"/>
      <c r="BW358" s="33"/>
      <c r="BX358" s="33"/>
      <c r="BY358" s="33"/>
      <c r="BZ358" s="33"/>
      <c r="CA358" s="33"/>
      <c r="CB358" s="33"/>
      <c r="CC358" s="33"/>
      <c r="CD358" s="33"/>
      <c r="CE358" s="33"/>
      <c r="CF358" s="33"/>
      <c r="CG358" s="33"/>
      <c r="CH358" s="33"/>
      <c r="CI358" s="33"/>
      <c r="CJ358" s="33"/>
      <c r="CK358" s="33"/>
      <c r="CL358" s="33"/>
      <c r="CM358" s="33"/>
      <c r="CN358" s="33"/>
      <c r="CO358" s="33"/>
      <c r="CP358" s="33"/>
      <c r="CQ358" s="33"/>
      <c r="CR358" s="33"/>
      <c r="CS358" s="33"/>
      <c r="CT358" s="33"/>
      <c r="CU358" s="33"/>
      <c r="CV358" s="33"/>
      <c r="CW358" s="33"/>
      <c r="CX358" s="33"/>
      <c r="CY358" s="33"/>
      <c r="CZ358" s="33"/>
      <c r="DA358" s="33"/>
      <c r="DB358" s="33"/>
      <c r="DC358" s="33"/>
      <c r="DD358" s="33"/>
      <c r="DE358" s="33"/>
      <c r="DF358" s="33"/>
      <c r="DG358" s="33"/>
      <c r="DH358" s="33"/>
      <c r="DI358" s="33"/>
      <c r="DJ358" s="33"/>
      <c r="DK358" s="33"/>
      <c r="DL358" s="33"/>
      <c r="DM358" s="33"/>
      <c r="DN358" s="33"/>
      <c r="DO358" s="33"/>
      <c r="DP358" s="33"/>
      <c r="DQ358" s="33"/>
      <c r="DR358" s="33"/>
      <c r="DS358" s="33"/>
      <c r="DT358" s="33"/>
      <c r="DU358" s="33"/>
      <c r="DV358" s="33"/>
      <c r="DW358" s="33"/>
      <c r="DX358" s="33"/>
      <c r="DY358" s="33"/>
      <c r="DZ358" s="33"/>
      <c r="EA358" s="33"/>
      <c r="EB358" s="33"/>
      <c r="EC358" s="33"/>
      <c r="ED358" s="33"/>
      <c r="EE358" s="33"/>
      <c r="EF358" s="33"/>
      <c r="EG358" s="33"/>
      <c r="EH358" s="33"/>
      <c r="EI358" s="33"/>
      <c r="EJ358" s="33"/>
      <c r="EK358" s="33"/>
      <c r="EL358" s="33"/>
      <c r="EM358" s="33"/>
      <c r="EN358" s="33"/>
      <c r="EO358" s="33"/>
      <c r="EP358" s="33"/>
      <c r="EQ358" s="33"/>
      <c r="ER358" s="33"/>
      <c r="ES358" s="33"/>
    </row>
    <row r="359">
      <c r="A359" s="33"/>
      <c r="B359" s="33"/>
      <c r="C359" s="33"/>
      <c r="D359" s="33"/>
      <c r="E359" s="33"/>
      <c r="F359" s="33"/>
      <c r="G359" s="85"/>
      <c r="H359" s="85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3"/>
      <c r="AC359" s="33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3"/>
      <c r="AP359" s="33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3"/>
      <c r="BC359" s="33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3"/>
      <c r="CC359" s="33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3"/>
      <c r="CP359" s="33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3"/>
      <c r="DC359" s="33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3"/>
      <c r="DP359" s="33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3"/>
      <c r="EC359" s="33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3"/>
      <c r="EP359" s="33"/>
      <c r="EQ359" s="33"/>
      <c r="ER359" s="33"/>
      <c r="ES359" s="33"/>
    </row>
    <row r="360">
      <c r="A360" s="33"/>
      <c r="B360" s="33"/>
      <c r="C360" s="33"/>
      <c r="D360" s="33"/>
      <c r="E360" s="33"/>
      <c r="F360" s="33"/>
      <c r="G360" s="85"/>
      <c r="H360" s="85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33"/>
      <c r="Y360" s="33"/>
      <c r="Z360" s="33"/>
      <c r="AA360" s="33"/>
      <c r="AB360" s="33"/>
      <c r="AC360" s="33"/>
      <c r="AD360" s="33"/>
      <c r="AE360" s="33"/>
      <c r="AF360" s="33"/>
      <c r="AG360" s="33"/>
      <c r="AH360" s="33"/>
      <c r="AI360" s="33"/>
      <c r="AJ360" s="33"/>
      <c r="AK360" s="33"/>
      <c r="AL360" s="33"/>
      <c r="AM360" s="33"/>
      <c r="AN360" s="33"/>
      <c r="AO360" s="33"/>
      <c r="AP360" s="33"/>
      <c r="AQ360" s="33"/>
      <c r="AR360" s="33"/>
      <c r="AS360" s="33"/>
      <c r="AT360" s="33"/>
      <c r="AU360" s="33"/>
      <c r="AV360" s="33"/>
      <c r="AW360" s="33"/>
      <c r="AX360" s="33"/>
      <c r="AY360" s="33"/>
      <c r="AZ360" s="33"/>
      <c r="BA360" s="33"/>
      <c r="BB360" s="33"/>
      <c r="BC360" s="33"/>
      <c r="BD360" s="33"/>
      <c r="BE360" s="33"/>
      <c r="BF360" s="33"/>
      <c r="BG360" s="33"/>
      <c r="BH360" s="33"/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  <c r="BU360" s="33"/>
      <c r="BV360" s="33"/>
      <c r="BW360" s="33"/>
      <c r="BX360" s="33"/>
      <c r="BY360" s="33"/>
      <c r="BZ360" s="33"/>
      <c r="CA360" s="33"/>
      <c r="CB360" s="33"/>
      <c r="CC360" s="33"/>
      <c r="CD360" s="33"/>
      <c r="CE360" s="33"/>
      <c r="CF360" s="33"/>
      <c r="CG360" s="33"/>
      <c r="CH360" s="33"/>
      <c r="CI360" s="33"/>
      <c r="CJ360" s="33"/>
      <c r="CK360" s="33"/>
      <c r="CL360" s="33"/>
      <c r="CM360" s="33"/>
      <c r="CN360" s="33"/>
      <c r="CO360" s="33"/>
      <c r="CP360" s="33"/>
      <c r="CQ360" s="33"/>
      <c r="CR360" s="33"/>
      <c r="CS360" s="33"/>
      <c r="CT360" s="33"/>
      <c r="CU360" s="33"/>
      <c r="CV360" s="33"/>
      <c r="CW360" s="33"/>
      <c r="CX360" s="33"/>
      <c r="CY360" s="33"/>
      <c r="CZ360" s="33"/>
      <c r="DA360" s="33"/>
      <c r="DB360" s="33"/>
      <c r="DC360" s="33"/>
      <c r="DD360" s="33"/>
      <c r="DE360" s="33"/>
      <c r="DF360" s="33"/>
      <c r="DG360" s="33"/>
      <c r="DH360" s="33"/>
      <c r="DI360" s="33"/>
      <c r="DJ360" s="33"/>
      <c r="DK360" s="33"/>
      <c r="DL360" s="33"/>
      <c r="DM360" s="33"/>
      <c r="DN360" s="33"/>
      <c r="DO360" s="33"/>
      <c r="DP360" s="33"/>
      <c r="DQ360" s="33"/>
      <c r="DR360" s="33"/>
      <c r="DS360" s="33"/>
      <c r="DT360" s="33"/>
      <c r="DU360" s="33"/>
      <c r="DV360" s="33"/>
      <c r="DW360" s="33"/>
      <c r="DX360" s="33"/>
      <c r="DY360" s="33"/>
      <c r="DZ360" s="33"/>
      <c r="EA360" s="33"/>
      <c r="EB360" s="33"/>
      <c r="EC360" s="33"/>
      <c r="ED360" s="33"/>
      <c r="EE360" s="33"/>
      <c r="EF360" s="33"/>
      <c r="EG360" s="33"/>
      <c r="EH360" s="33"/>
      <c r="EI360" s="33"/>
      <c r="EJ360" s="33"/>
      <c r="EK360" s="33"/>
      <c r="EL360" s="33"/>
      <c r="EM360" s="33"/>
      <c r="EN360" s="33"/>
      <c r="EO360" s="33"/>
      <c r="EP360" s="33"/>
      <c r="EQ360" s="33"/>
      <c r="ER360" s="33"/>
      <c r="ES360" s="33"/>
    </row>
    <row r="361">
      <c r="A361" s="33"/>
      <c r="B361" s="33"/>
      <c r="C361" s="33"/>
      <c r="D361" s="33"/>
      <c r="E361" s="33"/>
      <c r="F361" s="33"/>
      <c r="G361" s="85"/>
      <c r="H361" s="85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3"/>
      <c r="AC361" s="33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3"/>
      <c r="AP361" s="33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3"/>
      <c r="BC361" s="33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3"/>
      <c r="CC361" s="33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3"/>
      <c r="CP361" s="33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3"/>
      <c r="DC361" s="33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3"/>
      <c r="DP361" s="33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3"/>
      <c r="EC361" s="33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3"/>
      <c r="EP361" s="33"/>
      <c r="EQ361" s="33"/>
      <c r="ER361" s="33"/>
      <c r="ES361" s="33"/>
    </row>
    <row r="362">
      <c r="A362" s="33"/>
      <c r="B362" s="33"/>
      <c r="C362" s="33"/>
      <c r="D362" s="33"/>
      <c r="E362" s="33"/>
      <c r="F362" s="33"/>
      <c r="G362" s="85"/>
      <c r="H362" s="85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33"/>
      <c r="Y362" s="33"/>
      <c r="Z362" s="33"/>
      <c r="AA362" s="33"/>
      <c r="AB362" s="33"/>
      <c r="AC362" s="33"/>
      <c r="AD362" s="33"/>
      <c r="AE362" s="33"/>
      <c r="AF362" s="33"/>
      <c r="AG362" s="33"/>
      <c r="AH362" s="33"/>
      <c r="AI362" s="33"/>
      <c r="AJ362" s="33"/>
      <c r="AK362" s="33"/>
      <c r="AL362" s="33"/>
      <c r="AM362" s="33"/>
      <c r="AN362" s="33"/>
      <c r="AO362" s="33"/>
      <c r="AP362" s="33"/>
      <c r="AQ362" s="33"/>
      <c r="AR362" s="33"/>
      <c r="AS362" s="33"/>
      <c r="AT362" s="33"/>
      <c r="AU362" s="33"/>
      <c r="AV362" s="33"/>
      <c r="AW362" s="33"/>
      <c r="AX362" s="33"/>
      <c r="AY362" s="33"/>
      <c r="AZ362" s="33"/>
      <c r="BA362" s="33"/>
      <c r="BB362" s="33"/>
      <c r="BC362" s="33"/>
      <c r="BD362" s="33"/>
      <c r="BE362" s="33"/>
      <c r="BF362" s="33"/>
      <c r="BG362" s="33"/>
      <c r="BH362" s="33"/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  <c r="BU362" s="33"/>
      <c r="BV362" s="33"/>
      <c r="BW362" s="33"/>
      <c r="BX362" s="33"/>
      <c r="BY362" s="33"/>
      <c r="BZ362" s="33"/>
      <c r="CA362" s="33"/>
      <c r="CB362" s="33"/>
      <c r="CC362" s="33"/>
      <c r="CD362" s="33"/>
      <c r="CE362" s="33"/>
      <c r="CF362" s="33"/>
      <c r="CG362" s="33"/>
      <c r="CH362" s="33"/>
      <c r="CI362" s="33"/>
      <c r="CJ362" s="33"/>
      <c r="CK362" s="33"/>
      <c r="CL362" s="33"/>
      <c r="CM362" s="33"/>
      <c r="CN362" s="33"/>
      <c r="CO362" s="33"/>
      <c r="CP362" s="33"/>
      <c r="CQ362" s="33"/>
      <c r="CR362" s="33"/>
      <c r="CS362" s="33"/>
      <c r="CT362" s="33"/>
      <c r="CU362" s="33"/>
      <c r="CV362" s="33"/>
      <c r="CW362" s="33"/>
      <c r="CX362" s="33"/>
      <c r="CY362" s="33"/>
      <c r="CZ362" s="33"/>
      <c r="DA362" s="33"/>
      <c r="DB362" s="33"/>
      <c r="DC362" s="33"/>
      <c r="DD362" s="33"/>
      <c r="DE362" s="33"/>
      <c r="DF362" s="33"/>
      <c r="DG362" s="33"/>
      <c r="DH362" s="33"/>
      <c r="DI362" s="33"/>
      <c r="DJ362" s="33"/>
      <c r="DK362" s="33"/>
      <c r="DL362" s="33"/>
      <c r="DM362" s="33"/>
      <c r="DN362" s="33"/>
      <c r="DO362" s="33"/>
      <c r="DP362" s="33"/>
      <c r="DQ362" s="33"/>
      <c r="DR362" s="33"/>
      <c r="DS362" s="33"/>
      <c r="DT362" s="33"/>
      <c r="DU362" s="33"/>
      <c r="DV362" s="33"/>
      <c r="DW362" s="33"/>
      <c r="DX362" s="33"/>
      <c r="DY362" s="33"/>
      <c r="DZ362" s="33"/>
      <c r="EA362" s="33"/>
      <c r="EB362" s="33"/>
      <c r="EC362" s="33"/>
      <c r="ED362" s="33"/>
      <c r="EE362" s="33"/>
      <c r="EF362" s="33"/>
      <c r="EG362" s="33"/>
      <c r="EH362" s="33"/>
      <c r="EI362" s="33"/>
      <c r="EJ362" s="33"/>
      <c r="EK362" s="33"/>
      <c r="EL362" s="33"/>
      <c r="EM362" s="33"/>
      <c r="EN362" s="33"/>
      <c r="EO362" s="33"/>
      <c r="EP362" s="33"/>
      <c r="EQ362" s="33"/>
      <c r="ER362" s="33"/>
      <c r="ES362" s="33"/>
    </row>
    <row r="363">
      <c r="A363" s="33"/>
      <c r="B363" s="33"/>
      <c r="C363" s="33"/>
      <c r="D363" s="33"/>
      <c r="E363" s="33"/>
      <c r="F363" s="33"/>
      <c r="G363" s="85"/>
      <c r="H363" s="85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3"/>
      <c r="AC363" s="33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3"/>
      <c r="AP363" s="33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3"/>
      <c r="CC363" s="33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3"/>
      <c r="CP363" s="33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3"/>
      <c r="DC363" s="33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3"/>
      <c r="DP363" s="33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3"/>
      <c r="EC363" s="33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3"/>
      <c r="EP363" s="33"/>
      <c r="EQ363" s="33"/>
      <c r="ER363" s="33"/>
      <c r="ES363" s="33"/>
    </row>
    <row r="364">
      <c r="A364" s="33"/>
      <c r="B364" s="33"/>
      <c r="C364" s="33"/>
      <c r="D364" s="33"/>
      <c r="E364" s="33"/>
      <c r="F364" s="33"/>
      <c r="G364" s="85"/>
      <c r="H364" s="85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33"/>
      <c r="Y364" s="33"/>
      <c r="Z364" s="33"/>
      <c r="AA364" s="33"/>
      <c r="AB364" s="33"/>
      <c r="AC364" s="33"/>
      <c r="AD364" s="33"/>
      <c r="AE364" s="33"/>
      <c r="AF364" s="33"/>
      <c r="AG364" s="33"/>
      <c r="AH364" s="33"/>
      <c r="AI364" s="33"/>
      <c r="AJ364" s="33"/>
      <c r="AK364" s="33"/>
      <c r="AL364" s="33"/>
      <c r="AM364" s="33"/>
      <c r="AN364" s="33"/>
      <c r="AO364" s="33"/>
      <c r="AP364" s="33"/>
      <c r="AQ364" s="33"/>
      <c r="AR364" s="33"/>
      <c r="AS364" s="33"/>
      <c r="AT364" s="33"/>
      <c r="AU364" s="33"/>
      <c r="AV364" s="33"/>
      <c r="AW364" s="33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  <c r="BU364" s="33"/>
      <c r="BV364" s="33"/>
      <c r="BW364" s="33"/>
      <c r="BX364" s="33"/>
      <c r="BY364" s="33"/>
      <c r="BZ364" s="33"/>
      <c r="CA364" s="33"/>
      <c r="CB364" s="33"/>
      <c r="CC364" s="33"/>
      <c r="CD364" s="33"/>
      <c r="CE364" s="33"/>
      <c r="CF364" s="33"/>
      <c r="CG364" s="33"/>
      <c r="CH364" s="33"/>
      <c r="CI364" s="33"/>
      <c r="CJ364" s="33"/>
      <c r="CK364" s="33"/>
      <c r="CL364" s="33"/>
      <c r="CM364" s="33"/>
      <c r="CN364" s="33"/>
      <c r="CO364" s="33"/>
      <c r="CP364" s="33"/>
      <c r="CQ364" s="33"/>
      <c r="CR364" s="33"/>
      <c r="CS364" s="33"/>
      <c r="CT364" s="33"/>
      <c r="CU364" s="33"/>
      <c r="CV364" s="33"/>
      <c r="CW364" s="33"/>
      <c r="CX364" s="33"/>
      <c r="CY364" s="33"/>
      <c r="CZ364" s="33"/>
      <c r="DA364" s="33"/>
      <c r="DB364" s="33"/>
      <c r="DC364" s="33"/>
      <c r="DD364" s="33"/>
      <c r="DE364" s="33"/>
      <c r="DF364" s="33"/>
      <c r="DG364" s="33"/>
      <c r="DH364" s="33"/>
      <c r="DI364" s="33"/>
      <c r="DJ364" s="33"/>
      <c r="DK364" s="33"/>
      <c r="DL364" s="33"/>
      <c r="DM364" s="33"/>
      <c r="DN364" s="33"/>
      <c r="DO364" s="33"/>
      <c r="DP364" s="33"/>
      <c r="DQ364" s="33"/>
      <c r="DR364" s="33"/>
      <c r="DS364" s="33"/>
      <c r="DT364" s="33"/>
      <c r="DU364" s="33"/>
      <c r="DV364" s="33"/>
      <c r="DW364" s="33"/>
      <c r="DX364" s="33"/>
      <c r="DY364" s="33"/>
      <c r="DZ364" s="33"/>
      <c r="EA364" s="33"/>
      <c r="EB364" s="33"/>
      <c r="EC364" s="33"/>
      <c r="ED364" s="33"/>
      <c r="EE364" s="33"/>
      <c r="EF364" s="33"/>
      <c r="EG364" s="33"/>
      <c r="EH364" s="33"/>
      <c r="EI364" s="33"/>
      <c r="EJ364" s="33"/>
      <c r="EK364" s="33"/>
      <c r="EL364" s="33"/>
      <c r="EM364" s="33"/>
      <c r="EN364" s="33"/>
      <c r="EO364" s="33"/>
      <c r="EP364" s="33"/>
      <c r="EQ364" s="33"/>
      <c r="ER364" s="33"/>
      <c r="ES364" s="33"/>
    </row>
    <row r="365">
      <c r="A365" s="33"/>
      <c r="B365" s="33"/>
      <c r="C365" s="33"/>
      <c r="D365" s="33"/>
      <c r="E365" s="33"/>
      <c r="F365" s="33"/>
      <c r="G365" s="85"/>
      <c r="H365" s="85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3"/>
      <c r="AC365" s="33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3"/>
      <c r="AP365" s="33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3"/>
      <c r="CC365" s="33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3"/>
      <c r="CP365" s="33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3"/>
      <c r="DC365" s="33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3"/>
      <c r="DP365" s="33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3"/>
      <c r="EC365" s="33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3"/>
      <c r="EP365" s="33"/>
      <c r="EQ365" s="33"/>
      <c r="ER365" s="33"/>
      <c r="ES365" s="33"/>
    </row>
    <row r="366">
      <c r="A366" s="33"/>
      <c r="B366" s="33"/>
      <c r="C366" s="33"/>
      <c r="D366" s="33"/>
      <c r="E366" s="33"/>
      <c r="F366" s="33"/>
      <c r="G366" s="85"/>
      <c r="H366" s="85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33"/>
      <c r="Y366" s="33"/>
      <c r="Z366" s="33"/>
      <c r="AA366" s="33"/>
      <c r="AB366" s="33"/>
      <c r="AC366" s="33"/>
      <c r="AD366" s="33"/>
      <c r="AE366" s="33"/>
      <c r="AF366" s="33"/>
      <c r="AG366" s="33"/>
      <c r="AH366" s="33"/>
      <c r="AI366" s="33"/>
      <c r="AJ366" s="33"/>
      <c r="AK366" s="33"/>
      <c r="AL366" s="33"/>
      <c r="AM366" s="33"/>
      <c r="AN366" s="33"/>
      <c r="AO366" s="33"/>
      <c r="AP366" s="33"/>
      <c r="AQ366" s="33"/>
      <c r="AR366" s="33"/>
      <c r="AS366" s="33"/>
      <c r="AT366" s="33"/>
      <c r="AU366" s="33"/>
      <c r="AV366" s="33"/>
      <c r="AW366" s="33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  <c r="BU366" s="33"/>
      <c r="BV366" s="33"/>
      <c r="BW366" s="33"/>
      <c r="BX366" s="33"/>
      <c r="BY366" s="33"/>
      <c r="BZ366" s="33"/>
      <c r="CA366" s="33"/>
      <c r="CB366" s="33"/>
      <c r="CC366" s="33"/>
      <c r="CD366" s="33"/>
      <c r="CE366" s="33"/>
      <c r="CF366" s="33"/>
      <c r="CG366" s="33"/>
      <c r="CH366" s="33"/>
      <c r="CI366" s="33"/>
      <c r="CJ366" s="33"/>
      <c r="CK366" s="33"/>
      <c r="CL366" s="33"/>
      <c r="CM366" s="33"/>
      <c r="CN366" s="33"/>
      <c r="CO366" s="33"/>
      <c r="CP366" s="33"/>
      <c r="CQ366" s="33"/>
      <c r="CR366" s="33"/>
      <c r="CS366" s="33"/>
      <c r="CT366" s="33"/>
      <c r="CU366" s="33"/>
      <c r="CV366" s="33"/>
      <c r="CW366" s="33"/>
      <c r="CX366" s="33"/>
      <c r="CY366" s="33"/>
      <c r="CZ366" s="33"/>
      <c r="DA366" s="33"/>
      <c r="DB366" s="33"/>
      <c r="DC366" s="33"/>
      <c r="DD366" s="33"/>
      <c r="DE366" s="33"/>
      <c r="DF366" s="33"/>
      <c r="DG366" s="33"/>
      <c r="DH366" s="33"/>
      <c r="DI366" s="33"/>
      <c r="DJ366" s="33"/>
      <c r="DK366" s="33"/>
      <c r="DL366" s="33"/>
      <c r="DM366" s="33"/>
      <c r="DN366" s="33"/>
      <c r="DO366" s="33"/>
      <c r="DP366" s="33"/>
      <c r="DQ366" s="33"/>
      <c r="DR366" s="33"/>
      <c r="DS366" s="33"/>
      <c r="DT366" s="33"/>
      <c r="DU366" s="33"/>
      <c r="DV366" s="33"/>
      <c r="DW366" s="33"/>
      <c r="DX366" s="33"/>
      <c r="DY366" s="33"/>
      <c r="DZ366" s="33"/>
      <c r="EA366" s="33"/>
      <c r="EB366" s="33"/>
      <c r="EC366" s="33"/>
      <c r="ED366" s="33"/>
      <c r="EE366" s="33"/>
      <c r="EF366" s="33"/>
      <c r="EG366" s="33"/>
      <c r="EH366" s="33"/>
      <c r="EI366" s="33"/>
      <c r="EJ366" s="33"/>
      <c r="EK366" s="33"/>
      <c r="EL366" s="33"/>
      <c r="EM366" s="33"/>
      <c r="EN366" s="33"/>
      <c r="EO366" s="33"/>
      <c r="EP366" s="33"/>
      <c r="EQ366" s="33"/>
      <c r="ER366" s="33"/>
      <c r="ES366" s="33"/>
    </row>
    <row r="367">
      <c r="A367" s="33"/>
      <c r="B367" s="33"/>
      <c r="C367" s="33"/>
      <c r="D367" s="33"/>
      <c r="E367" s="33"/>
      <c r="F367" s="33"/>
      <c r="G367" s="85"/>
      <c r="H367" s="85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3"/>
      <c r="AC367" s="33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3"/>
      <c r="AP367" s="33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3"/>
      <c r="CC367" s="33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3"/>
      <c r="CP367" s="33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3"/>
      <c r="DC367" s="33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3"/>
      <c r="DP367" s="33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3"/>
      <c r="EC367" s="33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3"/>
      <c r="EP367" s="33"/>
      <c r="EQ367" s="33"/>
      <c r="ER367" s="33"/>
      <c r="ES367" s="33"/>
    </row>
    <row r="368">
      <c r="A368" s="33"/>
      <c r="B368" s="33"/>
      <c r="C368" s="33"/>
      <c r="D368" s="33"/>
      <c r="E368" s="33"/>
      <c r="F368" s="33"/>
      <c r="G368" s="85"/>
      <c r="H368" s="85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33"/>
      <c r="Y368" s="33"/>
      <c r="Z368" s="33"/>
      <c r="AA368" s="33"/>
      <c r="AB368" s="33"/>
      <c r="AC368" s="33"/>
      <c r="AD368" s="33"/>
      <c r="AE368" s="33"/>
      <c r="AF368" s="33"/>
      <c r="AG368" s="33"/>
      <c r="AH368" s="33"/>
      <c r="AI368" s="33"/>
      <c r="AJ368" s="33"/>
      <c r="AK368" s="33"/>
      <c r="AL368" s="33"/>
      <c r="AM368" s="33"/>
      <c r="AN368" s="33"/>
      <c r="AO368" s="33"/>
      <c r="AP368" s="33"/>
      <c r="AQ368" s="33"/>
      <c r="AR368" s="33"/>
      <c r="AS368" s="33"/>
      <c r="AT368" s="33"/>
      <c r="AU368" s="33"/>
      <c r="AV368" s="33"/>
      <c r="AW368" s="33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  <c r="BU368" s="33"/>
      <c r="BV368" s="33"/>
      <c r="BW368" s="33"/>
      <c r="BX368" s="33"/>
      <c r="BY368" s="33"/>
      <c r="BZ368" s="33"/>
      <c r="CA368" s="33"/>
      <c r="CB368" s="33"/>
      <c r="CC368" s="33"/>
      <c r="CD368" s="33"/>
      <c r="CE368" s="33"/>
      <c r="CF368" s="33"/>
      <c r="CG368" s="33"/>
      <c r="CH368" s="33"/>
      <c r="CI368" s="33"/>
      <c r="CJ368" s="33"/>
      <c r="CK368" s="33"/>
      <c r="CL368" s="33"/>
      <c r="CM368" s="33"/>
      <c r="CN368" s="33"/>
      <c r="CO368" s="33"/>
      <c r="CP368" s="33"/>
      <c r="CQ368" s="33"/>
      <c r="CR368" s="33"/>
      <c r="CS368" s="33"/>
      <c r="CT368" s="33"/>
      <c r="CU368" s="33"/>
      <c r="CV368" s="33"/>
      <c r="CW368" s="33"/>
      <c r="CX368" s="33"/>
      <c r="CY368" s="33"/>
      <c r="CZ368" s="33"/>
      <c r="DA368" s="33"/>
      <c r="DB368" s="33"/>
      <c r="DC368" s="33"/>
      <c r="DD368" s="33"/>
      <c r="DE368" s="33"/>
      <c r="DF368" s="33"/>
      <c r="DG368" s="33"/>
      <c r="DH368" s="33"/>
      <c r="DI368" s="33"/>
      <c r="DJ368" s="33"/>
      <c r="DK368" s="33"/>
      <c r="DL368" s="33"/>
      <c r="DM368" s="33"/>
      <c r="DN368" s="33"/>
      <c r="DO368" s="33"/>
      <c r="DP368" s="33"/>
      <c r="DQ368" s="33"/>
      <c r="DR368" s="33"/>
      <c r="DS368" s="33"/>
      <c r="DT368" s="33"/>
      <c r="DU368" s="33"/>
      <c r="DV368" s="33"/>
      <c r="DW368" s="33"/>
      <c r="DX368" s="33"/>
      <c r="DY368" s="33"/>
      <c r="DZ368" s="33"/>
      <c r="EA368" s="33"/>
      <c r="EB368" s="33"/>
      <c r="EC368" s="33"/>
      <c r="ED368" s="33"/>
      <c r="EE368" s="33"/>
      <c r="EF368" s="33"/>
      <c r="EG368" s="33"/>
      <c r="EH368" s="33"/>
      <c r="EI368" s="33"/>
      <c r="EJ368" s="33"/>
      <c r="EK368" s="33"/>
      <c r="EL368" s="33"/>
      <c r="EM368" s="33"/>
      <c r="EN368" s="33"/>
      <c r="EO368" s="33"/>
      <c r="EP368" s="33"/>
      <c r="EQ368" s="33"/>
      <c r="ER368" s="33"/>
      <c r="ES368" s="33"/>
    </row>
    <row r="369">
      <c r="A369" s="33"/>
      <c r="B369" s="33"/>
      <c r="C369" s="33"/>
      <c r="D369" s="33"/>
      <c r="E369" s="33"/>
      <c r="F369" s="33"/>
      <c r="G369" s="85"/>
      <c r="H369" s="85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3"/>
      <c r="AC369" s="33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3"/>
      <c r="AP369" s="33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3"/>
      <c r="CC369" s="33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3"/>
      <c r="CP369" s="33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3"/>
      <c r="DC369" s="33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3"/>
      <c r="DP369" s="33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3"/>
      <c r="EC369" s="33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3"/>
      <c r="EP369" s="33"/>
      <c r="EQ369" s="33"/>
      <c r="ER369" s="33"/>
      <c r="ES369" s="33"/>
    </row>
    <row r="370">
      <c r="A370" s="33"/>
      <c r="B370" s="33"/>
      <c r="C370" s="33"/>
      <c r="D370" s="33"/>
      <c r="E370" s="33"/>
      <c r="F370" s="33"/>
      <c r="G370" s="85"/>
      <c r="H370" s="85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33"/>
      <c r="Y370" s="33"/>
      <c r="Z370" s="33"/>
      <c r="AA370" s="33"/>
      <c r="AB370" s="33"/>
      <c r="AC370" s="33"/>
      <c r="AD370" s="33"/>
      <c r="AE370" s="33"/>
      <c r="AF370" s="33"/>
      <c r="AG370" s="33"/>
      <c r="AH370" s="33"/>
      <c r="AI370" s="33"/>
      <c r="AJ370" s="33"/>
      <c r="AK370" s="33"/>
      <c r="AL370" s="33"/>
      <c r="AM370" s="33"/>
      <c r="AN370" s="33"/>
      <c r="AO370" s="33"/>
      <c r="AP370" s="33"/>
      <c r="AQ370" s="33"/>
      <c r="AR370" s="33"/>
      <c r="AS370" s="33"/>
      <c r="AT370" s="33"/>
      <c r="AU370" s="33"/>
      <c r="AV370" s="33"/>
      <c r="AW370" s="33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  <c r="BU370" s="33"/>
      <c r="BV370" s="33"/>
      <c r="BW370" s="33"/>
      <c r="BX370" s="33"/>
      <c r="BY370" s="33"/>
      <c r="BZ370" s="33"/>
      <c r="CA370" s="33"/>
      <c r="CB370" s="33"/>
      <c r="CC370" s="33"/>
      <c r="CD370" s="33"/>
      <c r="CE370" s="33"/>
      <c r="CF370" s="33"/>
      <c r="CG370" s="33"/>
      <c r="CH370" s="33"/>
      <c r="CI370" s="33"/>
      <c r="CJ370" s="33"/>
      <c r="CK370" s="33"/>
      <c r="CL370" s="33"/>
      <c r="CM370" s="33"/>
      <c r="CN370" s="33"/>
      <c r="CO370" s="33"/>
      <c r="CP370" s="33"/>
      <c r="CQ370" s="33"/>
      <c r="CR370" s="33"/>
      <c r="CS370" s="33"/>
      <c r="CT370" s="33"/>
      <c r="CU370" s="33"/>
      <c r="CV370" s="33"/>
      <c r="CW370" s="33"/>
      <c r="CX370" s="33"/>
      <c r="CY370" s="33"/>
      <c r="CZ370" s="33"/>
      <c r="DA370" s="33"/>
      <c r="DB370" s="33"/>
      <c r="DC370" s="33"/>
      <c r="DD370" s="33"/>
      <c r="DE370" s="33"/>
      <c r="DF370" s="33"/>
      <c r="DG370" s="33"/>
      <c r="DH370" s="33"/>
      <c r="DI370" s="33"/>
      <c r="DJ370" s="33"/>
      <c r="DK370" s="33"/>
      <c r="DL370" s="33"/>
      <c r="DM370" s="33"/>
      <c r="DN370" s="33"/>
      <c r="DO370" s="33"/>
      <c r="DP370" s="33"/>
      <c r="DQ370" s="33"/>
      <c r="DR370" s="33"/>
      <c r="DS370" s="33"/>
      <c r="DT370" s="33"/>
      <c r="DU370" s="33"/>
      <c r="DV370" s="33"/>
      <c r="DW370" s="33"/>
      <c r="DX370" s="33"/>
      <c r="DY370" s="33"/>
      <c r="DZ370" s="33"/>
      <c r="EA370" s="33"/>
      <c r="EB370" s="33"/>
      <c r="EC370" s="33"/>
      <c r="ED370" s="33"/>
      <c r="EE370" s="33"/>
      <c r="EF370" s="33"/>
      <c r="EG370" s="33"/>
      <c r="EH370" s="33"/>
      <c r="EI370" s="33"/>
      <c r="EJ370" s="33"/>
      <c r="EK370" s="33"/>
      <c r="EL370" s="33"/>
      <c r="EM370" s="33"/>
      <c r="EN370" s="33"/>
      <c r="EO370" s="33"/>
      <c r="EP370" s="33"/>
      <c r="EQ370" s="33"/>
      <c r="ER370" s="33"/>
      <c r="ES370" s="33"/>
    </row>
    <row r="371">
      <c r="A371" s="33"/>
      <c r="B371" s="33"/>
      <c r="C371" s="33"/>
      <c r="D371" s="33"/>
      <c r="E371" s="33"/>
      <c r="F371" s="33"/>
      <c r="G371" s="85"/>
      <c r="H371" s="85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3"/>
      <c r="AC371" s="33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3"/>
      <c r="AP371" s="33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3"/>
      <c r="CC371" s="33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3"/>
      <c r="CP371" s="33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3"/>
      <c r="DC371" s="33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3"/>
      <c r="DP371" s="33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3"/>
      <c r="EC371" s="33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3"/>
      <c r="EP371" s="33"/>
      <c r="EQ371" s="33"/>
      <c r="ER371" s="33"/>
      <c r="ES371" s="33"/>
    </row>
    <row r="372">
      <c r="A372" s="33"/>
      <c r="B372" s="33"/>
      <c r="C372" s="33"/>
      <c r="D372" s="33"/>
      <c r="E372" s="33"/>
      <c r="F372" s="33"/>
      <c r="G372" s="85"/>
      <c r="H372" s="85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33"/>
      <c r="Y372" s="33"/>
      <c r="Z372" s="33"/>
      <c r="AA372" s="33"/>
      <c r="AB372" s="33"/>
      <c r="AC372" s="33"/>
      <c r="AD372" s="33"/>
      <c r="AE372" s="33"/>
      <c r="AF372" s="33"/>
      <c r="AG372" s="33"/>
      <c r="AH372" s="33"/>
      <c r="AI372" s="33"/>
      <c r="AJ372" s="33"/>
      <c r="AK372" s="33"/>
      <c r="AL372" s="33"/>
      <c r="AM372" s="33"/>
      <c r="AN372" s="33"/>
      <c r="AO372" s="33"/>
      <c r="AP372" s="33"/>
      <c r="AQ372" s="33"/>
      <c r="AR372" s="33"/>
      <c r="AS372" s="33"/>
      <c r="AT372" s="33"/>
      <c r="AU372" s="33"/>
      <c r="AV372" s="33"/>
      <c r="AW372" s="33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  <c r="BU372" s="33"/>
      <c r="BV372" s="33"/>
      <c r="BW372" s="33"/>
      <c r="BX372" s="33"/>
      <c r="BY372" s="33"/>
      <c r="BZ372" s="33"/>
      <c r="CA372" s="33"/>
      <c r="CB372" s="33"/>
      <c r="CC372" s="33"/>
      <c r="CD372" s="33"/>
      <c r="CE372" s="33"/>
      <c r="CF372" s="33"/>
      <c r="CG372" s="33"/>
      <c r="CH372" s="33"/>
      <c r="CI372" s="33"/>
      <c r="CJ372" s="33"/>
      <c r="CK372" s="33"/>
      <c r="CL372" s="33"/>
      <c r="CM372" s="33"/>
      <c r="CN372" s="33"/>
      <c r="CO372" s="33"/>
      <c r="CP372" s="33"/>
      <c r="CQ372" s="33"/>
      <c r="CR372" s="33"/>
      <c r="CS372" s="33"/>
      <c r="CT372" s="33"/>
      <c r="CU372" s="33"/>
      <c r="CV372" s="33"/>
      <c r="CW372" s="33"/>
      <c r="CX372" s="33"/>
      <c r="CY372" s="33"/>
      <c r="CZ372" s="33"/>
      <c r="DA372" s="33"/>
      <c r="DB372" s="33"/>
      <c r="DC372" s="33"/>
      <c r="DD372" s="33"/>
      <c r="DE372" s="33"/>
      <c r="DF372" s="33"/>
      <c r="DG372" s="33"/>
      <c r="DH372" s="33"/>
      <c r="DI372" s="33"/>
      <c r="DJ372" s="33"/>
      <c r="DK372" s="33"/>
      <c r="DL372" s="33"/>
      <c r="DM372" s="33"/>
      <c r="DN372" s="33"/>
      <c r="DO372" s="33"/>
      <c r="DP372" s="33"/>
      <c r="DQ372" s="33"/>
      <c r="DR372" s="33"/>
      <c r="DS372" s="33"/>
      <c r="DT372" s="33"/>
      <c r="DU372" s="33"/>
      <c r="DV372" s="33"/>
      <c r="DW372" s="33"/>
      <c r="DX372" s="33"/>
      <c r="DY372" s="33"/>
      <c r="DZ372" s="33"/>
      <c r="EA372" s="33"/>
      <c r="EB372" s="33"/>
      <c r="EC372" s="33"/>
      <c r="ED372" s="33"/>
      <c r="EE372" s="33"/>
      <c r="EF372" s="33"/>
      <c r="EG372" s="33"/>
      <c r="EH372" s="33"/>
      <c r="EI372" s="33"/>
      <c r="EJ372" s="33"/>
      <c r="EK372" s="33"/>
      <c r="EL372" s="33"/>
      <c r="EM372" s="33"/>
      <c r="EN372" s="33"/>
      <c r="EO372" s="33"/>
      <c r="EP372" s="33"/>
      <c r="EQ372" s="33"/>
      <c r="ER372" s="33"/>
      <c r="ES372" s="33"/>
    </row>
    <row r="373">
      <c r="A373" s="33"/>
      <c r="B373" s="33"/>
      <c r="C373" s="33"/>
      <c r="D373" s="33"/>
      <c r="E373" s="33"/>
      <c r="F373" s="33"/>
      <c r="G373" s="85"/>
      <c r="H373" s="85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3"/>
      <c r="AC373" s="33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3"/>
      <c r="AP373" s="33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3"/>
      <c r="CC373" s="33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3"/>
      <c r="CP373" s="33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3"/>
      <c r="DC373" s="33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3"/>
      <c r="DP373" s="33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3"/>
      <c r="EC373" s="33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3"/>
      <c r="EP373" s="33"/>
      <c r="EQ373" s="33"/>
      <c r="ER373" s="33"/>
      <c r="ES373" s="33"/>
    </row>
    <row r="374">
      <c r="A374" s="33"/>
      <c r="B374" s="33"/>
      <c r="C374" s="33"/>
      <c r="D374" s="33"/>
      <c r="E374" s="33"/>
      <c r="F374" s="33"/>
      <c r="G374" s="85"/>
      <c r="H374" s="85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33"/>
      <c r="Y374" s="33"/>
      <c r="Z374" s="33"/>
      <c r="AA374" s="33"/>
      <c r="AB374" s="33"/>
      <c r="AC374" s="33"/>
      <c r="AD374" s="33"/>
      <c r="AE374" s="33"/>
      <c r="AF374" s="33"/>
      <c r="AG374" s="33"/>
      <c r="AH374" s="33"/>
      <c r="AI374" s="33"/>
      <c r="AJ374" s="33"/>
      <c r="AK374" s="33"/>
      <c r="AL374" s="33"/>
      <c r="AM374" s="33"/>
      <c r="AN374" s="33"/>
      <c r="AO374" s="33"/>
      <c r="AP374" s="33"/>
      <c r="AQ374" s="33"/>
      <c r="AR374" s="33"/>
      <c r="AS374" s="33"/>
      <c r="AT374" s="33"/>
      <c r="AU374" s="33"/>
      <c r="AV374" s="33"/>
      <c r="AW374" s="33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  <c r="BU374" s="33"/>
      <c r="BV374" s="33"/>
      <c r="BW374" s="33"/>
      <c r="BX374" s="33"/>
      <c r="BY374" s="33"/>
      <c r="BZ374" s="33"/>
      <c r="CA374" s="33"/>
      <c r="CB374" s="33"/>
      <c r="CC374" s="33"/>
      <c r="CD374" s="33"/>
      <c r="CE374" s="33"/>
      <c r="CF374" s="33"/>
      <c r="CG374" s="33"/>
      <c r="CH374" s="33"/>
      <c r="CI374" s="33"/>
      <c r="CJ374" s="33"/>
      <c r="CK374" s="33"/>
      <c r="CL374" s="33"/>
      <c r="CM374" s="33"/>
      <c r="CN374" s="33"/>
      <c r="CO374" s="33"/>
      <c r="CP374" s="33"/>
      <c r="CQ374" s="33"/>
      <c r="CR374" s="33"/>
      <c r="CS374" s="33"/>
      <c r="CT374" s="33"/>
      <c r="CU374" s="33"/>
      <c r="CV374" s="33"/>
      <c r="CW374" s="33"/>
      <c r="CX374" s="33"/>
      <c r="CY374" s="33"/>
      <c r="CZ374" s="33"/>
      <c r="DA374" s="33"/>
      <c r="DB374" s="33"/>
      <c r="DC374" s="33"/>
      <c r="DD374" s="33"/>
      <c r="DE374" s="33"/>
      <c r="DF374" s="33"/>
      <c r="DG374" s="33"/>
      <c r="DH374" s="33"/>
      <c r="DI374" s="33"/>
      <c r="DJ374" s="33"/>
      <c r="DK374" s="33"/>
      <c r="DL374" s="33"/>
      <c r="DM374" s="33"/>
      <c r="DN374" s="33"/>
      <c r="DO374" s="33"/>
      <c r="DP374" s="33"/>
      <c r="DQ374" s="33"/>
      <c r="DR374" s="33"/>
      <c r="DS374" s="33"/>
      <c r="DT374" s="33"/>
      <c r="DU374" s="33"/>
      <c r="DV374" s="33"/>
      <c r="DW374" s="33"/>
      <c r="DX374" s="33"/>
      <c r="DY374" s="33"/>
      <c r="DZ374" s="33"/>
      <c r="EA374" s="33"/>
      <c r="EB374" s="33"/>
      <c r="EC374" s="33"/>
      <c r="ED374" s="33"/>
      <c r="EE374" s="33"/>
      <c r="EF374" s="33"/>
      <c r="EG374" s="33"/>
      <c r="EH374" s="33"/>
      <c r="EI374" s="33"/>
      <c r="EJ374" s="33"/>
      <c r="EK374" s="33"/>
      <c r="EL374" s="33"/>
      <c r="EM374" s="33"/>
      <c r="EN374" s="33"/>
      <c r="EO374" s="33"/>
      <c r="EP374" s="33"/>
      <c r="EQ374" s="33"/>
      <c r="ER374" s="33"/>
      <c r="ES374" s="33"/>
    </row>
    <row r="375">
      <c r="A375" s="33"/>
      <c r="B375" s="33"/>
      <c r="C375" s="33"/>
      <c r="D375" s="33"/>
      <c r="E375" s="33"/>
      <c r="F375" s="33"/>
      <c r="G375" s="85"/>
      <c r="H375" s="85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3"/>
      <c r="AC375" s="33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3"/>
      <c r="AP375" s="33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3"/>
      <c r="CC375" s="33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3"/>
      <c r="CP375" s="33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3"/>
      <c r="DC375" s="33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3"/>
      <c r="DP375" s="33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3"/>
      <c r="EC375" s="33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3"/>
      <c r="EP375" s="33"/>
      <c r="EQ375" s="33"/>
      <c r="ER375" s="33"/>
      <c r="ES375" s="33"/>
    </row>
    <row r="376">
      <c r="A376" s="33"/>
      <c r="B376" s="33"/>
      <c r="C376" s="33"/>
      <c r="D376" s="33"/>
      <c r="E376" s="33"/>
      <c r="F376" s="33"/>
      <c r="G376" s="85"/>
      <c r="H376" s="85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33"/>
      <c r="Y376" s="33"/>
      <c r="Z376" s="33"/>
      <c r="AA376" s="33"/>
      <c r="AB376" s="33"/>
      <c r="AC376" s="33"/>
      <c r="AD376" s="33"/>
      <c r="AE376" s="33"/>
      <c r="AF376" s="33"/>
      <c r="AG376" s="33"/>
      <c r="AH376" s="33"/>
      <c r="AI376" s="33"/>
      <c r="AJ376" s="33"/>
      <c r="AK376" s="33"/>
      <c r="AL376" s="33"/>
      <c r="AM376" s="33"/>
      <c r="AN376" s="33"/>
      <c r="AO376" s="33"/>
      <c r="AP376" s="33"/>
      <c r="AQ376" s="33"/>
      <c r="AR376" s="33"/>
      <c r="AS376" s="33"/>
      <c r="AT376" s="33"/>
      <c r="AU376" s="33"/>
      <c r="AV376" s="33"/>
      <c r="AW376" s="33"/>
      <c r="AX376" s="33"/>
      <c r="AY376" s="33"/>
      <c r="AZ376" s="33"/>
      <c r="BA376" s="33"/>
      <c r="BB376" s="33"/>
      <c r="BC376" s="33"/>
      <c r="BD376" s="33"/>
      <c r="BE376" s="33"/>
      <c r="BF376" s="33"/>
      <c r="BG376" s="33"/>
      <c r="BH376" s="33"/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  <c r="BU376" s="33"/>
      <c r="BV376" s="33"/>
      <c r="BW376" s="33"/>
      <c r="BX376" s="33"/>
      <c r="BY376" s="33"/>
      <c r="BZ376" s="33"/>
      <c r="CA376" s="33"/>
      <c r="CB376" s="33"/>
      <c r="CC376" s="33"/>
      <c r="CD376" s="33"/>
      <c r="CE376" s="33"/>
      <c r="CF376" s="33"/>
      <c r="CG376" s="33"/>
      <c r="CH376" s="33"/>
      <c r="CI376" s="33"/>
      <c r="CJ376" s="33"/>
      <c r="CK376" s="33"/>
      <c r="CL376" s="33"/>
      <c r="CM376" s="33"/>
      <c r="CN376" s="33"/>
      <c r="CO376" s="33"/>
      <c r="CP376" s="33"/>
      <c r="CQ376" s="33"/>
      <c r="CR376" s="33"/>
      <c r="CS376" s="33"/>
      <c r="CT376" s="33"/>
      <c r="CU376" s="33"/>
      <c r="CV376" s="33"/>
      <c r="CW376" s="33"/>
      <c r="CX376" s="33"/>
      <c r="CY376" s="33"/>
      <c r="CZ376" s="33"/>
      <c r="DA376" s="33"/>
      <c r="DB376" s="33"/>
      <c r="DC376" s="33"/>
      <c r="DD376" s="33"/>
      <c r="DE376" s="33"/>
      <c r="DF376" s="33"/>
      <c r="DG376" s="33"/>
      <c r="DH376" s="33"/>
      <c r="DI376" s="33"/>
      <c r="DJ376" s="33"/>
      <c r="DK376" s="33"/>
      <c r="DL376" s="33"/>
      <c r="DM376" s="33"/>
      <c r="DN376" s="33"/>
      <c r="DO376" s="33"/>
      <c r="DP376" s="33"/>
      <c r="DQ376" s="33"/>
      <c r="DR376" s="33"/>
      <c r="DS376" s="33"/>
      <c r="DT376" s="33"/>
      <c r="DU376" s="33"/>
      <c r="DV376" s="33"/>
      <c r="DW376" s="33"/>
      <c r="DX376" s="33"/>
      <c r="DY376" s="33"/>
      <c r="DZ376" s="33"/>
      <c r="EA376" s="33"/>
      <c r="EB376" s="33"/>
      <c r="EC376" s="33"/>
      <c r="ED376" s="33"/>
      <c r="EE376" s="33"/>
      <c r="EF376" s="33"/>
      <c r="EG376" s="33"/>
      <c r="EH376" s="33"/>
      <c r="EI376" s="33"/>
      <c r="EJ376" s="33"/>
      <c r="EK376" s="33"/>
      <c r="EL376" s="33"/>
      <c r="EM376" s="33"/>
      <c r="EN376" s="33"/>
      <c r="EO376" s="33"/>
      <c r="EP376" s="33"/>
      <c r="EQ376" s="33"/>
      <c r="ER376" s="33"/>
      <c r="ES376" s="33"/>
    </row>
    <row r="377">
      <c r="A377" s="33"/>
      <c r="B377" s="33"/>
      <c r="C377" s="33"/>
      <c r="D377" s="33"/>
      <c r="E377" s="33"/>
      <c r="F377" s="33"/>
      <c r="G377" s="85"/>
      <c r="H377" s="85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3"/>
      <c r="AC377" s="33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3"/>
      <c r="AP377" s="33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3"/>
      <c r="BC377" s="33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3"/>
      <c r="CC377" s="33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3"/>
      <c r="CP377" s="33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3"/>
      <c r="DC377" s="33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3"/>
      <c r="DP377" s="33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3"/>
      <c r="EC377" s="33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3"/>
      <c r="EP377" s="33"/>
      <c r="EQ377" s="33"/>
      <c r="ER377" s="33"/>
      <c r="ES377" s="33"/>
    </row>
    <row r="378">
      <c r="A378" s="33"/>
      <c r="B378" s="33"/>
      <c r="C378" s="33"/>
      <c r="D378" s="33"/>
      <c r="E378" s="33"/>
      <c r="F378" s="33"/>
      <c r="G378" s="85"/>
      <c r="H378" s="85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33"/>
      <c r="Y378" s="33"/>
      <c r="Z378" s="33"/>
      <c r="AA378" s="33"/>
      <c r="AB378" s="33"/>
      <c r="AC378" s="33"/>
      <c r="AD378" s="33"/>
      <c r="AE378" s="33"/>
      <c r="AF378" s="33"/>
      <c r="AG378" s="33"/>
      <c r="AH378" s="33"/>
      <c r="AI378" s="33"/>
      <c r="AJ378" s="33"/>
      <c r="AK378" s="33"/>
      <c r="AL378" s="33"/>
      <c r="AM378" s="33"/>
      <c r="AN378" s="33"/>
      <c r="AO378" s="33"/>
      <c r="AP378" s="33"/>
      <c r="AQ378" s="33"/>
      <c r="AR378" s="33"/>
      <c r="AS378" s="33"/>
      <c r="AT378" s="33"/>
      <c r="AU378" s="33"/>
      <c r="AV378" s="33"/>
      <c r="AW378" s="33"/>
      <c r="AX378" s="33"/>
      <c r="AY378" s="33"/>
      <c r="AZ378" s="33"/>
      <c r="BA378" s="33"/>
      <c r="BB378" s="33"/>
      <c r="BC378" s="33"/>
      <c r="BD378" s="33"/>
      <c r="BE378" s="33"/>
      <c r="BF378" s="33"/>
      <c r="BG378" s="33"/>
      <c r="BH378" s="33"/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  <c r="BU378" s="33"/>
      <c r="BV378" s="33"/>
      <c r="BW378" s="33"/>
      <c r="BX378" s="33"/>
      <c r="BY378" s="33"/>
      <c r="BZ378" s="33"/>
      <c r="CA378" s="33"/>
      <c r="CB378" s="33"/>
      <c r="CC378" s="33"/>
      <c r="CD378" s="33"/>
      <c r="CE378" s="33"/>
      <c r="CF378" s="33"/>
      <c r="CG378" s="33"/>
      <c r="CH378" s="33"/>
      <c r="CI378" s="33"/>
      <c r="CJ378" s="33"/>
      <c r="CK378" s="33"/>
      <c r="CL378" s="33"/>
      <c r="CM378" s="33"/>
      <c r="CN378" s="33"/>
      <c r="CO378" s="33"/>
      <c r="CP378" s="33"/>
      <c r="CQ378" s="33"/>
      <c r="CR378" s="33"/>
      <c r="CS378" s="33"/>
      <c r="CT378" s="33"/>
      <c r="CU378" s="33"/>
      <c r="CV378" s="33"/>
      <c r="CW378" s="33"/>
      <c r="CX378" s="33"/>
      <c r="CY378" s="33"/>
      <c r="CZ378" s="33"/>
      <c r="DA378" s="33"/>
      <c r="DB378" s="33"/>
      <c r="DC378" s="33"/>
      <c r="DD378" s="33"/>
      <c r="DE378" s="33"/>
      <c r="DF378" s="33"/>
      <c r="DG378" s="33"/>
      <c r="DH378" s="33"/>
      <c r="DI378" s="33"/>
      <c r="DJ378" s="33"/>
      <c r="DK378" s="33"/>
      <c r="DL378" s="33"/>
      <c r="DM378" s="33"/>
      <c r="DN378" s="33"/>
      <c r="DO378" s="33"/>
      <c r="DP378" s="33"/>
      <c r="DQ378" s="33"/>
      <c r="DR378" s="33"/>
      <c r="DS378" s="33"/>
      <c r="DT378" s="33"/>
      <c r="DU378" s="33"/>
      <c r="DV378" s="33"/>
      <c r="DW378" s="33"/>
      <c r="DX378" s="33"/>
      <c r="DY378" s="33"/>
      <c r="DZ378" s="33"/>
      <c r="EA378" s="33"/>
      <c r="EB378" s="33"/>
      <c r="EC378" s="33"/>
      <c r="ED378" s="33"/>
      <c r="EE378" s="33"/>
      <c r="EF378" s="33"/>
      <c r="EG378" s="33"/>
      <c r="EH378" s="33"/>
      <c r="EI378" s="33"/>
      <c r="EJ378" s="33"/>
      <c r="EK378" s="33"/>
      <c r="EL378" s="33"/>
      <c r="EM378" s="33"/>
      <c r="EN378" s="33"/>
      <c r="EO378" s="33"/>
      <c r="EP378" s="33"/>
      <c r="EQ378" s="33"/>
      <c r="ER378" s="33"/>
      <c r="ES378" s="33"/>
    </row>
    <row r="379">
      <c r="A379" s="33"/>
      <c r="B379" s="33"/>
      <c r="C379" s="33"/>
      <c r="D379" s="33"/>
      <c r="E379" s="33"/>
      <c r="F379" s="33"/>
      <c r="G379" s="85"/>
      <c r="H379" s="85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3"/>
      <c r="AC379" s="33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3"/>
      <c r="AP379" s="33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3"/>
      <c r="BC379" s="33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3"/>
      <c r="CC379" s="33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3"/>
      <c r="CP379" s="33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3"/>
      <c r="DC379" s="33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3"/>
      <c r="DP379" s="33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3"/>
      <c r="EC379" s="33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3"/>
      <c r="EP379" s="33"/>
      <c r="EQ379" s="33"/>
      <c r="ER379" s="33"/>
      <c r="ES379" s="33"/>
    </row>
    <row r="380">
      <c r="A380" s="33"/>
      <c r="B380" s="33"/>
      <c r="C380" s="33"/>
      <c r="D380" s="33"/>
      <c r="E380" s="33"/>
      <c r="F380" s="33"/>
      <c r="G380" s="85"/>
      <c r="H380" s="85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33"/>
      <c r="Y380" s="33"/>
      <c r="Z380" s="33"/>
      <c r="AA380" s="33"/>
      <c r="AB380" s="33"/>
      <c r="AC380" s="33"/>
      <c r="AD380" s="33"/>
      <c r="AE380" s="33"/>
      <c r="AF380" s="33"/>
      <c r="AG380" s="33"/>
      <c r="AH380" s="33"/>
      <c r="AI380" s="33"/>
      <c r="AJ380" s="33"/>
      <c r="AK380" s="33"/>
      <c r="AL380" s="33"/>
      <c r="AM380" s="33"/>
      <c r="AN380" s="33"/>
      <c r="AO380" s="33"/>
      <c r="AP380" s="33"/>
      <c r="AQ380" s="33"/>
      <c r="AR380" s="33"/>
      <c r="AS380" s="33"/>
      <c r="AT380" s="33"/>
      <c r="AU380" s="33"/>
      <c r="AV380" s="33"/>
      <c r="AW380" s="33"/>
      <c r="AX380" s="33"/>
      <c r="AY380" s="33"/>
      <c r="AZ380" s="33"/>
      <c r="BA380" s="33"/>
      <c r="BB380" s="33"/>
      <c r="BC380" s="33"/>
      <c r="BD380" s="33"/>
      <c r="BE380" s="33"/>
      <c r="BF380" s="33"/>
      <c r="BG380" s="33"/>
      <c r="BH380" s="33"/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  <c r="BU380" s="33"/>
      <c r="BV380" s="33"/>
      <c r="BW380" s="33"/>
      <c r="BX380" s="33"/>
      <c r="BY380" s="33"/>
      <c r="BZ380" s="33"/>
      <c r="CA380" s="33"/>
      <c r="CB380" s="33"/>
      <c r="CC380" s="33"/>
      <c r="CD380" s="33"/>
      <c r="CE380" s="33"/>
      <c r="CF380" s="33"/>
      <c r="CG380" s="33"/>
      <c r="CH380" s="33"/>
      <c r="CI380" s="33"/>
      <c r="CJ380" s="33"/>
      <c r="CK380" s="33"/>
      <c r="CL380" s="33"/>
      <c r="CM380" s="33"/>
      <c r="CN380" s="33"/>
      <c r="CO380" s="33"/>
      <c r="CP380" s="33"/>
      <c r="CQ380" s="33"/>
      <c r="CR380" s="33"/>
      <c r="CS380" s="33"/>
      <c r="CT380" s="33"/>
      <c r="CU380" s="33"/>
      <c r="CV380" s="33"/>
      <c r="CW380" s="33"/>
      <c r="CX380" s="33"/>
      <c r="CY380" s="33"/>
      <c r="CZ380" s="33"/>
      <c r="DA380" s="33"/>
      <c r="DB380" s="33"/>
      <c r="DC380" s="33"/>
      <c r="DD380" s="33"/>
      <c r="DE380" s="33"/>
      <c r="DF380" s="33"/>
      <c r="DG380" s="33"/>
      <c r="DH380" s="33"/>
      <c r="DI380" s="33"/>
      <c r="DJ380" s="33"/>
      <c r="DK380" s="33"/>
      <c r="DL380" s="33"/>
      <c r="DM380" s="33"/>
      <c r="DN380" s="33"/>
      <c r="DO380" s="33"/>
      <c r="DP380" s="33"/>
      <c r="DQ380" s="33"/>
      <c r="DR380" s="33"/>
      <c r="DS380" s="33"/>
      <c r="DT380" s="33"/>
      <c r="DU380" s="33"/>
      <c r="DV380" s="33"/>
      <c r="DW380" s="33"/>
      <c r="DX380" s="33"/>
      <c r="DY380" s="33"/>
      <c r="DZ380" s="33"/>
      <c r="EA380" s="33"/>
      <c r="EB380" s="33"/>
      <c r="EC380" s="33"/>
      <c r="ED380" s="33"/>
      <c r="EE380" s="33"/>
      <c r="EF380" s="33"/>
      <c r="EG380" s="33"/>
      <c r="EH380" s="33"/>
      <c r="EI380" s="33"/>
      <c r="EJ380" s="33"/>
      <c r="EK380" s="33"/>
      <c r="EL380" s="33"/>
      <c r="EM380" s="33"/>
      <c r="EN380" s="33"/>
      <c r="EO380" s="33"/>
      <c r="EP380" s="33"/>
      <c r="EQ380" s="33"/>
      <c r="ER380" s="33"/>
      <c r="ES380" s="33"/>
    </row>
    <row r="381">
      <c r="A381" s="33"/>
      <c r="B381" s="33"/>
      <c r="C381" s="33"/>
      <c r="D381" s="33"/>
      <c r="E381" s="33"/>
      <c r="F381" s="33"/>
      <c r="G381" s="85"/>
      <c r="H381" s="85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3"/>
      <c r="AC381" s="33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3"/>
      <c r="AP381" s="33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3"/>
      <c r="BC381" s="33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3"/>
      <c r="CC381" s="33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3"/>
      <c r="CP381" s="33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3"/>
      <c r="DC381" s="33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3"/>
      <c r="DP381" s="33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3"/>
      <c r="EC381" s="33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3"/>
      <c r="EP381" s="33"/>
      <c r="EQ381" s="33"/>
      <c r="ER381" s="33"/>
      <c r="ES381" s="33"/>
    </row>
    <row r="382">
      <c r="A382" s="33"/>
      <c r="B382" s="33"/>
      <c r="C382" s="33"/>
      <c r="D382" s="33"/>
      <c r="E382" s="33"/>
      <c r="F382" s="33"/>
      <c r="G382" s="85"/>
      <c r="H382" s="85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33"/>
      <c r="Y382" s="33"/>
      <c r="Z382" s="33"/>
      <c r="AA382" s="33"/>
      <c r="AB382" s="33"/>
      <c r="AC382" s="33"/>
      <c r="AD382" s="33"/>
      <c r="AE382" s="33"/>
      <c r="AF382" s="33"/>
      <c r="AG382" s="33"/>
      <c r="AH382" s="33"/>
      <c r="AI382" s="33"/>
      <c r="AJ382" s="33"/>
      <c r="AK382" s="33"/>
      <c r="AL382" s="33"/>
      <c r="AM382" s="33"/>
      <c r="AN382" s="33"/>
      <c r="AO382" s="33"/>
      <c r="AP382" s="33"/>
      <c r="AQ382" s="33"/>
      <c r="AR382" s="33"/>
      <c r="AS382" s="33"/>
      <c r="AT382" s="33"/>
      <c r="AU382" s="33"/>
      <c r="AV382" s="33"/>
      <c r="AW382" s="33"/>
      <c r="AX382" s="33"/>
      <c r="AY382" s="33"/>
      <c r="AZ382" s="33"/>
      <c r="BA382" s="33"/>
      <c r="BB382" s="33"/>
      <c r="BC382" s="33"/>
      <c r="BD382" s="33"/>
      <c r="BE382" s="33"/>
      <c r="BF382" s="33"/>
      <c r="BG382" s="33"/>
      <c r="BH382" s="33"/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  <c r="BU382" s="33"/>
      <c r="BV382" s="33"/>
      <c r="BW382" s="33"/>
      <c r="BX382" s="33"/>
      <c r="BY382" s="33"/>
      <c r="BZ382" s="33"/>
      <c r="CA382" s="33"/>
      <c r="CB382" s="33"/>
      <c r="CC382" s="33"/>
      <c r="CD382" s="33"/>
      <c r="CE382" s="33"/>
      <c r="CF382" s="33"/>
      <c r="CG382" s="33"/>
      <c r="CH382" s="33"/>
      <c r="CI382" s="33"/>
      <c r="CJ382" s="33"/>
      <c r="CK382" s="33"/>
      <c r="CL382" s="33"/>
      <c r="CM382" s="33"/>
      <c r="CN382" s="33"/>
      <c r="CO382" s="33"/>
      <c r="CP382" s="33"/>
      <c r="CQ382" s="33"/>
      <c r="CR382" s="33"/>
      <c r="CS382" s="33"/>
      <c r="CT382" s="33"/>
      <c r="CU382" s="33"/>
      <c r="CV382" s="33"/>
      <c r="CW382" s="33"/>
      <c r="CX382" s="33"/>
      <c r="CY382" s="33"/>
      <c r="CZ382" s="33"/>
      <c r="DA382" s="33"/>
      <c r="DB382" s="33"/>
      <c r="DC382" s="33"/>
      <c r="DD382" s="33"/>
      <c r="DE382" s="33"/>
      <c r="DF382" s="33"/>
      <c r="DG382" s="33"/>
      <c r="DH382" s="33"/>
      <c r="DI382" s="33"/>
      <c r="DJ382" s="33"/>
      <c r="DK382" s="33"/>
      <c r="DL382" s="33"/>
      <c r="DM382" s="33"/>
      <c r="DN382" s="33"/>
      <c r="DO382" s="33"/>
      <c r="DP382" s="33"/>
      <c r="DQ382" s="33"/>
      <c r="DR382" s="33"/>
      <c r="DS382" s="33"/>
      <c r="DT382" s="33"/>
      <c r="DU382" s="33"/>
      <c r="DV382" s="33"/>
      <c r="DW382" s="33"/>
      <c r="DX382" s="33"/>
      <c r="DY382" s="33"/>
      <c r="DZ382" s="33"/>
      <c r="EA382" s="33"/>
      <c r="EB382" s="33"/>
      <c r="EC382" s="33"/>
      <c r="ED382" s="33"/>
      <c r="EE382" s="33"/>
      <c r="EF382" s="33"/>
      <c r="EG382" s="33"/>
      <c r="EH382" s="33"/>
      <c r="EI382" s="33"/>
      <c r="EJ382" s="33"/>
      <c r="EK382" s="33"/>
      <c r="EL382" s="33"/>
      <c r="EM382" s="33"/>
      <c r="EN382" s="33"/>
      <c r="EO382" s="33"/>
      <c r="EP382" s="33"/>
      <c r="EQ382" s="33"/>
      <c r="ER382" s="33"/>
      <c r="ES382" s="33"/>
    </row>
    <row r="383">
      <c r="A383" s="33"/>
      <c r="B383" s="33"/>
      <c r="C383" s="33"/>
      <c r="D383" s="33"/>
      <c r="E383" s="33"/>
      <c r="F383" s="33"/>
      <c r="G383" s="85"/>
      <c r="H383" s="85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3"/>
      <c r="AC383" s="33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3"/>
      <c r="AP383" s="33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3"/>
      <c r="BC383" s="33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3"/>
      <c r="CC383" s="33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3"/>
      <c r="CP383" s="33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3"/>
      <c r="DC383" s="33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3"/>
      <c r="DP383" s="33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3"/>
      <c r="EC383" s="33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3"/>
      <c r="EP383" s="33"/>
      <c r="EQ383" s="33"/>
      <c r="ER383" s="33"/>
      <c r="ES383" s="33"/>
    </row>
    <row r="384">
      <c r="A384" s="33"/>
      <c r="B384" s="33"/>
      <c r="C384" s="33"/>
      <c r="D384" s="33"/>
      <c r="E384" s="33"/>
      <c r="F384" s="33"/>
      <c r="G384" s="85"/>
      <c r="H384" s="85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33"/>
      <c r="Y384" s="33"/>
      <c r="Z384" s="33"/>
      <c r="AA384" s="33"/>
      <c r="AB384" s="33"/>
      <c r="AC384" s="33"/>
      <c r="AD384" s="33"/>
      <c r="AE384" s="33"/>
      <c r="AF384" s="33"/>
      <c r="AG384" s="33"/>
      <c r="AH384" s="33"/>
      <c r="AI384" s="33"/>
      <c r="AJ384" s="33"/>
      <c r="AK384" s="33"/>
      <c r="AL384" s="33"/>
      <c r="AM384" s="33"/>
      <c r="AN384" s="33"/>
      <c r="AO384" s="33"/>
      <c r="AP384" s="33"/>
      <c r="AQ384" s="33"/>
      <c r="AR384" s="33"/>
      <c r="AS384" s="33"/>
      <c r="AT384" s="33"/>
      <c r="AU384" s="33"/>
      <c r="AV384" s="33"/>
      <c r="AW384" s="33"/>
      <c r="AX384" s="33"/>
      <c r="AY384" s="33"/>
      <c r="AZ384" s="33"/>
      <c r="BA384" s="33"/>
      <c r="BB384" s="33"/>
      <c r="BC384" s="33"/>
      <c r="BD384" s="33"/>
      <c r="BE384" s="33"/>
      <c r="BF384" s="33"/>
      <c r="BG384" s="33"/>
      <c r="BH384" s="33"/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  <c r="BU384" s="33"/>
      <c r="BV384" s="33"/>
      <c r="BW384" s="33"/>
      <c r="BX384" s="33"/>
      <c r="BY384" s="33"/>
      <c r="BZ384" s="33"/>
      <c r="CA384" s="33"/>
      <c r="CB384" s="33"/>
      <c r="CC384" s="33"/>
      <c r="CD384" s="33"/>
      <c r="CE384" s="33"/>
      <c r="CF384" s="33"/>
      <c r="CG384" s="33"/>
      <c r="CH384" s="33"/>
      <c r="CI384" s="33"/>
      <c r="CJ384" s="33"/>
      <c r="CK384" s="33"/>
      <c r="CL384" s="33"/>
      <c r="CM384" s="33"/>
      <c r="CN384" s="33"/>
      <c r="CO384" s="33"/>
      <c r="CP384" s="33"/>
      <c r="CQ384" s="33"/>
      <c r="CR384" s="33"/>
      <c r="CS384" s="33"/>
      <c r="CT384" s="33"/>
      <c r="CU384" s="33"/>
      <c r="CV384" s="33"/>
      <c r="CW384" s="33"/>
      <c r="CX384" s="33"/>
      <c r="CY384" s="33"/>
      <c r="CZ384" s="33"/>
      <c r="DA384" s="33"/>
      <c r="DB384" s="33"/>
      <c r="DC384" s="33"/>
      <c r="DD384" s="33"/>
      <c r="DE384" s="33"/>
      <c r="DF384" s="33"/>
      <c r="DG384" s="33"/>
      <c r="DH384" s="33"/>
      <c r="DI384" s="33"/>
      <c r="DJ384" s="33"/>
      <c r="DK384" s="33"/>
      <c r="DL384" s="33"/>
      <c r="DM384" s="33"/>
      <c r="DN384" s="33"/>
      <c r="DO384" s="33"/>
      <c r="DP384" s="33"/>
      <c r="DQ384" s="33"/>
      <c r="DR384" s="33"/>
      <c r="DS384" s="33"/>
      <c r="DT384" s="33"/>
      <c r="DU384" s="33"/>
      <c r="DV384" s="33"/>
      <c r="DW384" s="33"/>
      <c r="DX384" s="33"/>
      <c r="DY384" s="33"/>
      <c r="DZ384" s="33"/>
      <c r="EA384" s="33"/>
      <c r="EB384" s="33"/>
      <c r="EC384" s="33"/>
      <c r="ED384" s="33"/>
      <c r="EE384" s="33"/>
      <c r="EF384" s="33"/>
      <c r="EG384" s="33"/>
      <c r="EH384" s="33"/>
      <c r="EI384" s="33"/>
      <c r="EJ384" s="33"/>
      <c r="EK384" s="33"/>
      <c r="EL384" s="33"/>
      <c r="EM384" s="33"/>
      <c r="EN384" s="33"/>
      <c r="EO384" s="33"/>
      <c r="EP384" s="33"/>
      <c r="EQ384" s="33"/>
      <c r="ER384" s="33"/>
      <c r="ES384" s="33"/>
    </row>
    <row r="385">
      <c r="A385" s="33"/>
      <c r="B385" s="33"/>
      <c r="C385" s="33"/>
      <c r="D385" s="33"/>
      <c r="E385" s="33"/>
      <c r="F385" s="33"/>
      <c r="G385" s="85"/>
      <c r="H385" s="85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3"/>
      <c r="AC385" s="33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3"/>
      <c r="AP385" s="33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3"/>
      <c r="BC385" s="33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3"/>
      <c r="CC385" s="33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3"/>
      <c r="CP385" s="33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3"/>
      <c r="DC385" s="33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3"/>
      <c r="DP385" s="33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3"/>
      <c r="EC385" s="33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3"/>
      <c r="EP385" s="33"/>
      <c r="EQ385" s="33"/>
      <c r="ER385" s="33"/>
      <c r="ES385" s="33"/>
    </row>
    <row r="386">
      <c r="A386" s="33"/>
      <c r="B386" s="33"/>
      <c r="C386" s="33"/>
      <c r="D386" s="33"/>
      <c r="E386" s="33"/>
      <c r="F386" s="33"/>
      <c r="G386" s="85"/>
      <c r="H386" s="85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33"/>
      <c r="Y386" s="33"/>
      <c r="Z386" s="33"/>
      <c r="AA386" s="33"/>
      <c r="AB386" s="33"/>
      <c r="AC386" s="33"/>
      <c r="AD386" s="33"/>
      <c r="AE386" s="33"/>
      <c r="AF386" s="33"/>
      <c r="AG386" s="33"/>
      <c r="AH386" s="33"/>
      <c r="AI386" s="33"/>
      <c r="AJ386" s="33"/>
      <c r="AK386" s="33"/>
      <c r="AL386" s="33"/>
      <c r="AM386" s="33"/>
      <c r="AN386" s="33"/>
      <c r="AO386" s="33"/>
      <c r="AP386" s="33"/>
      <c r="AQ386" s="33"/>
      <c r="AR386" s="33"/>
      <c r="AS386" s="33"/>
      <c r="AT386" s="33"/>
      <c r="AU386" s="33"/>
      <c r="AV386" s="33"/>
      <c r="AW386" s="33"/>
      <c r="AX386" s="33"/>
      <c r="AY386" s="33"/>
      <c r="AZ386" s="33"/>
      <c r="BA386" s="33"/>
      <c r="BB386" s="33"/>
      <c r="BC386" s="33"/>
      <c r="BD386" s="33"/>
      <c r="BE386" s="33"/>
      <c r="BF386" s="33"/>
      <c r="BG386" s="33"/>
      <c r="BH386" s="33"/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  <c r="BU386" s="33"/>
      <c r="BV386" s="33"/>
      <c r="BW386" s="33"/>
      <c r="BX386" s="33"/>
      <c r="BY386" s="33"/>
      <c r="BZ386" s="33"/>
      <c r="CA386" s="33"/>
      <c r="CB386" s="33"/>
      <c r="CC386" s="33"/>
      <c r="CD386" s="33"/>
      <c r="CE386" s="33"/>
      <c r="CF386" s="33"/>
      <c r="CG386" s="33"/>
      <c r="CH386" s="33"/>
      <c r="CI386" s="33"/>
      <c r="CJ386" s="33"/>
      <c r="CK386" s="33"/>
      <c r="CL386" s="33"/>
      <c r="CM386" s="33"/>
      <c r="CN386" s="33"/>
      <c r="CO386" s="33"/>
      <c r="CP386" s="33"/>
      <c r="CQ386" s="33"/>
      <c r="CR386" s="33"/>
      <c r="CS386" s="33"/>
      <c r="CT386" s="33"/>
      <c r="CU386" s="33"/>
      <c r="CV386" s="33"/>
      <c r="CW386" s="33"/>
      <c r="CX386" s="33"/>
      <c r="CY386" s="33"/>
      <c r="CZ386" s="33"/>
      <c r="DA386" s="33"/>
      <c r="DB386" s="33"/>
      <c r="DC386" s="33"/>
      <c r="DD386" s="33"/>
      <c r="DE386" s="33"/>
      <c r="DF386" s="33"/>
      <c r="DG386" s="33"/>
      <c r="DH386" s="33"/>
      <c r="DI386" s="33"/>
      <c r="DJ386" s="33"/>
      <c r="DK386" s="33"/>
      <c r="DL386" s="33"/>
      <c r="DM386" s="33"/>
      <c r="DN386" s="33"/>
      <c r="DO386" s="33"/>
      <c r="DP386" s="33"/>
      <c r="DQ386" s="33"/>
      <c r="DR386" s="33"/>
      <c r="DS386" s="33"/>
      <c r="DT386" s="33"/>
      <c r="DU386" s="33"/>
      <c r="DV386" s="33"/>
      <c r="DW386" s="33"/>
      <c r="DX386" s="33"/>
      <c r="DY386" s="33"/>
      <c r="DZ386" s="33"/>
      <c r="EA386" s="33"/>
      <c r="EB386" s="33"/>
      <c r="EC386" s="33"/>
      <c r="ED386" s="33"/>
      <c r="EE386" s="33"/>
      <c r="EF386" s="33"/>
      <c r="EG386" s="33"/>
      <c r="EH386" s="33"/>
      <c r="EI386" s="33"/>
      <c r="EJ386" s="33"/>
      <c r="EK386" s="33"/>
      <c r="EL386" s="33"/>
      <c r="EM386" s="33"/>
      <c r="EN386" s="33"/>
      <c r="EO386" s="33"/>
      <c r="EP386" s="33"/>
      <c r="EQ386" s="33"/>
      <c r="ER386" s="33"/>
      <c r="ES386" s="33"/>
    </row>
    <row r="387">
      <c r="A387" s="33"/>
      <c r="B387" s="33"/>
      <c r="C387" s="33"/>
      <c r="D387" s="33"/>
      <c r="E387" s="33"/>
      <c r="F387" s="33"/>
      <c r="G387" s="85"/>
      <c r="H387" s="85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3"/>
      <c r="AC387" s="33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3"/>
      <c r="AP387" s="33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3"/>
      <c r="CC387" s="33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3"/>
      <c r="CP387" s="33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3"/>
      <c r="DC387" s="33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3"/>
      <c r="DP387" s="33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3"/>
      <c r="EC387" s="33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3"/>
      <c r="EP387" s="33"/>
      <c r="EQ387" s="33"/>
      <c r="ER387" s="33"/>
      <c r="ES387" s="33"/>
    </row>
    <row r="388">
      <c r="A388" s="33"/>
      <c r="B388" s="33"/>
      <c r="C388" s="33"/>
      <c r="D388" s="33"/>
      <c r="E388" s="33"/>
      <c r="F388" s="33"/>
      <c r="G388" s="85"/>
      <c r="H388" s="85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33"/>
      <c r="Y388" s="33"/>
      <c r="Z388" s="33"/>
      <c r="AA388" s="33"/>
      <c r="AB388" s="33"/>
      <c r="AC388" s="33"/>
      <c r="AD388" s="33"/>
      <c r="AE388" s="33"/>
      <c r="AF388" s="33"/>
      <c r="AG388" s="33"/>
      <c r="AH388" s="33"/>
      <c r="AI388" s="33"/>
      <c r="AJ388" s="33"/>
      <c r="AK388" s="33"/>
      <c r="AL388" s="33"/>
      <c r="AM388" s="33"/>
      <c r="AN388" s="33"/>
      <c r="AO388" s="33"/>
      <c r="AP388" s="33"/>
      <c r="AQ388" s="33"/>
      <c r="AR388" s="33"/>
      <c r="AS388" s="33"/>
      <c r="AT388" s="33"/>
      <c r="AU388" s="33"/>
      <c r="AV388" s="33"/>
      <c r="AW388" s="33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  <c r="BU388" s="33"/>
      <c r="BV388" s="33"/>
      <c r="BW388" s="33"/>
      <c r="BX388" s="33"/>
      <c r="BY388" s="33"/>
      <c r="BZ388" s="33"/>
      <c r="CA388" s="33"/>
      <c r="CB388" s="33"/>
      <c r="CC388" s="33"/>
      <c r="CD388" s="33"/>
      <c r="CE388" s="33"/>
      <c r="CF388" s="33"/>
      <c r="CG388" s="33"/>
      <c r="CH388" s="33"/>
      <c r="CI388" s="33"/>
      <c r="CJ388" s="33"/>
      <c r="CK388" s="33"/>
      <c r="CL388" s="33"/>
      <c r="CM388" s="33"/>
      <c r="CN388" s="33"/>
      <c r="CO388" s="33"/>
      <c r="CP388" s="33"/>
      <c r="CQ388" s="33"/>
      <c r="CR388" s="33"/>
      <c r="CS388" s="33"/>
      <c r="CT388" s="33"/>
      <c r="CU388" s="33"/>
      <c r="CV388" s="33"/>
      <c r="CW388" s="33"/>
      <c r="CX388" s="33"/>
      <c r="CY388" s="33"/>
      <c r="CZ388" s="33"/>
      <c r="DA388" s="33"/>
      <c r="DB388" s="33"/>
      <c r="DC388" s="33"/>
      <c r="DD388" s="33"/>
      <c r="DE388" s="33"/>
      <c r="DF388" s="33"/>
      <c r="DG388" s="33"/>
      <c r="DH388" s="33"/>
      <c r="DI388" s="33"/>
      <c r="DJ388" s="33"/>
      <c r="DK388" s="33"/>
      <c r="DL388" s="33"/>
      <c r="DM388" s="33"/>
      <c r="DN388" s="33"/>
      <c r="DO388" s="33"/>
      <c r="DP388" s="33"/>
      <c r="DQ388" s="33"/>
      <c r="DR388" s="33"/>
      <c r="DS388" s="33"/>
      <c r="DT388" s="33"/>
      <c r="DU388" s="33"/>
      <c r="DV388" s="33"/>
      <c r="DW388" s="33"/>
      <c r="DX388" s="33"/>
      <c r="DY388" s="33"/>
      <c r="DZ388" s="33"/>
      <c r="EA388" s="33"/>
      <c r="EB388" s="33"/>
      <c r="EC388" s="33"/>
      <c r="ED388" s="33"/>
      <c r="EE388" s="33"/>
      <c r="EF388" s="33"/>
      <c r="EG388" s="33"/>
      <c r="EH388" s="33"/>
      <c r="EI388" s="33"/>
      <c r="EJ388" s="33"/>
      <c r="EK388" s="33"/>
      <c r="EL388" s="33"/>
      <c r="EM388" s="33"/>
      <c r="EN388" s="33"/>
      <c r="EO388" s="33"/>
      <c r="EP388" s="33"/>
      <c r="EQ388" s="33"/>
      <c r="ER388" s="33"/>
      <c r="ES388" s="33"/>
    </row>
    <row r="389">
      <c r="A389" s="33"/>
      <c r="B389" s="33"/>
      <c r="C389" s="33"/>
      <c r="D389" s="33"/>
      <c r="E389" s="33"/>
      <c r="F389" s="33"/>
      <c r="G389" s="85"/>
      <c r="H389" s="85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3"/>
      <c r="AC389" s="33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3"/>
      <c r="AP389" s="33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3"/>
      <c r="CC389" s="33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3"/>
      <c r="CP389" s="33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3"/>
      <c r="DC389" s="33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3"/>
      <c r="DP389" s="33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3"/>
      <c r="EC389" s="33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3"/>
      <c r="EP389" s="33"/>
      <c r="EQ389" s="33"/>
      <c r="ER389" s="33"/>
      <c r="ES389" s="33"/>
    </row>
    <row r="390">
      <c r="A390" s="33"/>
      <c r="B390" s="33"/>
      <c r="C390" s="33"/>
      <c r="D390" s="33"/>
      <c r="E390" s="33"/>
      <c r="F390" s="33"/>
      <c r="G390" s="85"/>
      <c r="H390" s="85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33"/>
      <c r="Y390" s="33"/>
      <c r="Z390" s="33"/>
      <c r="AA390" s="33"/>
      <c r="AB390" s="33"/>
      <c r="AC390" s="33"/>
      <c r="AD390" s="33"/>
      <c r="AE390" s="33"/>
      <c r="AF390" s="33"/>
      <c r="AG390" s="33"/>
      <c r="AH390" s="33"/>
      <c r="AI390" s="33"/>
      <c r="AJ390" s="33"/>
      <c r="AK390" s="33"/>
      <c r="AL390" s="33"/>
      <c r="AM390" s="33"/>
      <c r="AN390" s="33"/>
      <c r="AO390" s="33"/>
      <c r="AP390" s="33"/>
      <c r="AQ390" s="33"/>
      <c r="AR390" s="33"/>
      <c r="AS390" s="33"/>
      <c r="AT390" s="33"/>
      <c r="AU390" s="33"/>
      <c r="AV390" s="33"/>
      <c r="AW390" s="33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  <c r="BU390" s="33"/>
      <c r="BV390" s="33"/>
      <c r="BW390" s="33"/>
      <c r="BX390" s="33"/>
      <c r="BY390" s="33"/>
      <c r="BZ390" s="33"/>
      <c r="CA390" s="33"/>
      <c r="CB390" s="33"/>
      <c r="CC390" s="33"/>
      <c r="CD390" s="33"/>
      <c r="CE390" s="33"/>
      <c r="CF390" s="33"/>
      <c r="CG390" s="33"/>
      <c r="CH390" s="33"/>
      <c r="CI390" s="33"/>
      <c r="CJ390" s="33"/>
      <c r="CK390" s="33"/>
      <c r="CL390" s="33"/>
      <c r="CM390" s="33"/>
      <c r="CN390" s="33"/>
      <c r="CO390" s="33"/>
      <c r="CP390" s="33"/>
      <c r="CQ390" s="33"/>
      <c r="CR390" s="33"/>
      <c r="CS390" s="33"/>
      <c r="CT390" s="33"/>
      <c r="CU390" s="33"/>
      <c r="CV390" s="33"/>
      <c r="CW390" s="33"/>
      <c r="CX390" s="33"/>
      <c r="CY390" s="33"/>
      <c r="CZ390" s="33"/>
      <c r="DA390" s="33"/>
      <c r="DB390" s="33"/>
      <c r="DC390" s="33"/>
      <c r="DD390" s="33"/>
      <c r="DE390" s="33"/>
      <c r="DF390" s="33"/>
      <c r="DG390" s="33"/>
      <c r="DH390" s="33"/>
      <c r="DI390" s="33"/>
      <c r="DJ390" s="33"/>
      <c r="DK390" s="33"/>
      <c r="DL390" s="33"/>
      <c r="DM390" s="33"/>
      <c r="DN390" s="33"/>
      <c r="DO390" s="33"/>
      <c r="DP390" s="33"/>
      <c r="DQ390" s="33"/>
      <c r="DR390" s="33"/>
      <c r="DS390" s="33"/>
      <c r="DT390" s="33"/>
      <c r="DU390" s="33"/>
      <c r="DV390" s="33"/>
      <c r="DW390" s="33"/>
      <c r="DX390" s="33"/>
      <c r="DY390" s="33"/>
      <c r="DZ390" s="33"/>
      <c r="EA390" s="33"/>
      <c r="EB390" s="33"/>
      <c r="EC390" s="33"/>
      <c r="ED390" s="33"/>
      <c r="EE390" s="33"/>
      <c r="EF390" s="33"/>
      <c r="EG390" s="33"/>
      <c r="EH390" s="33"/>
      <c r="EI390" s="33"/>
      <c r="EJ390" s="33"/>
      <c r="EK390" s="33"/>
      <c r="EL390" s="33"/>
      <c r="EM390" s="33"/>
      <c r="EN390" s="33"/>
      <c r="EO390" s="33"/>
      <c r="EP390" s="33"/>
      <c r="EQ390" s="33"/>
      <c r="ER390" s="33"/>
      <c r="ES390" s="33"/>
    </row>
    <row r="391">
      <c r="A391" s="33"/>
      <c r="B391" s="33"/>
      <c r="C391" s="33"/>
      <c r="D391" s="33"/>
      <c r="E391" s="33"/>
      <c r="F391" s="33"/>
      <c r="G391" s="85"/>
      <c r="H391" s="85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3"/>
      <c r="AC391" s="33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3"/>
      <c r="AP391" s="33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3"/>
      <c r="CC391" s="33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3"/>
      <c r="CP391" s="33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3"/>
      <c r="DC391" s="33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3"/>
      <c r="DP391" s="33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3"/>
      <c r="EC391" s="33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3"/>
      <c r="EP391" s="33"/>
      <c r="EQ391" s="33"/>
      <c r="ER391" s="33"/>
      <c r="ES391" s="33"/>
    </row>
    <row r="392">
      <c r="A392" s="33"/>
      <c r="B392" s="33"/>
      <c r="C392" s="33"/>
      <c r="D392" s="33"/>
      <c r="E392" s="33"/>
      <c r="F392" s="33"/>
      <c r="G392" s="85"/>
      <c r="H392" s="85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33"/>
      <c r="Y392" s="33"/>
      <c r="Z392" s="33"/>
      <c r="AA392" s="33"/>
      <c r="AB392" s="33"/>
      <c r="AC392" s="33"/>
      <c r="AD392" s="33"/>
      <c r="AE392" s="33"/>
      <c r="AF392" s="33"/>
      <c r="AG392" s="33"/>
      <c r="AH392" s="33"/>
      <c r="AI392" s="33"/>
      <c r="AJ392" s="33"/>
      <c r="AK392" s="33"/>
      <c r="AL392" s="33"/>
      <c r="AM392" s="33"/>
      <c r="AN392" s="33"/>
      <c r="AO392" s="33"/>
      <c r="AP392" s="33"/>
      <c r="AQ392" s="33"/>
      <c r="AR392" s="33"/>
      <c r="AS392" s="33"/>
      <c r="AT392" s="33"/>
      <c r="AU392" s="33"/>
      <c r="AV392" s="33"/>
      <c r="AW392" s="33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  <c r="BU392" s="33"/>
      <c r="BV392" s="33"/>
      <c r="BW392" s="33"/>
      <c r="BX392" s="33"/>
      <c r="BY392" s="33"/>
      <c r="BZ392" s="33"/>
      <c r="CA392" s="33"/>
      <c r="CB392" s="33"/>
      <c r="CC392" s="33"/>
      <c r="CD392" s="33"/>
      <c r="CE392" s="33"/>
      <c r="CF392" s="33"/>
      <c r="CG392" s="33"/>
      <c r="CH392" s="33"/>
      <c r="CI392" s="33"/>
      <c r="CJ392" s="33"/>
      <c r="CK392" s="33"/>
      <c r="CL392" s="33"/>
      <c r="CM392" s="33"/>
      <c r="CN392" s="33"/>
      <c r="CO392" s="33"/>
      <c r="CP392" s="33"/>
      <c r="CQ392" s="33"/>
      <c r="CR392" s="33"/>
      <c r="CS392" s="33"/>
      <c r="CT392" s="33"/>
      <c r="CU392" s="33"/>
      <c r="CV392" s="33"/>
      <c r="CW392" s="33"/>
      <c r="CX392" s="33"/>
      <c r="CY392" s="33"/>
      <c r="CZ392" s="33"/>
      <c r="DA392" s="33"/>
      <c r="DB392" s="33"/>
      <c r="DC392" s="33"/>
      <c r="DD392" s="33"/>
      <c r="DE392" s="33"/>
      <c r="DF392" s="33"/>
      <c r="DG392" s="33"/>
      <c r="DH392" s="33"/>
      <c r="DI392" s="33"/>
      <c r="DJ392" s="33"/>
      <c r="DK392" s="33"/>
      <c r="DL392" s="33"/>
      <c r="DM392" s="33"/>
      <c r="DN392" s="33"/>
      <c r="DO392" s="33"/>
      <c r="DP392" s="33"/>
      <c r="DQ392" s="33"/>
      <c r="DR392" s="33"/>
      <c r="DS392" s="33"/>
      <c r="DT392" s="33"/>
      <c r="DU392" s="33"/>
      <c r="DV392" s="33"/>
      <c r="DW392" s="33"/>
      <c r="DX392" s="33"/>
      <c r="DY392" s="33"/>
      <c r="DZ392" s="33"/>
      <c r="EA392" s="33"/>
      <c r="EB392" s="33"/>
      <c r="EC392" s="33"/>
      <c r="ED392" s="33"/>
      <c r="EE392" s="33"/>
      <c r="EF392" s="33"/>
      <c r="EG392" s="33"/>
      <c r="EH392" s="33"/>
      <c r="EI392" s="33"/>
      <c r="EJ392" s="33"/>
      <c r="EK392" s="33"/>
      <c r="EL392" s="33"/>
      <c r="EM392" s="33"/>
      <c r="EN392" s="33"/>
      <c r="EO392" s="33"/>
      <c r="EP392" s="33"/>
      <c r="EQ392" s="33"/>
      <c r="ER392" s="33"/>
      <c r="ES392" s="33"/>
    </row>
    <row r="393">
      <c r="A393" s="33"/>
      <c r="B393" s="33"/>
      <c r="C393" s="33"/>
      <c r="D393" s="33"/>
      <c r="E393" s="33"/>
      <c r="F393" s="33"/>
      <c r="G393" s="85"/>
      <c r="H393" s="85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3"/>
      <c r="AC393" s="33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3"/>
      <c r="AP393" s="33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3"/>
      <c r="CC393" s="33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3"/>
      <c r="CP393" s="33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3"/>
      <c r="DC393" s="33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3"/>
      <c r="DP393" s="33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3"/>
      <c r="EC393" s="33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3"/>
      <c r="EP393" s="33"/>
      <c r="EQ393" s="33"/>
      <c r="ER393" s="33"/>
      <c r="ES393" s="33"/>
    </row>
    <row r="394">
      <c r="A394" s="33"/>
      <c r="B394" s="33"/>
      <c r="C394" s="33"/>
      <c r="D394" s="33"/>
      <c r="E394" s="33"/>
      <c r="F394" s="33"/>
      <c r="G394" s="85"/>
      <c r="H394" s="85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33"/>
      <c r="Y394" s="33"/>
      <c r="Z394" s="33"/>
      <c r="AA394" s="33"/>
      <c r="AB394" s="33"/>
      <c r="AC394" s="33"/>
      <c r="AD394" s="33"/>
      <c r="AE394" s="33"/>
      <c r="AF394" s="33"/>
      <c r="AG394" s="33"/>
      <c r="AH394" s="33"/>
      <c r="AI394" s="33"/>
      <c r="AJ394" s="33"/>
      <c r="AK394" s="33"/>
      <c r="AL394" s="33"/>
      <c r="AM394" s="33"/>
      <c r="AN394" s="33"/>
      <c r="AO394" s="33"/>
      <c r="AP394" s="33"/>
      <c r="AQ394" s="33"/>
      <c r="AR394" s="33"/>
      <c r="AS394" s="33"/>
      <c r="AT394" s="33"/>
      <c r="AU394" s="33"/>
      <c r="AV394" s="33"/>
      <c r="AW394" s="33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  <c r="BU394" s="33"/>
      <c r="BV394" s="33"/>
      <c r="BW394" s="33"/>
      <c r="BX394" s="33"/>
      <c r="BY394" s="33"/>
      <c r="BZ394" s="33"/>
      <c r="CA394" s="33"/>
      <c r="CB394" s="33"/>
      <c r="CC394" s="33"/>
      <c r="CD394" s="33"/>
      <c r="CE394" s="33"/>
      <c r="CF394" s="33"/>
      <c r="CG394" s="33"/>
      <c r="CH394" s="33"/>
      <c r="CI394" s="33"/>
      <c r="CJ394" s="33"/>
      <c r="CK394" s="33"/>
      <c r="CL394" s="33"/>
      <c r="CM394" s="33"/>
      <c r="CN394" s="33"/>
      <c r="CO394" s="33"/>
      <c r="CP394" s="33"/>
      <c r="CQ394" s="33"/>
      <c r="CR394" s="33"/>
      <c r="CS394" s="33"/>
      <c r="CT394" s="33"/>
      <c r="CU394" s="33"/>
      <c r="CV394" s="33"/>
      <c r="CW394" s="33"/>
      <c r="CX394" s="33"/>
      <c r="CY394" s="33"/>
      <c r="CZ394" s="33"/>
      <c r="DA394" s="33"/>
      <c r="DB394" s="33"/>
      <c r="DC394" s="33"/>
      <c r="DD394" s="33"/>
      <c r="DE394" s="33"/>
      <c r="DF394" s="33"/>
      <c r="DG394" s="33"/>
      <c r="DH394" s="33"/>
      <c r="DI394" s="33"/>
      <c r="DJ394" s="33"/>
      <c r="DK394" s="33"/>
      <c r="DL394" s="33"/>
      <c r="DM394" s="33"/>
      <c r="DN394" s="33"/>
      <c r="DO394" s="33"/>
      <c r="DP394" s="33"/>
      <c r="DQ394" s="33"/>
      <c r="DR394" s="33"/>
      <c r="DS394" s="33"/>
      <c r="DT394" s="33"/>
      <c r="DU394" s="33"/>
      <c r="DV394" s="33"/>
      <c r="DW394" s="33"/>
      <c r="DX394" s="33"/>
      <c r="DY394" s="33"/>
      <c r="DZ394" s="33"/>
      <c r="EA394" s="33"/>
      <c r="EB394" s="33"/>
      <c r="EC394" s="33"/>
      <c r="ED394" s="33"/>
      <c r="EE394" s="33"/>
      <c r="EF394" s="33"/>
      <c r="EG394" s="33"/>
      <c r="EH394" s="33"/>
      <c r="EI394" s="33"/>
      <c r="EJ394" s="33"/>
      <c r="EK394" s="33"/>
      <c r="EL394" s="33"/>
      <c r="EM394" s="33"/>
      <c r="EN394" s="33"/>
      <c r="EO394" s="33"/>
      <c r="EP394" s="33"/>
      <c r="EQ394" s="33"/>
      <c r="ER394" s="33"/>
      <c r="ES394" s="33"/>
    </row>
    <row r="395">
      <c r="A395" s="33"/>
      <c r="B395" s="33"/>
      <c r="C395" s="33"/>
      <c r="D395" s="33"/>
      <c r="E395" s="33"/>
      <c r="F395" s="33"/>
      <c r="G395" s="85"/>
      <c r="H395" s="85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3"/>
      <c r="AC395" s="33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3"/>
      <c r="AP395" s="33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3"/>
      <c r="CC395" s="33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3"/>
      <c r="CP395" s="33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3"/>
      <c r="DC395" s="33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3"/>
      <c r="DP395" s="33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3"/>
      <c r="EC395" s="33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3"/>
      <c r="EP395" s="33"/>
      <c r="EQ395" s="33"/>
      <c r="ER395" s="33"/>
      <c r="ES395" s="33"/>
    </row>
    <row r="396">
      <c r="A396" s="33"/>
      <c r="B396" s="33"/>
      <c r="C396" s="33"/>
      <c r="D396" s="33"/>
      <c r="E396" s="33"/>
      <c r="F396" s="33"/>
      <c r="G396" s="85"/>
      <c r="H396" s="85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33"/>
      <c r="Y396" s="33"/>
      <c r="Z396" s="33"/>
      <c r="AA396" s="33"/>
      <c r="AB396" s="33"/>
      <c r="AC396" s="33"/>
      <c r="AD396" s="33"/>
      <c r="AE396" s="33"/>
      <c r="AF396" s="33"/>
      <c r="AG396" s="33"/>
      <c r="AH396" s="33"/>
      <c r="AI396" s="33"/>
      <c r="AJ396" s="33"/>
      <c r="AK396" s="33"/>
      <c r="AL396" s="33"/>
      <c r="AM396" s="33"/>
      <c r="AN396" s="33"/>
      <c r="AO396" s="33"/>
      <c r="AP396" s="33"/>
      <c r="AQ396" s="33"/>
      <c r="AR396" s="33"/>
      <c r="AS396" s="33"/>
      <c r="AT396" s="33"/>
      <c r="AU396" s="33"/>
      <c r="AV396" s="33"/>
      <c r="AW396" s="33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  <c r="BU396" s="33"/>
      <c r="BV396" s="33"/>
      <c r="BW396" s="33"/>
      <c r="BX396" s="33"/>
      <c r="BY396" s="33"/>
      <c r="BZ396" s="33"/>
      <c r="CA396" s="33"/>
      <c r="CB396" s="33"/>
      <c r="CC396" s="33"/>
      <c r="CD396" s="33"/>
      <c r="CE396" s="33"/>
      <c r="CF396" s="33"/>
      <c r="CG396" s="33"/>
      <c r="CH396" s="33"/>
      <c r="CI396" s="33"/>
      <c r="CJ396" s="33"/>
      <c r="CK396" s="33"/>
      <c r="CL396" s="33"/>
      <c r="CM396" s="33"/>
      <c r="CN396" s="33"/>
      <c r="CO396" s="33"/>
      <c r="CP396" s="33"/>
      <c r="CQ396" s="33"/>
      <c r="CR396" s="33"/>
      <c r="CS396" s="33"/>
      <c r="CT396" s="33"/>
      <c r="CU396" s="33"/>
      <c r="CV396" s="33"/>
      <c r="CW396" s="33"/>
      <c r="CX396" s="33"/>
      <c r="CY396" s="33"/>
      <c r="CZ396" s="33"/>
      <c r="DA396" s="33"/>
      <c r="DB396" s="33"/>
      <c r="DC396" s="33"/>
      <c r="DD396" s="33"/>
      <c r="DE396" s="33"/>
      <c r="DF396" s="33"/>
      <c r="DG396" s="33"/>
      <c r="DH396" s="33"/>
      <c r="DI396" s="33"/>
      <c r="DJ396" s="33"/>
      <c r="DK396" s="33"/>
      <c r="DL396" s="33"/>
      <c r="DM396" s="33"/>
      <c r="DN396" s="33"/>
      <c r="DO396" s="33"/>
      <c r="DP396" s="33"/>
      <c r="DQ396" s="33"/>
      <c r="DR396" s="33"/>
      <c r="DS396" s="33"/>
      <c r="DT396" s="33"/>
      <c r="DU396" s="33"/>
      <c r="DV396" s="33"/>
      <c r="DW396" s="33"/>
      <c r="DX396" s="33"/>
      <c r="DY396" s="33"/>
      <c r="DZ396" s="33"/>
      <c r="EA396" s="33"/>
      <c r="EB396" s="33"/>
      <c r="EC396" s="33"/>
      <c r="ED396" s="33"/>
      <c r="EE396" s="33"/>
      <c r="EF396" s="33"/>
      <c r="EG396" s="33"/>
      <c r="EH396" s="33"/>
      <c r="EI396" s="33"/>
      <c r="EJ396" s="33"/>
      <c r="EK396" s="33"/>
      <c r="EL396" s="33"/>
      <c r="EM396" s="33"/>
      <c r="EN396" s="33"/>
      <c r="EO396" s="33"/>
      <c r="EP396" s="33"/>
      <c r="EQ396" s="33"/>
      <c r="ER396" s="33"/>
      <c r="ES396" s="33"/>
    </row>
    <row r="397">
      <c r="A397" s="33"/>
      <c r="B397" s="33"/>
      <c r="C397" s="33"/>
      <c r="D397" s="33"/>
      <c r="E397" s="33"/>
      <c r="F397" s="33"/>
      <c r="G397" s="85"/>
      <c r="H397" s="85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3"/>
      <c r="AC397" s="33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3"/>
      <c r="AP397" s="33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3"/>
      <c r="CC397" s="33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3"/>
      <c r="CP397" s="33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3"/>
      <c r="DC397" s="33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3"/>
      <c r="DP397" s="33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3"/>
      <c r="EC397" s="33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3"/>
      <c r="EP397" s="33"/>
      <c r="EQ397" s="33"/>
      <c r="ER397" s="33"/>
      <c r="ES397" s="33"/>
    </row>
    <row r="398">
      <c r="A398" s="33"/>
      <c r="B398" s="33"/>
      <c r="C398" s="33"/>
      <c r="D398" s="33"/>
      <c r="E398" s="33"/>
      <c r="F398" s="33"/>
      <c r="G398" s="85"/>
      <c r="H398" s="85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33"/>
      <c r="Y398" s="33"/>
      <c r="Z398" s="33"/>
      <c r="AA398" s="33"/>
      <c r="AB398" s="33"/>
      <c r="AC398" s="33"/>
      <c r="AD398" s="33"/>
      <c r="AE398" s="33"/>
      <c r="AF398" s="33"/>
      <c r="AG398" s="33"/>
      <c r="AH398" s="33"/>
      <c r="AI398" s="33"/>
      <c r="AJ398" s="33"/>
      <c r="AK398" s="33"/>
      <c r="AL398" s="33"/>
      <c r="AM398" s="33"/>
      <c r="AN398" s="33"/>
      <c r="AO398" s="33"/>
      <c r="AP398" s="33"/>
      <c r="AQ398" s="33"/>
      <c r="AR398" s="33"/>
      <c r="AS398" s="33"/>
      <c r="AT398" s="33"/>
      <c r="AU398" s="33"/>
      <c r="AV398" s="33"/>
      <c r="AW398" s="33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  <c r="BU398" s="33"/>
      <c r="BV398" s="33"/>
      <c r="BW398" s="33"/>
      <c r="BX398" s="33"/>
      <c r="BY398" s="33"/>
      <c r="BZ398" s="33"/>
      <c r="CA398" s="33"/>
      <c r="CB398" s="33"/>
      <c r="CC398" s="33"/>
      <c r="CD398" s="33"/>
      <c r="CE398" s="33"/>
      <c r="CF398" s="33"/>
      <c r="CG398" s="33"/>
      <c r="CH398" s="33"/>
      <c r="CI398" s="33"/>
      <c r="CJ398" s="33"/>
      <c r="CK398" s="33"/>
      <c r="CL398" s="33"/>
      <c r="CM398" s="33"/>
      <c r="CN398" s="33"/>
      <c r="CO398" s="33"/>
      <c r="CP398" s="33"/>
      <c r="CQ398" s="33"/>
      <c r="CR398" s="33"/>
      <c r="CS398" s="33"/>
      <c r="CT398" s="33"/>
      <c r="CU398" s="33"/>
      <c r="CV398" s="33"/>
      <c r="CW398" s="33"/>
      <c r="CX398" s="33"/>
      <c r="CY398" s="33"/>
      <c r="CZ398" s="33"/>
      <c r="DA398" s="33"/>
      <c r="DB398" s="33"/>
      <c r="DC398" s="33"/>
      <c r="DD398" s="33"/>
      <c r="DE398" s="33"/>
      <c r="DF398" s="33"/>
      <c r="DG398" s="33"/>
      <c r="DH398" s="33"/>
      <c r="DI398" s="33"/>
      <c r="DJ398" s="33"/>
      <c r="DK398" s="33"/>
      <c r="DL398" s="33"/>
      <c r="DM398" s="33"/>
      <c r="DN398" s="33"/>
      <c r="DO398" s="33"/>
      <c r="DP398" s="33"/>
      <c r="DQ398" s="33"/>
      <c r="DR398" s="33"/>
      <c r="DS398" s="33"/>
      <c r="DT398" s="33"/>
      <c r="DU398" s="33"/>
      <c r="DV398" s="33"/>
      <c r="DW398" s="33"/>
      <c r="DX398" s="33"/>
      <c r="DY398" s="33"/>
      <c r="DZ398" s="33"/>
      <c r="EA398" s="33"/>
      <c r="EB398" s="33"/>
      <c r="EC398" s="33"/>
      <c r="ED398" s="33"/>
      <c r="EE398" s="33"/>
      <c r="EF398" s="33"/>
      <c r="EG398" s="33"/>
      <c r="EH398" s="33"/>
      <c r="EI398" s="33"/>
      <c r="EJ398" s="33"/>
      <c r="EK398" s="33"/>
      <c r="EL398" s="33"/>
      <c r="EM398" s="33"/>
      <c r="EN398" s="33"/>
      <c r="EO398" s="33"/>
      <c r="EP398" s="33"/>
      <c r="EQ398" s="33"/>
      <c r="ER398" s="33"/>
      <c r="ES398" s="33"/>
    </row>
    <row r="399">
      <c r="A399" s="33"/>
      <c r="B399" s="33"/>
      <c r="C399" s="33"/>
      <c r="D399" s="33"/>
      <c r="E399" s="33"/>
      <c r="F399" s="33"/>
      <c r="G399" s="85"/>
      <c r="H399" s="85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3"/>
      <c r="AC399" s="33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3"/>
      <c r="AP399" s="33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3"/>
      <c r="CC399" s="33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3"/>
      <c r="CP399" s="33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3"/>
      <c r="DC399" s="33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3"/>
      <c r="DP399" s="33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3"/>
      <c r="EC399" s="33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3"/>
      <c r="EP399" s="33"/>
      <c r="EQ399" s="33"/>
      <c r="ER399" s="33"/>
      <c r="ES399" s="33"/>
    </row>
    <row r="400">
      <c r="A400" s="33"/>
      <c r="B400" s="33"/>
      <c r="C400" s="33"/>
      <c r="D400" s="33"/>
      <c r="E400" s="33"/>
      <c r="F400" s="33"/>
      <c r="G400" s="85"/>
      <c r="H400" s="85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33"/>
      <c r="Y400" s="33"/>
      <c r="Z400" s="33"/>
      <c r="AA400" s="33"/>
      <c r="AB400" s="33"/>
      <c r="AC400" s="33"/>
      <c r="AD400" s="33"/>
      <c r="AE400" s="33"/>
      <c r="AF400" s="33"/>
      <c r="AG400" s="33"/>
      <c r="AH400" s="33"/>
      <c r="AI400" s="33"/>
      <c r="AJ400" s="33"/>
      <c r="AK400" s="33"/>
      <c r="AL400" s="33"/>
      <c r="AM400" s="33"/>
      <c r="AN400" s="33"/>
      <c r="AO400" s="33"/>
      <c r="AP400" s="33"/>
      <c r="AQ400" s="33"/>
      <c r="AR400" s="33"/>
      <c r="AS400" s="33"/>
      <c r="AT400" s="33"/>
      <c r="AU400" s="33"/>
      <c r="AV400" s="33"/>
      <c r="AW400" s="33"/>
      <c r="AX400" s="33"/>
      <c r="AY400" s="33"/>
      <c r="AZ400" s="33"/>
      <c r="BA400" s="33"/>
      <c r="BB400" s="33"/>
      <c r="BC400" s="33"/>
      <c r="BD400" s="33"/>
      <c r="BE400" s="33"/>
      <c r="BF400" s="33"/>
      <c r="BG400" s="33"/>
      <c r="BH400" s="33"/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  <c r="BU400" s="33"/>
      <c r="BV400" s="33"/>
      <c r="BW400" s="33"/>
      <c r="BX400" s="33"/>
      <c r="BY400" s="33"/>
      <c r="BZ400" s="33"/>
      <c r="CA400" s="33"/>
      <c r="CB400" s="33"/>
      <c r="CC400" s="33"/>
      <c r="CD400" s="33"/>
      <c r="CE400" s="33"/>
      <c r="CF400" s="33"/>
      <c r="CG400" s="33"/>
      <c r="CH400" s="33"/>
      <c r="CI400" s="33"/>
      <c r="CJ400" s="33"/>
      <c r="CK400" s="33"/>
      <c r="CL400" s="33"/>
      <c r="CM400" s="33"/>
      <c r="CN400" s="33"/>
      <c r="CO400" s="33"/>
      <c r="CP400" s="33"/>
      <c r="CQ400" s="33"/>
      <c r="CR400" s="33"/>
      <c r="CS400" s="33"/>
      <c r="CT400" s="33"/>
      <c r="CU400" s="33"/>
      <c r="CV400" s="33"/>
      <c r="CW400" s="33"/>
      <c r="CX400" s="33"/>
      <c r="CY400" s="33"/>
      <c r="CZ400" s="33"/>
      <c r="DA400" s="33"/>
      <c r="DB400" s="33"/>
      <c r="DC400" s="33"/>
      <c r="DD400" s="33"/>
      <c r="DE400" s="33"/>
      <c r="DF400" s="33"/>
      <c r="DG400" s="33"/>
      <c r="DH400" s="33"/>
      <c r="DI400" s="33"/>
      <c r="DJ400" s="33"/>
      <c r="DK400" s="33"/>
      <c r="DL400" s="33"/>
      <c r="DM400" s="33"/>
      <c r="DN400" s="33"/>
      <c r="DO400" s="33"/>
      <c r="DP400" s="33"/>
      <c r="DQ400" s="33"/>
      <c r="DR400" s="33"/>
      <c r="DS400" s="33"/>
      <c r="DT400" s="33"/>
      <c r="DU400" s="33"/>
      <c r="DV400" s="33"/>
      <c r="DW400" s="33"/>
      <c r="DX400" s="33"/>
      <c r="DY400" s="33"/>
      <c r="DZ400" s="33"/>
      <c r="EA400" s="33"/>
      <c r="EB400" s="33"/>
      <c r="EC400" s="33"/>
      <c r="ED400" s="33"/>
      <c r="EE400" s="33"/>
      <c r="EF400" s="33"/>
      <c r="EG400" s="33"/>
      <c r="EH400" s="33"/>
      <c r="EI400" s="33"/>
      <c r="EJ400" s="33"/>
      <c r="EK400" s="33"/>
      <c r="EL400" s="33"/>
      <c r="EM400" s="33"/>
      <c r="EN400" s="33"/>
      <c r="EO400" s="33"/>
      <c r="EP400" s="33"/>
      <c r="EQ400" s="33"/>
      <c r="ER400" s="33"/>
      <c r="ES400" s="33"/>
    </row>
    <row r="401">
      <c r="A401" s="33"/>
      <c r="B401" s="33"/>
      <c r="C401" s="33"/>
      <c r="D401" s="33"/>
      <c r="E401" s="33"/>
      <c r="F401" s="33"/>
      <c r="G401" s="85"/>
      <c r="H401" s="85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3"/>
      <c r="AC401" s="33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3"/>
      <c r="AP401" s="33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3"/>
      <c r="BC401" s="33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3"/>
      <c r="CC401" s="33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3"/>
      <c r="CP401" s="33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3"/>
      <c r="DC401" s="33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3"/>
      <c r="DP401" s="33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3"/>
      <c r="EC401" s="33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3"/>
      <c r="EP401" s="33"/>
      <c r="EQ401" s="33"/>
      <c r="ER401" s="33"/>
      <c r="ES401" s="33"/>
    </row>
    <row r="402">
      <c r="A402" s="33"/>
      <c r="B402" s="33"/>
      <c r="C402" s="33"/>
      <c r="D402" s="33"/>
      <c r="E402" s="33"/>
      <c r="F402" s="33"/>
      <c r="G402" s="85"/>
      <c r="H402" s="85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33"/>
      <c r="Y402" s="33"/>
      <c r="Z402" s="33"/>
      <c r="AA402" s="33"/>
      <c r="AB402" s="33"/>
      <c r="AC402" s="33"/>
      <c r="AD402" s="33"/>
      <c r="AE402" s="33"/>
      <c r="AF402" s="33"/>
      <c r="AG402" s="33"/>
      <c r="AH402" s="33"/>
      <c r="AI402" s="33"/>
      <c r="AJ402" s="33"/>
      <c r="AK402" s="33"/>
      <c r="AL402" s="33"/>
      <c r="AM402" s="33"/>
      <c r="AN402" s="33"/>
      <c r="AO402" s="33"/>
      <c r="AP402" s="33"/>
      <c r="AQ402" s="33"/>
      <c r="AR402" s="33"/>
      <c r="AS402" s="33"/>
      <c r="AT402" s="33"/>
      <c r="AU402" s="33"/>
      <c r="AV402" s="33"/>
      <c r="AW402" s="33"/>
      <c r="AX402" s="33"/>
      <c r="AY402" s="33"/>
      <c r="AZ402" s="33"/>
      <c r="BA402" s="33"/>
      <c r="BB402" s="33"/>
      <c r="BC402" s="33"/>
      <c r="BD402" s="33"/>
      <c r="BE402" s="33"/>
      <c r="BF402" s="33"/>
      <c r="BG402" s="33"/>
      <c r="BH402" s="33"/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  <c r="BU402" s="33"/>
      <c r="BV402" s="33"/>
      <c r="BW402" s="33"/>
      <c r="BX402" s="33"/>
      <c r="BY402" s="33"/>
      <c r="BZ402" s="33"/>
      <c r="CA402" s="33"/>
      <c r="CB402" s="33"/>
      <c r="CC402" s="33"/>
      <c r="CD402" s="33"/>
      <c r="CE402" s="33"/>
      <c r="CF402" s="33"/>
      <c r="CG402" s="33"/>
      <c r="CH402" s="33"/>
      <c r="CI402" s="33"/>
      <c r="CJ402" s="33"/>
      <c r="CK402" s="33"/>
      <c r="CL402" s="33"/>
      <c r="CM402" s="33"/>
      <c r="CN402" s="33"/>
      <c r="CO402" s="33"/>
      <c r="CP402" s="33"/>
      <c r="CQ402" s="33"/>
      <c r="CR402" s="33"/>
      <c r="CS402" s="33"/>
      <c r="CT402" s="33"/>
      <c r="CU402" s="33"/>
      <c r="CV402" s="33"/>
      <c r="CW402" s="33"/>
      <c r="CX402" s="33"/>
      <c r="CY402" s="33"/>
      <c r="CZ402" s="33"/>
      <c r="DA402" s="33"/>
      <c r="DB402" s="33"/>
      <c r="DC402" s="33"/>
      <c r="DD402" s="33"/>
      <c r="DE402" s="33"/>
      <c r="DF402" s="33"/>
      <c r="DG402" s="33"/>
      <c r="DH402" s="33"/>
      <c r="DI402" s="33"/>
      <c r="DJ402" s="33"/>
      <c r="DK402" s="33"/>
      <c r="DL402" s="33"/>
      <c r="DM402" s="33"/>
      <c r="DN402" s="33"/>
      <c r="DO402" s="33"/>
      <c r="DP402" s="33"/>
      <c r="DQ402" s="33"/>
      <c r="DR402" s="33"/>
      <c r="DS402" s="33"/>
      <c r="DT402" s="33"/>
      <c r="DU402" s="33"/>
      <c r="DV402" s="33"/>
      <c r="DW402" s="33"/>
      <c r="DX402" s="33"/>
      <c r="DY402" s="33"/>
      <c r="DZ402" s="33"/>
      <c r="EA402" s="33"/>
      <c r="EB402" s="33"/>
      <c r="EC402" s="33"/>
      <c r="ED402" s="33"/>
      <c r="EE402" s="33"/>
      <c r="EF402" s="33"/>
      <c r="EG402" s="33"/>
      <c r="EH402" s="33"/>
      <c r="EI402" s="33"/>
      <c r="EJ402" s="33"/>
      <c r="EK402" s="33"/>
      <c r="EL402" s="33"/>
      <c r="EM402" s="33"/>
      <c r="EN402" s="33"/>
      <c r="EO402" s="33"/>
      <c r="EP402" s="33"/>
      <c r="EQ402" s="33"/>
      <c r="ER402" s="33"/>
      <c r="ES402" s="33"/>
    </row>
    <row r="403">
      <c r="A403" s="33"/>
      <c r="B403" s="33"/>
      <c r="C403" s="33"/>
      <c r="D403" s="33"/>
      <c r="E403" s="33"/>
      <c r="F403" s="33"/>
      <c r="G403" s="85"/>
      <c r="H403" s="85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3"/>
      <c r="AC403" s="33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3"/>
      <c r="AP403" s="33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3"/>
      <c r="BC403" s="33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3"/>
      <c r="CC403" s="33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3"/>
      <c r="CP403" s="33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3"/>
      <c r="DC403" s="33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3"/>
      <c r="DP403" s="33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3"/>
      <c r="EC403" s="33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3"/>
      <c r="EP403" s="33"/>
      <c r="EQ403" s="33"/>
      <c r="ER403" s="33"/>
      <c r="ES403" s="33"/>
    </row>
    <row r="404">
      <c r="A404" s="33"/>
      <c r="B404" s="33"/>
      <c r="C404" s="33"/>
      <c r="D404" s="33"/>
      <c r="E404" s="33"/>
      <c r="F404" s="33"/>
      <c r="G404" s="85"/>
      <c r="H404" s="85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33"/>
      <c r="Y404" s="33"/>
      <c r="Z404" s="33"/>
      <c r="AA404" s="33"/>
      <c r="AB404" s="33"/>
      <c r="AC404" s="33"/>
      <c r="AD404" s="33"/>
      <c r="AE404" s="33"/>
      <c r="AF404" s="33"/>
      <c r="AG404" s="33"/>
      <c r="AH404" s="33"/>
      <c r="AI404" s="33"/>
      <c r="AJ404" s="33"/>
      <c r="AK404" s="33"/>
      <c r="AL404" s="33"/>
      <c r="AM404" s="33"/>
      <c r="AN404" s="33"/>
      <c r="AO404" s="33"/>
      <c r="AP404" s="33"/>
      <c r="AQ404" s="33"/>
      <c r="AR404" s="33"/>
      <c r="AS404" s="33"/>
      <c r="AT404" s="33"/>
      <c r="AU404" s="33"/>
      <c r="AV404" s="33"/>
      <c r="AW404" s="33"/>
      <c r="AX404" s="33"/>
      <c r="AY404" s="33"/>
      <c r="AZ404" s="33"/>
      <c r="BA404" s="33"/>
      <c r="BB404" s="33"/>
      <c r="BC404" s="33"/>
      <c r="BD404" s="33"/>
      <c r="BE404" s="33"/>
      <c r="BF404" s="33"/>
      <c r="BG404" s="33"/>
      <c r="BH404" s="33"/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  <c r="BU404" s="33"/>
      <c r="BV404" s="33"/>
      <c r="BW404" s="33"/>
      <c r="BX404" s="33"/>
      <c r="BY404" s="33"/>
      <c r="BZ404" s="33"/>
      <c r="CA404" s="33"/>
      <c r="CB404" s="33"/>
      <c r="CC404" s="33"/>
      <c r="CD404" s="33"/>
      <c r="CE404" s="33"/>
      <c r="CF404" s="33"/>
      <c r="CG404" s="33"/>
      <c r="CH404" s="33"/>
      <c r="CI404" s="33"/>
      <c r="CJ404" s="33"/>
      <c r="CK404" s="33"/>
      <c r="CL404" s="33"/>
      <c r="CM404" s="33"/>
      <c r="CN404" s="33"/>
      <c r="CO404" s="33"/>
      <c r="CP404" s="33"/>
      <c r="CQ404" s="33"/>
      <c r="CR404" s="33"/>
      <c r="CS404" s="33"/>
      <c r="CT404" s="33"/>
      <c r="CU404" s="33"/>
      <c r="CV404" s="33"/>
      <c r="CW404" s="33"/>
      <c r="CX404" s="33"/>
      <c r="CY404" s="33"/>
      <c r="CZ404" s="33"/>
      <c r="DA404" s="33"/>
      <c r="DB404" s="33"/>
      <c r="DC404" s="33"/>
      <c r="DD404" s="33"/>
      <c r="DE404" s="33"/>
      <c r="DF404" s="33"/>
      <c r="DG404" s="33"/>
      <c r="DH404" s="33"/>
      <c r="DI404" s="33"/>
      <c r="DJ404" s="33"/>
      <c r="DK404" s="33"/>
      <c r="DL404" s="33"/>
      <c r="DM404" s="33"/>
      <c r="DN404" s="33"/>
      <c r="DO404" s="33"/>
      <c r="DP404" s="33"/>
      <c r="DQ404" s="33"/>
      <c r="DR404" s="33"/>
      <c r="DS404" s="33"/>
      <c r="DT404" s="33"/>
      <c r="DU404" s="33"/>
      <c r="DV404" s="33"/>
      <c r="DW404" s="33"/>
      <c r="DX404" s="33"/>
      <c r="DY404" s="33"/>
      <c r="DZ404" s="33"/>
      <c r="EA404" s="33"/>
      <c r="EB404" s="33"/>
      <c r="EC404" s="33"/>
      <c r="ED404" s="33"/>
      <c r="EE404" s="33"/>
      <c r="EF404" s="33"/>
      <c r="EG404" s="33"/>
      <c r="EH404" s="33"/>
      <c r="EI404" s="33"/>
      <c r="EJ404" s="33"/>
      <c r="EK404" s="33"/>
      <c r="EL404" s="33"/>
      <c r="EM404" s="33"/>
      <c r="EN404" s="33"/>
      <c r="EO404" s="33"/>
      <c r="EP404" s="33"/>
      <c r="EQ404" s="33"/>
      <c r="ER404" s="33"/>
      <c r="ES404" s="33"/>
    </row>
    <row r="405">
      <c r="A405" s="33"/>
      <c r="B405" s="33"/>
      <c r="C405" s="33"/>
      <c r="D405" s="33"/>
      <c r="E405" s="33"/>
      <c r="F405" s="33"/>
      <c r="G405" s="85"/>
      <c r="H405" s="85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3"/>
      <c r="AC405" s="33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3"/>
      <c r="AP405" s="33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3"/>
      <c r="BC405" s="33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3"/>
      <c r="CC405" s="33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3"/>
      <c r="CP405" s="33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3"/>
      <c r="DC405" s="33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3"/>
      <c r="DP405" s="33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3"/>
      <c r="EC405" s="33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3"/>
      <c r="EP405" s="33"/>
      <c r="EQ405" s="33"/>
      <c r="ER405" s="33"/>
      <c r="ES405" s="33"/>
    </row>
    <row r="406">
      <c r="A406" s="33"/>
      <c r="B406" s="33"/>
      <c r="C406" s="33"/>
      <c r="D406" s="33"/>
      <c r="E406" s="33"/>
      <c r="F406" s="33"/>
      <c r="G406" s="85"/>
      <c r="H406" s="85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33"/>
      <c r="Y406" s="33"/>
      <c r="Z406" s="33"/>
      <c r="AA406" s="33"/>
      <c r="AB406" s="33"/>
      <c r="AC406" s="33"/>
      <c r="AD406" s="33"/>
      <c r="AE406" s="33"/>
      <c r="AF406" s="33"/>
      <c r="AG406" s="33"/>
      <c r="AH406" s="33"/>
      <c r="AI406" s="33"/>
      <c r="AJ406" s="33"/>
      <c r="AK406" s="33"/>
      <c r="AL406" s="33"/>
      <c r="AM406" s="33"/>
      <c r="AN406" s="33"/>
      <c r="AO406" s="33"/>
      <c r="AP406" s="33"/>
      <c r="AQ406" s="33"/>
      <c r="AR406" s="33"/>
      <c r="AS406" s="33"/>
      <c r="AT406" s="33"/>
      <c r="AU406" s="33"/>
      <c r="AV406" s="33"/>
      <c r="AW406" s="33"/>
      <c r="AX406" s="33"/>
      <c r="AY406" s="33"/>
      <c r="AZ406" s="33"/>
      <c r="BA406" s="33"/>
      <c r="BB406" s="33"/>
      <c r="BC406" s="33"/>
      <c r="BD406" s="33"/>
      <c r="BE406" s="33"/>
      <c r="BF406" s="33"/>
      <c r="BG406" s="33"/>
      <c r="BH406" s="33"/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  <c r="BU406" s="33"/>
      <c r="BV406" s="33"/>
      <c r="BW406" s="33"/>
      <c r="BX406" s="33"/>
      <c r="BY406" s="33"/>
      <c r="BZ406" s="33"/>
      <c r="CA406" s="33"/>
      <c r="CB406" s="33"/>
      <c r="CC406" s="33"/>
      <c r="CD406" s="33"/>
      <c r="CE406" s="33"/>
      <c r="CF406" s="33"/>
      <c r="CG406" s="33"/>
      <c r="CH406" s="33"/>
      <c r="CI406" s="33"/>
      <c r="CJ406" s="33"/>
      <c r="CK406" s="33"/>
      <c r="CL406" s="33"/>
      <c r="CM406" s="33"/>
      <c r="CN406" s="33"/>
      <c r="CO406" s="33"/>
      <c r="CP406" s="33"/>
      <c r="CQ406" s="33"/>
      <c r="CR406" s="33"/>
      <c r="CS406" s="33"/>
      <c r="CT406" s="33"/>
      <c r="CU406" s="33"/>
      <c r="CV406" s="33"/>
      <c r="CW406" s="33"/>
      <c r="CX406" s="33"/>
      <c r="CY406" s="33"/>
      <c r="CZ406" s="33"/>
      <c r="DA406" s="33"/>
      <c r="DB406" s="33"/>
      <c r="DC406" s="33"/>
      <c r="DD406" s="33"/>
      <c r="DE406" s="33"/>
      <c r="DF406" s="33"/>
      <c r="DG406" s="33"/>
      <c r="DH406" s="33"/>
      <c r="DI406" s="33"/>
      <c r="DJ406" s="33"/>
      <c r="DK406" s="33"/>
      <c r="DL406" s="33"/>
      <c r="DM406" s="33"/>
      <c r="DN406" s="33"/>
      <c r="DO406" s="33"/>
      <c r="DP406" s="33"/>
      <c r="DQ406" s="33"/>
      <c r="DR406" s="33"/>
      <c r="DS406" s="33"/>
      <c r="DT406" s="33"/>
      <c r="DU406" s="33"/>
      <c r="DV406" s="33"/>
      <c r="DW406" s="33"/>
      <c r="DX406" s="33"/>
      <c r="DY406" s="33"/>
      <c r="DZ406" s="33"/>
      <c r="EA406" s="33"/>
      <c r="EB406" s="33"/>
      <c r="EC406" s="33"/>
      <c r="ED406" s="33"/>
      <c r="EE406" s="33"/>
      <c r="EF406" s="33"/>
      <c r="EG406" s="33"/>
      <c r="EH406" s="33"/>
      <c r="EI406" s="33"/>
      <c r="EJ406" s="33"/>
      <c r="EK406" s="33"/>
      <c r="EL406" s="33"/>
      <c r="EM406" s="33"/>
      <c r="EN406" s="33"/>
      <c r="EO406" s="33"/>
      <c r="EP406" s="33"/>
      <c r="EQ406" s="33"/>
      <c r="ER406" s="33"/>
      <c r="ES406" s="33"/>
    </row>
    <row r="407">
      <c r="A407" s="33"/>
      <c r="B407" s="33"/>
      <c r="C407" s="33"/>
      <c r="D407" s="33"/>
      <c r="E407" s="33"/>
      <c r="F407" s="33"/>
      <c r="G407" s="85"/>
      <c r="H407" s="85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3"/>
      <c r="AC407" s="33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3"/>
      <c r="AP407" s="33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3"/>
      <c r="BC407" s="33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3"/>
      <c r="CC407" s="33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3"/>
      <c r="CP407" s="33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3"/>
      <c r="DC407" s="33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3"/>
      <c r="DP407" s="33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3"/>
      <c r="EC407" s="33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3"/>
      <c r="EP407" s="33"/>
      <c r="EQ407" s="33"/>
      <c r="ER407" s="33"/>
      <c r="ES407" s="33"/>
    </row>
    <row r="408">
      <c r="A408" s="33"/>
      <c r="B408" s="33"/>
      <c r="C408" s="33"/>
      <c r="D408" s="33"/>
      <c r="E408" s="33"/>
      <c r="F408" s="33"/>
      <c r="G408" s="85"/>
      <c r="H408" s="85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33"/>
      <c r="Y408" s="33"/>
      <c r="Z408" s="33"/>
      <c r="AA408" s="33"/>
      <c r="AB408" s="33"/>
      <c r="AC408" s="33"/>
      <c r="AD408" s="33"/>
      <c r="AE408" s="33"/>
      <c r="AF408" s="33"/>
      <c r="AG408" s="33"/>
      <c r="AH408" s="33"/>
      <c r="AI408" s="33"/>
      <c r="AJ408" s="33"/>
      <c r="AK408" s="33"/>
      <c r="AL408" s="33"/>
      <c r="AM408" s="33"/>
      <c r="AN408" s="33"/>
      <c r="AO408" s="33"/>
      <c r="AP408" s="33"/>
      <c r="AQ408" s="33"/>
      <c r="AR408" s="33"/>
      <c r="AS408" s="33"/>
      <c r="AT408" s="33"/>
      <c r="AU408" s="33"/>
      <c r="AV408" s="33"/>
      <c r="AW408" s="33"/>
      <c r="AX408" s="33"/>
      <c r="AY408" s="33"/>
      <c r="AZ408" s="33"/>
      <c r="BA408" s="33"/>
      <c r="BB408" s="33"/>
      <c r="BC408" s="33"/>
      <c r="BD408" s="33"/>
      <c r="BE408" s="33"/>
      <c r="BF408" s="33"/>
      <c r="BG408" s="33"/>
      <c r="BH408" s="33"/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  <c r="BU408" s="33"/>
      <c r="BV408" s="33"/>
      <c r="BW408" s="33"/>
      <c r="BX408" s="33"/>
      <c r="BY408" s="33"/>
      <c r="BZ408" s="33"/>
      <c r="CA408" s="33"/>
      <c r="CB408" s="33"/>
      <c r="CC408" s="33"/>
      <c r="CD408" s="33"/>
      <c r="CE408" s="33"/>
      <c r="CF408" s="33"/>
      <c r="CG408" s="33"/>
      <c r="CH408" s="33"/>
      <c r="CI408" s="33"/>
      <c r="CJ408" s="33"/>
      <c r="CK408" s="33"/>
      <c r="CL408" s="33"/>
      <c r="CM408" s="33"/>
      <c r="CN408" s="33"/>
      <c r="CO408" s="33"/>
      <c r="CP408" s="33"/>
      <c r="CQ408" s="33"/>
      <c r="CR408" s="33"/>
      <c r="CS408" s="33"/>
      <c r="CT408" s="33"/>
      <c r="CU408" s="33"/>
      <c r="CV408" s="33"/>
      <c r="CW408" s="33"/>
      <c r="CX408" s="33"/>
      <c r="CY408" s="33"/>
      <c r="CZ408" s="33"/>
      <c r="DA408" s="33"/>
      <c r="DB408" s="33"/>
      <c r="DC408" s="33"/>
      <c r="DD408" s="33"/>
      <c r="DE408" s="33"/>
      <c r="DF408" s="33"/>
      <c r="DG408" s="33"/>
      <c r="DH408" s="33"/>
      <c r="DI408" s="33"/>
      <c r="DJ408" s="33"/>
      <c r="DK408" s="33"/>
      <c r="DL408" s="33"/>
      <c r="DM408" s="33"/>
      <c r="DN408" s="33"/>
      <c r="DO408" s="33"/>
      <c r="DP408" s="33"/>
      <c r="DQ408" s="33"/>
      <c r="DR408" s="33"/>
      <c r="DS408" s="33"/>
      <c r="DT408" s="33"/>
      <c r="DU408" s="33"/>
      <c r="DV408" s="33"/>
      <c r="DW408" s="33"/>
      <c r="DX408" s="33"/>
      <c r="DY408" s="33"/>
      <c r="DZ408" s="33"/>
      <c r="EA408" s="33"/>
      <c r="EB408" s="33"/>
      <c r="EC408" s="33"/>
      <c r="ED408" s="33"/>
      <c r="EE408" s="33"/>
      <c r="EF408" s="33"/>
      <c r="EG408" s="33"/>
      <c r="EH408" s="33"/>
      <c r="EI408" s="33"/>
      <c r="EJ408" s="33"/>
      <c r="EK408" s="33"/>
      <c r="EL408" s="33"/>
      <c r="EM408" s="33"/>
      <c r="EN408" s="33"/>
      <c r="EO408" s="33"/>
      <c r="EP408" s="33"/>
      <c r="EQ408" s="33"/>
      <c r="ER408" s="33"/>
      <c r="ES408" s="33"/>
    </row>
    <row r="409">
      <c r="A409" s="33"/>
      <c r="B409" s="33"/>
      <c r="C409" s="33"/>
      <c r="D409" s="33"/>
      <c r="E409" s="33"/>
      <c r="F409" s="33"/>
      <c r="G409" s="85"/>
      <c r="H409" s="85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3"/>
      <c r="AC409" s="33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3"/>
      <c r="AP409" s="33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3"/>
      <c r="BC409" s="33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3"/>
      <c r="CC409" s="33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3"/>
      <c r="CP409" s="33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3"/>
      <c r="DC409" s="33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3"/>
      <c r="DP409" s="33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3"/>
      <c r="EC409" s="33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3"/>
      <c r="EP409" s="33"/>
      <c r="EQ409" s="33"/>
      <c r="ER409" s="33"/>
      <c r="ES409" s="33"/>
    </row>
    <row r="410">
      <c r="A410" s="33"/>
      <c r="B410" s="33"/>
      <c r="C410" s="33"/>
      <c r="D410" s="33"/>
      <c r="E410" s="33"/>
      <c r="F410" s="33"/>
      <c r="G410" s="85"/>
      <c r="H410" s="85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33"/>
      <c r="Y410" s="33"/>
      <c r="Z410" s="33"/>
      <c r="AA410" s="33"/>
      <c r="AB410" s="33"/>
      <c r="AC410" s="33"/>
      <c r="AD410" s="33"/>
      <c r="AE410" s="33"/>
      <c r="AF410" s="33"/>
      <c r="AG410" s="33"/>
      <c r="AH410" s="33"/>
      <c r="AI410" s="33"/>
      <c r="AJ410" s="33"/>
      <c r="AK410" s="33"/>
      <c r="AL410" s="33"/>
      <c r="AM410" s="33"/>
      <c r="AN410" s="33"/>
      <c r="AO410" s="33"/>
      <c r="AP410" s="33"/>
      <c r="AQ410" s="33"/>
      <c r="AR410" s="33"/>
      <c r="AS410" s="33"/>
      <c r="AT410" s="33"/>
      <c r="AU410" s="33"/>
      <c r="AV410" s="33"/>
      <c r="AW410" s="33"/>
      <c r="AX410" s="33"/>
      <c r="AY410" s="33"/>
      <c r="AZ410" s="33"/>
      <c r="BA410" s="33"/>
      <c r="BB410" s="33"/>
      <c r="BC410" s="33"/>
      <c r="BD410" s="33"/>
      <c r="BE410" s="33"/>
      <c r="BF410" s="33"/>
      <c r="BG410" s="33"/>
      <c r="BH410" s="33"/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  <c r="BU410" s="33"/>
      <c r="BV410" s="33"/>
      <c r="BW410" s="33"/>
      <c r="BX410" s="33"/>
      <c r="BY410" s="33"/>
      <c r="BZ410" s="33"/>
      <c r="CA410" s="33"/>
      <c r="CB410" s="33"/>
      <c r="CC410" s="33"/>
      <c r="CD410" s="33"/>
      <c r="CE410" s="33"/>
      <c r="CF410" s="33"/>
      <c r="CG410" s="33"/>
      <c r="CH410" s="33"/>
      <c r="CI410" s="33"/>
      <c r="CJ410" s="33"/>
      <c r="CK410" s="33"/>
      <c r="CL410" s="33"/>
      <c r="CM410" s="33"/>
      <c r="CN410" s="33"/>
      <c r="CO410" s="33"/>
      <c r="CP410" s="33"/>
      <c r="CQ410" s="33"/>
      <c r="CR410" s="33"/>
      <c r="CS410" s="33"/>
      <c r="CT410" s="33"/>
      <c r="CU410" s="33"/>
      <c r="CV410" s="33"/>
      <c r="CW410" s="33"/>
      <c r="CX410" s="33"/>
      <c r="CY410" s="33"/>
      <c r="CZ410" s="33"/>
      <c r="DA410" s="33"/>
      <c r="DB410" s="33"/>
      <c r="DC410" s="33"/>
      <c r="DD410" s="33"/>
      <c r="DE410" s="33"/>
      <c r="DF410" s="33"/>
      <c r="DG410" s="33"/>
      <c r="DH410" s="33"/>
      <c r="DI410" s="33"/>
      <c r="DJ410" s="33"/>
      <c r="DK410" s="33"/>
      <c r="DL410" s="33"/>
      <c r="DM410" s="33"/>
      <c r="DN410" s="33"/>
      <c r="DO410" s="33"/>
      <c r="DP410" s="33"/>
      <c r="DQ410" s="33"/>
      <c r="DR410" s="33"/>
      <c r="DS410" s="33"/>
      <c r="DT410" s="33"/>
      <c r="DU410" s="33"/>
      <c r="DV410" s="33"/>
      <c r="DW410" s="33"/>
      <c r="DX410" s="33"/>
      <c r="DY410" s="33"/>
      <c r="DZ410" s="33"/>
      <c r="EA410" s="33"/>
      <c r="EB410" s="33"/>
      <c r="EC410" s="33"/>
      <c r="ED410" s="33"/>
      <c r="EE410" s="33"/>
      <c r="EF410" s="33"/>
      <c r="EG410" s="33"/>
      <c r="EH410" s="33"/>
      <c r="EI410" s="33"/>
      <c r="EJ410" s="33"/>
      <c r="EK410" s="33"/>
      <c r="EL410" s="33"/>
      <c r="EM410" s="33"/>
      <c r="EN410" s="33"/>
      <c r="EO410" s="33"/>
      <c r="EP410" s="33"/>
      <c r="EQ410" s="33"/>
      <c r="ER410" s="33"/>
      <c r="ES410" s="33"/>
    </row>
    <row r="411">
      <c r="A411" s="33"/>
      <c r="B411" s="33"/>
      <c r="C411" s="33"/>
      <c r="D411" s="33"/>
      <c r="E411" s="33"/>
      <c r="F411" s="33"/>
      <c r="G411" s="85"/>
      <c r="H411" s="85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3"/>
      <c r="AC411" s="33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3"/>
      <c r="AP411" s="33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3"/>
      <c r="CC411" s="33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3"/>
      <c r="CP411" s="33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3"/>
      <c r="DC411" s="33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3"/>
      <c r="DP411" s="33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3"/>
      <c r="EC411" s="33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3"/>
      <c r="EP411" s="33"/>
      <c r="EQ411" s="33"/>
      <c r="ER411" s="33"/>
      <c r="ES411" s="33"/>
    </row>
    <row r="412">
      <c r="A412" s="33"/>
      <c r="B412" s="33"/>
      <c r="C412" s="33"/>
      <c r="D412" s="33"/>
      <c r="E412" s="33"/>
      <c r="F412" s="33"/>
      <c r="G412" s="85"/>
      <c r="H412" s="85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33"/>
      <c r="Y412" s="33"/>
      <c r="Z412" s="33"/>
      <c r="AA412" s="33"/>
      <c r="AB412" s="33"/>
      <c r="AC412" s="33"/>
      <c r="AD412" s="33"/>
      <c r="AE412" s="33"/>
      <c r="AF412" s="33"/>
      <c r="AG412" s="33"/>
      <c r="AH412" s="33"/>
      <c r="AI412" s="33"/>
      <c r="AJ412" s="33"/>
      <c r="AK412" s="33"/>
      <c r="AL412" s="33"/>
      <c r="AM412" s="33"/>
      <c r="AN412" s="33"/>
      <c r="AO412" s="33"/>
      <c r="AP412" s="33"/>
      <c r="AQ412" s="33"/>
      <c r="AR412" s="33"/>
      <c r="AS412" s="33"/>
      <c r="AT412" s="33"/>
      <c r="AU412" s="33"/>
      <c r="AV412" s="33"/>
      <c r="AW412" s="33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  <c r="BU412" s="33"/>
      <c r="BV412" s="33"/>
      <c r="BW412" s="33"/>
      <c r="BX412" s="33"/>
      <c r="BY412" s="33"/>
      <c r="BZ412" s="33"/>
      <c r="CA412" s="33"/>
      <c r="CB412" s="33"/>
      <c r="CC412" s="33"/>
      <c r="CD412" s="33"/>
      <c r="CE412" s="33"/>
      <c r="CF412" s="33"/>
      <c r="CG412" s="33"/>
      <c r="CH412" s="33"/>
      <c r="CI412" s="33"/>
      <c r="CJ412" s="33"/>
      <c r="CK412" s="33"/>
      <c r="CL412" s="33"/>
      <c r="CM412" s="33"/>
      <c r="CN412" s="33"/>
      <c r="CO412" s="33"/>
      <c r="CP412" s="33"/>
      <c r="CQ412" s="33"/>
      <c r="CR412" s="33"/>
      <c r="CS412" s="33"/>
      <c r="CT412" s="33"/>
      <c r="CU412" s="33"/>
      <c r="CV412" s="33"/>
      <c r="CW412" s="33"/>
      <c r="CX412" s="33"/>
      <c r="CY412" s="33"/>
      <c r="CZ412" s="33"/>
      <c r="DA412" s="33"/>
      <c r="DB412" s="33"/>
      <c r="DC412" s="33"/>
      <c r="DD412" s="33"/>
      <c r="DE412" s="33"/>
      <c r="DF412" s="33"/>
      <c r="DG412" s="33"/>
      <c r="DH412" s="33"/>
      <c r="DI412" s="33"/>
      <c r="DJ412" s="33"/>
      <c r="DK412" s="33"/>
      <c r="DL412" s="33"/>
      <c r="DM412" s="33"/>
      <c r="DN412" s="33"/>
      <c r="DO412" s="33"/>
      <c r="DP412" s="33"/>
      <c r="DQ412" s="33"/>
      <c r="DR412" s="33"/>
      <c r="DS412" s="33"/>
      <c r="DT412" s="33"/>
      <c r="DU412" s="33"/>
      <c r="DV412" s="33"/>
      <c r="DW412" s="33"/>
      <c r="DX412" s="33"/>
      <c r="DY412" s="33"/>
      <c r="DZ412" s="33"/>
      <c r="EA412" s="33"/>
      <c r="EB412" s="33"/>
      <c r="EC412" s="33"/>
      <c r="ED412" s="33"/>
      <c r="EE412" s="33"/>
      <c r="EF412" s="33"/>
      <c r="EG412" s="33"/>
      <c r="EH412" s="33"/>
      <c r="EI412" s="33"/>
      <c r="EJ412" s="33"/>
      <c r="EK412" s="33"/>
      <c r="EL412" s="33"/>
      <c r="EM412" s="33"/>
      <c r="EN412" s="33"/>
      <c r="EO412" s="33"/>
      <c r="EP412" s="33"/>
      <c r="EQ412" s="33"/>
      <c r="ER412" s="33"/>
      <c r="ES412" s="33"/>
    </row>
    <row r="413">
      <c r="A413" s="33"/>
      <c r="B413" s="33"/>
      <c r="C413" s="33"/>
      <c r="D413" s="33"/>
      <c r="E413" s="33"/>
      <c r="F413" s="33"/>
      <c r="G413" s="85"/>
      <c r="H413" s="85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3"/>
      <c r="AC413" s="33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3"/>
      <c r="AP413" s="33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3"/>
      <c r="CC413" s="33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3"/>
      <c r="CP413" s="33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3"/>
      <c r="DC413" s="33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3"/>
      <c r="DP413" s="33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3"/>
      <c r="EC413" s="33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3"/>
      <c r="EP413" s="33"/>
      <c r="EQ413" s="33"/>
      <c r="ER413" s="33"/>
      <c r="ES413" s="33"/>
    </row>
    <row r="414">
      <c r="A414" s="33"/>
      <c r="B414" s="33"/>
      <c r="C414" s="33"/>
      <c r="D414" s="33"/>
      <c r="E414" s="33"/>
      <c r="F414" s="33"/>
      <c r="G414" s="85"/>
      <c r="H414" s="85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33"/>
      <c r="Y414" s="33"/>
      <c r="Z414" s="33"/>
      <c r="AA414" s="33"/>
      <c r="AB414" s="33"/>
      <c r="AC414" s="33"/>
      <c r="AD414" s="33"/>
      <c r="AE414" s="33"/>
      <c r="AF414" s="33"/>
      <c r="AG414" s="33"/>
      <c r="AH414" s="33"/>
      <c r="AI414" s="33"/>
      <c r="AJ414" s="33"/>
      <c r="AK414" s="33"/>
      <c r="AL414" s="33"/>
      <c r="AM414" s="33"/>
      <c r="AN414" s="33"/>
      <c r="AO414" s="33"/>
      <c r="AP414" s="33"/>
      <c r="AQ414" s="33"/>
      <c r="AR414" s="33"/>
      <c r="AS414" s="33"/>
      <c r="AT414" s="33"/>
      <c r="AU414" s="33"/>
      <c r="AV414" s="33"/>
      <c r="AW414" s="33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  <c r="BU414" s="33"/>
      <c r="BV414" s="33"/>
      <c r="BW414" s="33"/>
      <c r="BX414" s="33"/>
      <c r="BY414" s="33"/>
      <c r="BZ414" s="33"/>
      <c r="CA414" s="33"/>
      <c r="CB414" s="33"/>
      <c r="CC414" s="33"/>
      <c r="CD414" s="33"/>
      <c r="CE414" s="33"/>
      <c r="CF414" s="33"/>
      <c r="CG414" s="33"/>
      <c r="CH414" s="33"/>
      <c r="CI414" s="33"/>
      <c r="CJ414" s="33"/>
      <c r="CK414" s="33"/>
      <c r="CL414" s="33"/>
      <c r="CM414" s="33"/>
      <c r="CN414" s="33"/>
      <c r="CO414" s="33"/>
      <c r="CP414" s="33"/>
      <c r="CQ414" s="33"/>
      <c r="CR414" s="33"/>
      <c r="CS414" s="33"/>
      <c r="CT414" s="33"/>
      <c r="CU414" s="33"/>
      <c r="CV414" s="33"/>
      <c r="CW414" s="33"/>
      <c r="CX414" s="33"/>
      <c r="CY414" s="33"/>
      <c r="CZ414" s="33"/>
      <c r="DA414" s="33"/>
      <c r="DB414" s="33"/>
      <c r="DC414" s="33"/>
      <c r="DD414" s="33"/>
      <c r="DE414" s="33"/>
      <c r="DF414" s="33"/>
      <c r="DG414" s="33"/>
      <c r="DH414" s="33"/>
      <c r="DI414" s="33"/>
      <c r="DJ414" s="33"/>
      <c r="DK414" s="33"/>
      <c r="DL414" s="33"/>
      <c r="DM414" s="33"/>
      <c r="DN414" s="33"/>
      <c r="DO414" s="33"/>
      <c r="DP414" s="33"/>
      <c r="DQ414" s="33"/>
      <c r="DR414" s="33"/>
      <c r="DS414" s="33"/>
      <c r="DT414" s="33"/>
      <c r="DU414" s="33"/>
      <c r="DV414" s="33"/>
      <c r="DW414" s="33"/>
      <c r="DX414" s="33"/>
      <c r="DY414" s="33"/>
      <c r="DZ414" s="33"/>
      <c r="EA414" s="33"/>
      <c r="EB414" s="33"/>
      <c r="EC414" s="33"/>
      <c r="ED414" s="33"/>
      <c r="EE414" s="33"/>
      <c r="EF414" s="33"/>
      <c r="EG414" s="33"/>
      <c r="EH414" s="33"/>
      <c r="EI414" s="33"/>
      <c r="EJ414" s="33"/>
      <c r="EK414" s="33"/>
      <c r="EL414" s="33"/>
      <c r="EM414" s="33"/>
      <c r="EN414" s="33"/>
      <c r="EO414" s="33"/>
      <c r="EP414" s="33"/>
      <c r="EQ414" s="33"/>
      <c r="ER414" s="33"/>
      <c r="ES414" s="33"/>
    </row>
    <row r="415">
      <c r="A415" s="33"/>
      <c r="B415" s="33"/>
      <c r="C415" s="33"/>
      <c r="D415" s="33"/>
      <c r="E415" s="33"/>
      <c r="F415" s="33"/>
      <c r="G415" s="85"/>
      <c r="H415" s="85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3"/>
      <c r="AC415" s="33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3"/>
      <c r="AP415" s="33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3"/>
      <c r="CC415" s="33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3"/>
      <c r="CP415" s="33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3"/>
      <c r="DC415" s="33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3"/>
      <c r="DP415" s="33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3"/>
      <c r="EC415" s="33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3"/>
      <c r="EP415" s="33"/>
      <c r="EQ415" s="33"/>
      <c r="ER415" s="33"/>
      <c r="ES415" s="33"/>
    </row>
    <row r="416">
      <c r="A416" s="33"/>
      <c r="B416" s="33"/>
      <c r="C416" s="33"/>
      <c r="D416" s="33"/>
      <c r="E416" s="33"/>
      <c r="F416" s="33"/>
      <c r="G416" s="85"/>
      <c r="H416" s="85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33"/>
      <c r="Y416" s="33"/>
      <c r="Z416" s="33"/>
      <c r="AA416" s="33"/>
      <c r="AB416" s="33"/>
      <c r="AC416" s="33"/>
      <c r="AD416" s="33"/>
      <c r="AE416" s="33"/>
      <c r="AF416" s="33"/>
      <c r="AG416" s="33"/>
      <c r="AH416" s="33"/>
      <c r="AI416" s="33"/>
      <c r="AJ416" s="33"/>
      <c r="AK416" s="33"/>
      <c r="AL416" s="33"/>
      <c r="AM416" s="33"/>
      <c r="AN416" s="33"/>
      <c r="AO416" s="33"/>
      <c r="AP416" s="33"/>
      <c r="AQ416" s="33"/>
      <c r="AR416" s="33"/>
      <c r="AS416" s="33"/>
      <c r="AT416" s="33"/>
      <c r="AU416" s="33"/>
      <c r="AV416" s="33"/>
      <c r="AW416" s="33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  <c r="BU416" s="33"/>
      <c r="BV416" s="33"/>
      <c r="BW416" s="33"/>
      <c r="BX416" s="33"/>
      <c r="BY416" s="33"/>
      <c r="BZ416" s="33"/>
      <c r="CA416" s="33"/>
      <c r="CB416" s="33"/>
      <c r="CC416" s="33"/>
      <c r="CD416" s="33"/>
      <c r="CE416" s="33"/>
      <c r="CF416" s="33"/>
      <c r="CG416" s="33"/>
      <c r="CH416" s="33"/>
      <c r="CI416" s="33"/>
      <c r="CJ416" s="33"/>
      <c r="CK416" s="33"/>
      <c r="CL416" s="33"/>
      <c r="CM416" s="33"/>
      <c r="CN416" s="33"/>
      <c r="CO416" s="33"/>
      <c r="CP416" s="33"/>
      <c r="CQ416" s="33"/>
      <c r="CR416" s="33"/>
      <c r="CS416" s="33"/>
      <c r="CT416" s="33"/>
      <c r="CU416" s="33"/>
      <c r="CV416" s="33"/>
      <c r="CW416" s="33"/>
      <c r="CX416" s="33"/>
      <c r="CY416" s="33"/>
      <c r="CZ416" s="33"/>
      <c r="DA416" s="33"/>
      <c r="DB416" s="33"/>
      <c r="DC416" s="33"/>
      <c r="DD416" s="33"/>
      <c r="DE416" s="33"/>
      <c r="DF416" s="33"/>
      <c r="DG416" s="33"/>
      <c r="DH416" s="33"/>
      <c r="DI416" s="33"/>
      <c r="DJ416" s="33"/>
      <c r="DK416" s="33"/>
      <c r="DL416" s="33"/>
      <c r="DM416" s="33"/>
      <c r="DN416" s="33"/>
      <c r="DO416" s="33"/>
      <c r="DP416" s="33"/>
      <c r="DQ416" s="33"/>
      <c r="DR416" s="33"/>
      <c r="DS416" s="33"/>
      <c r="DT416" s="33"/>
      <c r="DU416" s="33"/>
      <c r="DV416" s="33"/>
      <c r="DW416" s="33"/>
      <c r="DX416" s="33"/>
      <c r="DY416" s="33"/>
      <c r="DZ416" s="33"/>
      <c r="EA416" s="33"/>
      <c r="EB416" s="33"/>
      <c r="EC416" s="33"/>
      <c r="ED416" s="33"/>
      <c r="EE416" s="33"/>
      <c r="EF416" s="33"/>
      <c r="EG416" s="33"/>
      <c r="EH416" s="33"/>
      <c r="EI416" s="33"/>
      <c r="EJ416" s="33"/>
      <c r="EK416" s="33"/>
      <c r="EL416" s="33"/>
      <c r="EM416" s="33"/>
      <c r="EN416" s="33"/>
      <c r="EO416" s="33"/>
      <c r="EP416" s="33"/>
      <c r="EQ416" s="33"/>
      <c r="ER416" s="33"/>
      <c r="ES416" s="33"/>
    </row>
    <row r="417">
      <c r="A417" s="33"/>
      <c r="B417" s="33"/>
      <c r="C417" s="33"/>
      <c r="D417" s="33"/>
      <c r="E417" s="33"/>
      <c r="F417" s="33"/>
      <c r="G417" s="85"/>
      <c r="H417" s="85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3"/>
      <c r="AC417" s="33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3"/>
      <c r="AP417" s="33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3"/>
      <c r="CC417" s="33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3"/>
      <c r="CP417" s="33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3"/>
      <c r="DC417" s="33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3"/>
      <c r="DP417" s="33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3"/>
      <c r="EC417" s="33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3"/>
      <c r="EP417" s="33"/>
      <c r="EQ417" s="33"/>
      <c r="ER417" s="33"/>
      <c r="ES417" s="33"/>
    </row>
    <row r="418">
      <c r="A418" s="33"/>
      <c r="B418" s="33"/>
      <c r="C418" s="33"/>
      <c r="D418" s="33"/>
      <c r="E418" s="33"/>
      <c r="F418" s="33"/>
      <c r="G418" s="85"/>
      <c r="H418" s="85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33"/>
      <c r="Y418" s="33"/>
      <c r="Z418" s="33"/>
      <c r="AA418" s="33"/>
      <c r="AB418" s="33"/>
      <c r="AC418" s="33"/>
      <c r="AD418" s="33"/>
      <c r="AE418" s="33"/>
      <c r="AF418" s="33"/>
      <c r="AG418" s="33"/>
      <c r="AH418" s="33"/>
      <c r="AI418" s="33"/>
      <c r="AJ418" s="33"/>
      <c r="AK418" s="33"/>
      <c r="AL418" s="33"/>
      <c r="AM418" s="33"/>
      <c r="AN418" s="33"/>
      <c r="AO418" s="33"/>
      <c r="AP418" s="33"/>
      <c r="AQ418" s="33"/>
      <c r="AR418" s="33"/>
      <c r="AS418" s="33"/>
      <c r="AT418" s="33"/>
      <c r="AU418" s="33"/>
      <c r="AV418" s="33"/>
      <c r="AW418" s="33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  <c r="BU418" s="33"/>
      <c r="BV418" s="33"/>
      <c r="BW418" s="33"/>
      <c r="BX418" s="33"/>
      <c r="BY418" s="33"/>
      <c r="BZ418" s="33"/>
      <c r="CA418" s="33"/>
      <c r="CB418" s="33"/>
      <c r="CC418" s="33"/>
      <c r="CD418" s="33"/>
      <c r="CE418" s="33"/>
      <c r="CF418" s="33"/>
      <c r="CG418" s="33"/>
      <c r="CH418" s="33"/>
      <c r="CI418" s="33"/>
      <c r="CJ418" s="33"/>
      <c r="CK418" s="33"/>
      <c r="CL418" s="33"/>
      <c r="CM418" s="33"/>
      <c r="CN418" s="33"/>
      <c r="CO418" s="33"/>
      <c r="CP418" s="33"/>
      <c r="CQ418" s="33"/>
      <c r="CR418" s="33"/>
      <c r="CS418" s="33"/>
      <c r="CT418" s="33"/>
      <c r="CU418" s="33"/>
      <c r="CV418" s="33"/>
      <c r="CW418" s="33"/>
      <c r="CX418" s="33"/>
      <c r="CY418" s="33"/>
      <c r="CZ418" s="33"/>
      <c r="DA418" s="33"/>
      <c r="DB418" s="33"/>
      <c r="DC418" s="33"/>
      <c r="DD418" s="33"/>
      <c r="DE418" s="33"/>
      <c r="DF418" s="33"/>
      <c r="DG418" s="33"/>
      <c r="DH418" s="33"/>
      <c r="DI418" s="33"/>
      <c r="DJ418" s="33"/>
      <c r="DK418" s="33"/>
      <c r="DL418" s="33"/>
      <c r="DM418" s="33"/>
      <c r="DN418" s="33"/>
      <c r="DO418" s="33"/>
      <c r="DP418" s="33"/>
      <c r="DQ418" s="33"/>
      <c r="DR418" s="33"/>
      <c r="DS418" s="33"/>
      <c r="DT418" s="33"/>
      <c r="DU418" s="33"/>
      <c r="DV418" s="33"/>
      <c r="DW418" s="33"/>
      <c r="DX418" s="33"/>
      <c r="DY418" s="33"/>
      <c r="DZ418" s="33"/>
      <c r="EA418" s="33"/>
      <c r="EB418" s="33"/>
      <c r="EC418" s="33"/>
      <c r="ED418" s="33"/>
      <c r="EE418" s="33"/>
      <c r="EF418" s="33"/>
      <c r="EG418" s="33"/>
      <c r="EH418" s="33"/>
      <c r="EI418" s="33"/>
      <c r="EJ418" s="33"/>
      <c r="EK418" s="33"/>
      <c r="EL418" s="33"/>
      <c r="EM418" s="33"/>
      <c r="EN418" s="33"/>
      <c r="EO418" s="33"/>
      <c r="EP418" s="33"/>
      <c r="EQ418" s="33"/>
      <c r="ER418" s="33"/>
      <c r="ES418" s="33"/>
    </row>
    <row r="419">
      <c r="A419" s="33"/>
      <c r="B419" s="33"/>
      <c r="C419" s="33"/>
      <c r="D419" s="33"/>
      <c r="E419" s="33"/>
      <c r="F419" s="33"/>
      <c r="G419" s="85"/>
      <c r="H419" s="85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3"/>
      <c r="AC419" s="33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3"/>
      <c r="AP419" s="33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3"/>
      <c r="CC419" s="33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3"/>
      <c r="CP419" s="33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3"/>
      <c r="DC419" s="33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3"/>
      <c r="DP419" s="33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3"/>
      <c r="EC419" s="33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3"/>
      <c r="EP419" s="33"/>
      <c r="EQ419" s="33"/>
      <c r="ER419" s="33"/>
      <c r="ES419" s="33"/>
    </row>
    <row r="420">
      <c r="A420" s="33"/>
      <c r="B420" s="33"/>
      <c r="C420" s="33"/>
      <c r="D420" s="33"/>
      <c r="E420" s="33"/>
      <c r="F420" s="33"/>
      <c r="G420" s="85"/>
      <c r="H420" s="85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33"/>
      <c r="Y420" s="33"/>
      <c r="Z420" s="33"/>
      <c r="AA420" s="33"/>
      <c r="AB420" s="33"/>
      <c r="AC420" s="33"/>
      <c r="AD420" s="33"/>
      <c r="AE420" s="33"/>
      <c r="AF420" s="33"/>
      <c r="AG420" s="33"/>
      <c r="AH420" s="33"/>
      <c r="AI420" s="33"/>
      <c r="AJ420" s="33"/>
      <c r="AK420" s="33"/>
      <c r="AL420" s="33"/>
      <c r="AM420" s="33"/>
      <c r="AN420" s="33"/>
      <c r="AO420" s="33"/>
      <c r="AP420" s="33"/>
      <c r="AQ420" s="33"/>
      <c r="AR420" s="33"/>
      <c r="AS420" s="33"/>
      <c r="AT420" s="33"/>
      <c r="AU420" s="33"/>
      <c r="AV420" s="33"/>
      <c r="AW420" s="33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  <c r="BU420" s="33"/>
      <c r="BV420" s="33"/>
      <c r="BW420" s="33"/>
      <c r="BX420" s="33"/>
      <c r="BY420" s="33"/>
      <c r="BZ420" s="33"/>
      <c r="CA420" s="33"/>
      <c r="CB420" s="33"/>
      <c r="CC420" s="33"/>
      <c r="CD420" s="33"/>
      <c r="CE420" s="33"/>
      <c r="CF420" s="33"/>
      <c r="CG420" s="33"/>
      <c r="CH420" s="33"/>
      <c r="CI420" s="33"/>
      <c r="CJ420" s="33"/>
      <c r="CK420" s="33"/>
      <c r="CL420" s="33"/>
      <c r="CM420" s="33"/>
      <c r="CN420" s="33"/>
      <c r="CO420" s="33"/>
      <c r="CP420" s="33"/>
      <c r="CQ420" s="33"/>
      <c r="CR420" s="33"/>
      <c r="CS420" s="33"/>
      <c r="CT420" s="33"/>
      <c r="CU420" s="33"/>
      <c r="CV420" s="33"/>
      <c r="CW420" s="33"/>
      <c r="CX420" s="33"/>
      <c r="CY420" s="33"/>
      <c r="CZ420" s="33"/>
      <c r="DA420" s="33"/>
      <c r="DB420" s="33"/>
      <c r="DC420" s="33"/>
      <c r="DD420" s="33"/>
      <c r="DE420" s="33"/>
      <c r="DF420" s="33"/>
      <c r="DG420" s="33"/>
      <c r="DH420" s="33"/>
      <c r="DI420" s="33"/>
      <c r="DJ420" s="33"/>
      <c r="DK420" s="33"/>
      <c r="DL420" s="33"/>
      <c r="DM420" s="33"/>
      <c r="DN420" s="33"/>
      <c r="DO420" s="33"/>
      <c r="DP420" s="33"/>
      <c r="DQ420" s="33"/>
      <c r="DR420" s="33"/>
      <c r="DS420" s="33"/>
      <c r="DT420" s="33"/>
      <c r="DU420" s="33"/>
      <c r="DV420" s="33"/>
      <c r="DW420" s="33"/>
      <c r="DX420" s="33"/>
      <c r="DY420" s="33"/>
      <c r="DZ420" s="33"/>
      <c r="EA420" s="33"/>
      <c r="EB420" s="33"/>
      <c r="EC420" s="33"/>
      <c r="ED420" s="33"/>
      <c r="EE420" s="33"/>
      <c r="EF420" s="33"/>
      <c r="EG420" s="33"/>
      <c r="EH420" s="33"/>
      <c r="EI420" s="33"/>
      <c r="EJ420" s="33"/>
      <c r="EK420" s="33"/>
      <c r="EL420" s="33"/>
      <c r="EM420" s="33"/>
      <c r="EN420" s="33"/>
      <c r="EO420" s="33"/>
      <c r="EP420" s="33"/>
      <c r="EQ420" s="33"/>
      <c r="ER420" s="33"/>
      <c r="ES420" s="33"/>
    </row>
    <row r="421">
      <c r="A421" s="33"/>
      <c r="B421" s="33"/>
      <c r="C421" s="33"/>
      <c r="D421" s="33"/>
      <c r="E421" s="33"/>
      <c r="F421" s="33"/>
      <c r="G421" s="85"/>
      <c r="H421" s="85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3"/>
      <c r="AC421" s="33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3"/>
      <c r="AP421" s="33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3"/>
      <c r="CC421" s="33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3"/>
      <c r="CP421" s="33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3"/>
      <c r="DC421" s="33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3"/>
      <c r="DP421" s="33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3"/>
      <c r="EC421" s="33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3"/>
      <c r="EP421" s="33"/>
      <c r="EQ421" s="33"/>
      <c r="ER421" s="33"/>
      <c r="ES421" s="33"/>
    </row>
    <row r="422">
      <c r="A422" s="33"/>
      <c r="B422" s="33"/>
      <c r="C422" s="33"/>
      <c r="D422" s="33"/>
      <c r="E422" s="33"/>
      <c r="F422" s="33"/>
      <c r="G422" s="85"/>
      <c r="H422" s="85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33"/>
      <c r="Y422" s="33"/>
      <c r="Z422" s="33"/>
      <c r="AA422" s="33"/>
      <c r="AB422" s="33"/>
      <c r="AC422" s="33"/>
      <c r="AD422" s="33"/>
      <c r="AE422" s="33"/>
      <c r="AF422" s="33"/>
      <c r="AG422" s="33"/>
      <c r="AH422" s="33"/>
      <c r="AI422" s="33"/>
      <c r="AJ422" s="33"/>
      <c r="AK422" s="33"/>
      <c r="AL422" s="33"/>
      <c r="AM422" s="33"/>
      <c r="AN422" s="33"/>
      <c r="AO422" s="33"/>
      <c r="AP422" s="33"/>
      <c r="AQ422" s="33"/>
      <c r="AR422" s="33"/>
      <c r="AS422" s="33"/>
      <c r="AT422" s="33"/>
      <c r="AU422" s="33"/>
      <c r="AV422" s="33"/>
      <c r="AW422" s="33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  <c r="BU422" s="33"/>
      <c r="BV422" s="33"/>
      <c r="BW422" s="33"/>
      <c r="BX422" s="33"/>
      <c r="BY422" s="33"/>
      <c r="BZ422" s="33"/>
      <c r="CA422" s="33"/>
      <c r="CB422" s="33"/>
      <c r="CC422" s="33"/>
      <c r="CD422" s="33"/>
      <c r="CE422" s="33"/>
      <c r="CF422" s="33"/>
      <c r="CG422" s="33"/>
      <c r="CH422" s="33"/>
      <c r="CI422" s="33"/>
      <c r="CJ422" s="33"/>
      <c r="CK422" s="33"/>
      <c r="CL422" s="33"/>
      <c r="CM422" s="33"/>
      <c r="CN422" s="33"/>
      <c r="CO422" s="33"/>
      <c r="CP422" s="33"/>
      <c r="CQ422" s="33"/>
      <c r="CR422" s="33"/>
      <c r="CS422" s="33"/>
      <c r="CT422" s="33"/>
      <c r="CU422" s="33"/>
      <c r="CV422" s="33"/>
      <c r="CW422" s="33"/>
      <c r="CX422" s="33"/>
      <c r="CY422" s="33"/>
      <c r="CZ422" s="33"/>
      <c r="DA422" s="33"/>
      <c r="DB422" s="33"/>
      <c r="DC422" s="33"/>
      <c r="DD422" s="33"/>
      <c r="DE422" s="33"/>
      <c r="DF422" s="33"/>
      <c r="DG422" s="33"/>
      <c r="DH422" s="33"/>
      <c r="DI422" s="33"/>
      <c r="DJ422" s="33"/>
      <c r="DK422" s="33"/>
      <c r="DL422" s="33"/>
      <c r="DM422" s="33"/>
      <c r="DN422" s="33"/>
      <c r="DO422" s="33"/>
      <c r="DP422" s="33"/>
      <c r="DQ422" s="33"/>
      <c r="DR422" s="33"/>
      <c r="DS422" s="33"/>
      <c r="DT422" s="33"/>
      <c r="DU422" s="33"/>
      <c r="DV422" s="33"/>
      <c r="DW422" s="33"/>
      <c r="DX422" s="33"/>
      <c r="DY422" s="33"/>
      <c r="DZ422" s="33"/>
      <c r="EA422" s="33"/>
      <c r="EB422" s="33"/>
      <c r="EC422" s="33"/>
      <c r="ED422" s="33"/>
      <c r="EE422" s="33"/>
      <c r="EF422" s="33"/>
      <c r="EG422" s="33"/>
      <c r="EH422" s="33"/>
      <c r="EI422" s="33"/>
      <c r="EJ422" s="33"/>
      <c r="EK422" s="33"/>
      <c r="EL422" s="33"/>
      <c r="EM422" s="33"/>
      <c r="EN422" s="33"/>
      <c r="EO422" s="33"/>
      <c r="EP422" s="33"/>
      <c r="EQ422" s="33"/>
      <c r="ER422" s="33"/>
      <c r="ES422" s="33"/>
    </row>
    <row r="423">
      <c r="A423" s="33"/>
      <c r="B423" s="33"/>
      <c r="C423" s="33"/>
      <c r="D423" s="33"/>
      <c r="E423" s="33"/>
      <c r="F423" s="33"/>
      <c r="G423" s="85"/>
      <c r="H423" s="85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3"/>
      <c r="AC423" s="33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3"/>
      <c r="AP423" s="33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3"/>
      <c r="CC423" s="33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3"/>
      <c r="CP423" s="33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3"/>
      <c r="DC423" s="33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3"/>
      <c r="DP423" s="33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3"/>
      <c r="EC423" s="33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3"/>
      <c r="EP423" s="33"/>
      <c r="EQ423" s="33"/>
      <c r="ER423" s="33"/>
      <c r="ES423" s="33"/>
    </row>
    <row r="424">
      <c r="A424" s="33"/>
      <c r="B424" s="33"/>
      <c r="C424" s="33"/>
      <c r="D424" s="33"/>
      <c r="E424" s="33"/>
      <c r="F424" s="33"/>
      <c r="G424" s="85"/>
      <c r="H424" s="85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33"/>
      <c r="Y424" s="33"/>
      <c r="Z424" s="33"/>
      <c r="AA424" s="33"/>
      <c r="AB424" s="33"/>
      <c r="AC424" s="33"/>
      <c r="AD424" s="33"/>
      <c r="AE424" s="33"/>
      <c r="AF424" s="33"/>
      <c r="AG424" s="33"/>
      <c r="AH424" s="33"/>
      <c r="AI424" s="33"/>
      <c r="AJ424" s="33"/>
      <c r="AK424" s="33"/>
      <c r="AL424" s="33"/>
      <c r="AM424" s="33"/>
      <c r="AN424" s="33"/>
      <c r="AO424" s="33"/>
      <c r="AP424" s="33"/>
      <c r="AQ424" s="33"/>
      <c r="AR424" s="33"/>
      <c r="AS424" s="33"/>
      <c r="AT424" s="33"/>
      <c r="AU424" s="33"/>
      <c r="AV424" s="33"/>
      <c r="AW424" s="33"/>
      <c r="AX424" s="33"/>
      <c r="AY424" s="33"/>
      <c r="AZ424" s="33"/>
      <c r="BA424" s="33"/>
      <c r="BB424" s="33"/>
      <c r="BC424" s="33"/>
      <c r="BD424" s="33"/>
      <c r="BE424" s="33"/>
      <c r="BF424" s="33"/>
      <c r="BG424" s="33"/>
      <c r="BH424" s="33"/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  <c r="BU424" s="33"/>
      <c r="BV424" s="33"/>
      <c r="BW424" s="33"/>
      <c r="BX424" s="33"/>
      <c r="BY424" s="33"/>
      <c r="BZ424" s="33"/>
      <c r="CA424" s="33"/>
      <c r="CB424" s="33"/>
      <c r="CC424" s="33"/>
      <c r="CD424" s="33"/>
      <c r="CE424" s="33"/>
      <c r="CF424" s="33"/>
      <c r="CG424" s="33"/>
      <c r="CH424" s="33"/>
      <c r="CI424" s="33"/>
      <c r="CJ424" s="33"/>
      <c r="CK424" s="33"/>
      <c r="CL424" s="33"/>
      <c r="CM424" s="33"/>
      <c r="CN424" s="33"/>
      <c r="CO424" s="33"/>
      <c r="CP424" s="33"/>
      <c r="CQ424" s="33"/>
      <c r="CR424" s="33"/>
      <c r="CS424" s="33"/>
      <c r="CT424" s="33"/>
      <c r="CU424" s="33"/>
      <c r="CV424" s="33"/>
      <c r="CW424" s="33"/>
      <c r="CX424" s="33"/>
      <c r="CY424" s="33"/>
      <c r="CZ424" s="33"/>
      <c r="DA424" s="33"/>
      <c r="DB424" s="33"/>
      <c r="DC424" s="33"/>
      <c r="DD424" s="33"/>
      <c r="DE424" s="33"/>
      <c r="DF424" s="33"/>
      <c r="DG424" s="33"/>
      <c r="DH424" s="33"/>
      <c r="DI424" s="33"/>
      <c r="DJ424" s="33"/>
      <c r="DK424" s="33"/>
      <c r="DL424" s="33"/>
      <c r="DM424" s="33"/>
      <c r="DN424" s="33"/>
      <c r="DO424" s="33"/>
      <c r="DP424" s="33"/>
      <c r="DQ424" s="33"/>
      <c r="DR424" s="33"/>
      <c r="DS424" s="33"/>
      <c r="DT424" s="33"/>
      <c r="DU424" s="33"/>
      <c r="DV424" s="33"/>
      <c r="DW424" s="33"/>
      <c r="DX424" s="33"/>
      <c r="DY424" s="33"/>
      <c r="DZ424" s="33"/>
      <c r="EA424" s="33"/>
      <c r="EB424" s="33"/>
      <c r="EC424" s="33"/>
      <c r="ED424" s="33"/>
      <c r="EE424" s="33"/>
      <c r="EF424" s="33"/>
      <c r="EG424" s="33"/>
      <c r="EH424" s="33"/>
      <c r="EI424" s="33"/>
      <c r="EJ424" s="33"/>
      <c r="EK424" s="33"/>
      <c r="EL424" s="33"/>
      <c r="EM424" s="33"/>
      <c r="EN424" s="33"/>
      <c r="EO424" s="33"/>
      <c r="EP424" s="33"/>
      <c r="EQ424" s="33"/>
      <c r="ER424" s="33"/>
      <c r="ES424" s="33"/>
    </row>
    <row r="425">
      <c r="A425" s="33"/>
      <c r="B425" s="33"/>
      <c r="C425" s="33"/>
      <c r="D425" s="33"/>
      <c r="E425" s="33"/>
      <c r="F425" s="33"/>
      <c r="G425" s="85"/>
      <c r="H425" s="85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3"/>
      <c r="AC425" s="33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3"/>
      <c r="AP425" s="33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3"/>
      <c r="BC425" s="33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3"/>
      <c r="CC425" s="33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3"/>
      <c r="CP425" s="33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3"/>
      <c r="DC425" s="33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3"/>
      <c r="DP425" s="33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3"/>
      <c r="EC425" s="33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3"/>
      <c r="EP425" s="33"/>
      <c r="EQ425" s="33"/>
      <c r="ER425" s="33"/>
      <c r="ES425" s="33"/>
    </row>
    <row r="426">
      <c r="A426" s="33"/>
      <c r="B426" s="33"/>
      <c r="C426" s="33"/>
      <c r="D426" s="33"/>
      <c r="E426" s="33"/>
      <c r="F426" s="33"/>
      <c r="G426" s="85"/>
      <c r="H426" s="85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33"/>
      <c r="Y426" s="33"/>
      <c r="Z426" s="33"/>
      <c r="AA426" s="33"/>
      <c r="AB426" s="33"/>
      <c r="AC426" s="33"/>
      <c r="AD426" s="33"/>
      <c r="AE426" s="33"/>
      <c r="AF426" s="33"/>
      <c r="AG426" s="33"/>
      <c r="AH426" s="33"/>
      <c r="AI426" s="33"/>
      <c r="AJ426" s="33"/>
      <c r="AK426" s="33"/>
      <c r="AL426" s="33"/>
      <c r="AM426" s="33"/>
      <c r="AN426" s="33"/>
      <c r="AO426" s="33"/>
      <c r="AP426" s="33"/>
      <c r="AQ426" s="33"/>
      <c r="AR426" s="33"/>
      <c r="AS426" s="33"/>
      <c r="AT426" s="33"/>
      <c r="AU426" s="33"/>
      <c r="AV426" s="33"/>
      <c r="AW426" s="33"/>
      <c r="AX426" s="33"/>
      <c r="AY426" s="33"/>
      <c r="AZ426" s="33"/>
      <c r="BA426" s="33"/>
      <c r="BB426" s="33"/>
      <c r="BC426" s="33"/>
      <c r="BD426" s="33"/>
      <c r="BE426" s="33"/>
      <c r="BF426" s="33"/>
      <c r="BG426" s="33"/>
      <c r="BH426" s="33"/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  <c r="BU426" s="33"/>
      <c r="BV426" s="33"/>
      <c r="BW426" s="33"/>
      <c r="BX426" s="33"/>
      <c r="BY426" s="33"/>
      <c r="BZ426" s="33"/>
      <c r="CA426" s="33"/>
      <c r="CB426" s="33"/>
      <c r="CC426" s="33"/>
      <c r="CD426" s="33"/>
      <c r="CE426" s="33"/>
      <c r="CF426" s="33"/>
      <c r="CG426" s="33"/>
      <c r="CH426" s="33"/>
      <c r="CI426" s="33"/>
      <c r="CJ426" s="33"/>
      <c r="CK426" s="33"/>
      <c r="CL426" s="33"/>
      <c r="CM426" s="33"/>
      <c r="CN426" s="33"/>
      <c r="CO426" s="33"/>
      <c r="CP426" s="33"/>
      <c r="CQ426" s="33"/>
      <c r="CR426" s="33"/>
      <c r="CS426" s="33"/>
      <c r="CT426" s="33"/>
      <c r="CU426" s="33"/>
      <c r="CV426" s="33"/>
      <c r="CW426" s="33"/>
      <c r="CX426" s="33"/>
      <c r="CY426" s="33"/>
      <c r="CZ426" s="33"/>
      <c r="DA426" s="33"/>
      <c r="DB426" s="33"/>
      <c r="DC426" s="33"/>
      <c r="DD426" s="33"/>
      <c r="DE426" s="33"/>
      <c r="DF426" s="33"/>
      <c r="DG426" s="33"/>
      <c r="DH426" s="33"/>
      <c r="DI426" s="33"/>
      <c r="DJ426" s="33"/>
      <c r="DK426" s="33"/>
      <c r="DL426" s="33"/>
      <c r="DM426" s="33"/>
      <c r="DN426" s="33"/>
      <c r="DO426" s="33"/>
      <c r="DP426" s="33"/>
      <c r="DQ426" s="33"/>
      <c r="DR426" s="33"/>
      <c r="DS426" s="33"/>
      <c r="DT426" s="33"/>
      <c r="DU426" s="33"/>
      <c r="DV426" s="33"/>
      <c r="DW426" s="33"/>
      <c r="DX426" s="33"/>
      <c r="DY426" s="33"/>
      <c r="DZ426" s="33"/>
      <c r="EA426" s="33"/>
      <c r="EB426" s="33"/>
      <c r="EC426" s="33"/>
      <c r="ED426" s="33"/>
      <c r="EE426" s="33"/>
      <c r="EF426" s="33"/>
      <c r="EG426" s="33"/>
      <c r="EH426" s="33"/>
      <c r="EI426" s="33"/>
      <c r="EJ426" s="33"/>
      <c r="EK426" s="33"/>
      <c r="EL426" s="33"/>
      <c r="EM426" s="33"/>
      <c r="EN426" s="33"/>
      <c r="EO426" s="33"/>
      <c r="EP426" s="33"/>
      <c r="EQ426" s="33"/>
      <c r="ER426" s="33"/>
      <c r="ES426" s="33"/>
    </row>
    <row r="427">
      <c r="A427" s="33"/>
      <c r="B427" s="33"/>
      <c r="C427" s="33"/>
      <c r="D427" s="33"/>
      <c r="E427" s="33"/>
      <c r="F427" s="33"/>
      <c r="G427" s="85"/>
      <c r="H427" s="85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3"/>
      <c r="AC427" s="33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3"/>
      <c r="AP427" s="33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3"/>
      <c r="BC427" s="33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3"/>
      <c r="CC427" s="33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3"/>
      <c r="CP427" s="33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3"/>
      <c r="DC427" s="33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3"/>
      <c r="DP427" s="33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3"/>
      <c r="EC427" s="33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3"/>
      <c r="EP427" s="33"/>
      <c r="EQ427" s="33"/>
      <c r="ER427" s="33"/>
      <c r="ES427" s="33"/>
    </row>
    <row r="428">
      <c r="A428" s="33"/>
      <c r="B428" s="33"/>
      <c r="C428" s="33"/>
      <c r="D428" s="33"/>
      <c r="E428" s="33"/>
      <c r="F428" s="33"/>
      <c r="G428" s="85"/>
      <c r="H428" s="85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33"/>
      <c r="Y428" s="33"/>
      <c r="Z428" s="33"/>
      <c r="AA428" s="33"/>
      <c r="AB428" s="33"/>
      <c r="AC428" s="33"/>
      <c r="AD428" s="33"/>
      <c r="AE428" s="33"/>
      <c r="AF428" s="33"/>
      <c r="AG428" s="33"/>
      <c r="AH428" s="33"/>
      <c r="AI428" s="33"/>
      <c r="AJ428" s="33"/>
      <c r="AK428" s="33"/>
      <c r="AL428" s="33"/>
      <c r="AM428" s="33"/>
      <c r="AN428" s="33"/>
      <c r="AO428" s="33"/>
      <c r="AP428" s="33"/>
      <c r="AQ428" s="33"/>
      <c r="AR428" s="33"/>
      <c r="AS428" s="33"/>
      <c r="AT428" s="33"/>
      <c r="AU428" s="33"/>
      <c r="AV428" s="33"/>
      <c r="AW428" s="33"/>
      <c r="AX428" s="33"/>
      <c r="AY428" s="33"/>
      <c r="AZ428" s="33"/>
      <c r="BA428" s="33"/>
      <c r="BB428" s="33"/>
      <c r="BC428" s="33"/>
      <c r="BD428" s="33"/>
      <c r="BE428" s="33"/>
      <c r="BF428" s="33"/>
      <c r="BG428" s="33"/>
      <c r="BH428" s="33"/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  <c r="BU428" s="33"/>
      <c r="BV428" s="33"/>
      <c r="BW428" s="33"/>
      <c r="BX428" s="33"/>
      <c r="BY428" s="33"/>
      <c r="BZ428" s="33"/>
      <c r="CA428" s="33"/>
      <c r="CB428" s="33"/>
      <c r="CC428" s="33"/>
      <c r="CD428" s="33"/>
      <c r="CE428" s="33"/>
      <c r="CF428" s="33"/>
      <c r="CG428" s="33"/>
      <c r="CH428" s="33"/>
      <c r="CI428" s="33"/>
      <c r="CJ428" s="33"/>
      <c r="CK428" s="33"/>
      <c r="CL428" s="33"/>
      <c r="CM428" s="33"/>
      <c r="CN428" s="33"/>
      <c r="CO428" s="33"/>
      <c r="CP428" s="33"/>
      <c r="CQ428" s="33"/>
      <c r="CR428" s="33"/>
      <c r="CS428" s="33"/>
      <c r="CT428" s="33"/>
      <c r="CU428" s="33"/>
      <c r="CV428" s="33"/>
      <c r="CW428" s="33"/>
      <c r="CX428" s="33"/>
      <c r="CY428" s="33"/>
      <c r="CZ428" s="33"/>
      <c r="DA428" s="33"/>
      <c r="DB428" s="33"/>
      <c r="DC428" s="33"/>
      <c r="DD428" s="33"/>
      <c r="DE428" s="33"/>
      <c r="DF428" s="33"/>
      <c r="DG428" s="33"/>
      <c r="DH428" s="33"/>
      <c r="DI428" s="33"/>
      <c r="DJ428" s="33"/>
      <c r="DK428" s="33"/>
      <c r="DL428" s="33"/>
      <c r="DM428" s="33"/>
      <c r="DN428" s="33"/>
      <c r="DO428" s="33"/>
      <c r="DP428" s="33"/>
      <c r="DQ428" s="33"/>
      <c r="DR428" s="33"/>
      <c r="DS428" s="33"/>
      <c r="DT428" s="33"/>
      <c r="DU428" s="33"/>
      <c r="DV428" s="33"/>
      <c r="DW428" s="33"/>
      <c r="DX428" s="33"/>
      <c r="DY428" s="33"/>
      <c r="DZ428" s="33"/>
      <c r="EA428" s="33"/>
      <c r="EB428" s="33"/>
      <c r="EC428" s="33"/>
      <c r="ED428" s="33"/>
      <c r="EE428" s="33"/>
      <c r="EF428" s="33"/>
      <c r="EG428" s="33"/>
      <c r="EH428" s="33"/>
      <c r="EI428" s="33"/>
      <c r="EJ428" s="33"/>
      <c r="EK428" s="33"/>
      <c r="EL428" s="33"/>
      <c r="EM428" s="33"/>
      <c r="EN428" s="33"/>
      <c r="EO428" s="33"/>
      <c r="EP428" s="33"/>
      <c r="EQ428" s="33"/>
      <c r="ER428" s="33"/>
      <c r="ES428" s="33"/>
    </row>
    <row r="429">
      <c r="A429" s="33"/>
      <c r="B429" s="33"/>
      <c r="C429" s="33"/>
      <c r="D429" s="33"/>
      <c r="E429" s="33"/>
      <c r="F429" s="33"/>
      <c r="G429" s="85"/>
      <c r="H429" s="85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3"/>
      <c r="AC429" s="33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3"/>
      <c r="AP429" s="33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3"/>
      <c r="BC429" s="33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3"/>
      <c r="CC429" s="33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3"/>
      <c r="CP429" s="33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3"/>
      <c r="DC429" s="33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3"/>
      <c r="DP429" s="33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3"/>
      <c r="EC429" s="33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3"/>
      <c r="EP429" s="33"/>
      <c r="EQ429" s="33"/>
      <c r="ER429" s="33"/>
      <c r="ES429" s="33"/>
    </row>
    <row r="430">
      <c r="A430" s="33"/>
      <c r="B430" s="33"/>
      <c r="C430" s="33"/>
      <c r="D430" s="33"/>
      <c r="E430" s="33"/>
      <c r="F430" s="33"/>
      <c r="G430" s="85"/>
      <c r="H430" s="85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33"/>
      <c r="Y430" s="33"/>
      <c r="Z430" s="33"/>
      <c r="AA430" s="33"/>
      <c r="AB430" s="33"/>
      <c r="AC430" s="33"/>
      <c r="AD430" s="33"/>
      <c r="AE430" s="33"/>
      <c r="AF430" s="33"/>
      <c r="AG430" s="33"/>
      <c r="AH430" s="33"/>
      <c r="AI430" s="33"/>
      <c r="AJ430" s="33"/>
      <c r="AK430" s="33"/>
      <c r="AL430" s="33"/>
      <c r="AM430" s="33"/>
      <c r="AN430" s="33"/>
      <c r="AO430" s="33"/>
      <c r="AP430" s="33"/>
      <c r="AQ430" s="33"/>
      <c r="AR430" s="33"/>
      <c r="AS430" s="33"/>
      <c r="AT430" s="33"/>
      <c r="AU430" s="33"/>
      <c r="AV430" s="33"/>
      <c r="AW430" s="33"/>
      <c r="AX430" s="33"/>
      <c r="AY430" s="33"/>
      <c r="AZ430" s="33"/>
      <c r="BA430" s="33"/>
      <c r="BB430" s="33"/>
      <c r="BC430" s="33"/>
      <c r="BD430" s="33"/>
      <c r="BE430" s="33"/>
      <c r="BF430" s="33"/>
      <c r="BG430" s="33"/>
      <c r="BH430" s="33"/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  <c r="BU430" s="33"/>
      <c r="BV430" s="33"/>
      <c r="BW430" s="33"/>
      <c r="BX430" s="33"/>
      <c r="BY430" s="33"/>
      <c r="BZ430" s="33"/>
      <c r="CA430" s="33"/>
      <c r="CB430" s="33"/>
      <c r="CC430" s="33"/>
      <c r="CD430" s="33"/>
      <c r="CE430" s="33"/>
      <c r="CF430" s="33"/>
      <c r="CG430" s="33"/>
      <c r="CH430" s="33"/>
      <c r="CI430" s="33"/>
      <c r="CJ430" s="33"/>
      <c r="CK430" s="33"/>
      <c r="CL430" s="33"/>
      <c r="CM430" s="33"/>
      <c r="CN430" s="33"/>
      <c r="CO430" s="33"/>
      <c r="CP430" s="33"/>
      <c r="CQ430" s="33"/>
      <c r="CR430" s="33"/>
      <c r="CS430" s="33"/>
      <c r="CT430" s="33"/>
      <c r="CU430" s="33"/>
      <c r="CV430" s="33"/>
      <c r="CW430" s="33"/>
      <c r="CX430" s="33"/>
      <c r="CY430" s="33"/>
      <c r="CZ430" s="33"/>
      <c r="DA430" s="33"/>
      <c r="DB430" s="33"/>
      <c r="DC430" s="33"/>
      <c r="DD430" s="33"/>
      <c r="DE430" s="33"/>
      <c r="DF430" s="33"/>
      <c r="DG430" s="33"/>
      <c r="DH430" s="33"/>
      <c r="DI430" s="33"/>
      <c r="DJ430" s="33"/>
      <c r="DK430" s="33"/>
      <c r="DL430" s="33"/>
      <c r="DM430" s="33"/>
      <c r="DN430" s="33"/>
      <c r="DO430" s="33"/>
      <c r="DP430" s="33"/>
      <c r="DQ430" s="33"/>
      <c r="DR430" s="33"/>
      <c r="DS430" s="33"/>
      <c r="DT430" s="33"/>
      <c r="DU430" s="33"/>
      <c r="DV430" s="33"/>
      <c r="DW430" s="33"/>
      <c r="DX430" s="33"/>
      <c r="DY430" s="33"/>
      <c r="DZ430" s="33"/>
      <c r="EA430" s="33"/>
      <c r="EB430" s="33"/>
      <c r="EC430" s="33"/>
      <c r="ED430" s="33"/>
      <c r="EE430" s="33"/>
      <c r="EF430" s="33"/>
      <c r="EG430" s="33"/>
      <c r="EH430" s="33"/>
      <c r="EI430" s="33"/>
      <c r="EJ430" s="33"/>
      <c r="EK430" s="33"/>
      <c r="EL430" s="33"/>
      <c r="EM430" s="33"/>
      <c r="EN430" s="33"/>
      <c r="EO430" s="33"/>
      <c r="EP430" s="33"/>
      <c r="EQ430" s="33"/>
      <c r="ER430" s="33"/>
      <c r="ES430" s="33"/>
    </row>
    <row r="431">
      <c r="A431" s="33"/>
      <c r="B431" s="33"/>
      <c r="C431" s="33"/>
      <c r="D431" s="33"/>
      <c r="E431" s="33"/>
      <c r="F431" s="33"/>
      <c r="G431" s="85"/>
      <c r="H431" s="85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3"/>
      <c r="AC431" s="33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3"/>
      <c r="AP431" s="33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3"/>
      <c r="BC431" s="33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3"/>
      <c r="CC431" s="33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3"/>
      <c r="CP431" s="33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3"/>
      <c r="DC431" s="33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3"/>
      <c r="DP431" s="33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3"/>
      <c r="EC431" s="33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3"/>
      <c r="EP431" s="33"/>
      <c r="EQ431" s="33"/>
      <c r="ER431" s="33"/>
      <c r="ES431" s="33"/>
    </row>
    <row r="432">
      <c r="A432" s="33"/>
      <c r="B432" s="33"/>
      <c r="C432" s="33"/>
      <c r="D432" s="33"/>
      <c r="E432" s="33"/>
      <c r="F432" s="33"/>
      <c r="G432" s="85"/>
      <c r="H432" s="85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33"/>
      <c r="Y432" s="33"/>
      <c r="Z432" s="33"/>
      <c r="AA432" s="33"/>
      <c r="AB432" s="33"/>
      <c r="AC432" s="33"/>
      <c r="AD432" s="33"/>
      <c r="AE432" s="33"/>
      <c r="AF432" s="33"/>
      <c r="AG432" s="33"/>
      <c r="AH432" s="33"/>
      <c r="AI432" s="33"/>
      <c r="AJ432" s="33"/>
      <c r="AK432" s="33"/>
      <c r="AL432" s="33"/>
      <c r="AM432" s="33"/>
      <c r="AN432" s="33"/>
      <c r="AO432" s="33"/>
      <c r="AP432" s="33"/>
      <c r="AQ432" s="33"/>
      <c r="AR432" s="33"/>
      <c r="AS432" s="33"/>
      <c r="AT432" s="33"/>
      <c r="AU432" s="33"/>
      <c r="AV432" s="33"/>
      <c r="AW432" s="33"/>
      <c r="AX432" s="33"/>
      <c r="AY432" s="33"/>
      <c r="AZ432" s="33"/>
      <c r="BA432" s="33"/>
      <c r="BB432" s="33"/>
      <c r="BC432" s="33"/>
      <c r="BD432" s="33"/>
      <c r="BE432" s="33"/>
      <c r="BF432" s="33"/>
      <c r="BG432" s="33"/>
      <c r="BH432" s="33"/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  <c r="BU432" s="33"/>
      <c r="BV432" s="33"/>
      <c r="BW432" s="33"/>
      <c r="BX432" s="33"/>
      <c r="BY432" s="33"/>
      <c r="BZ432" s="33"/>
      <c r="CA432" s="33"/>
      <c r="CB432" s="33"/>
      <c r="CC432" s="33"/>
      <c r="CD432" s="33"/>
      <c r="CE432" s="33"/>
      <c r="CF432" s="33"/>
      <c r="CG432" s="33"/>
      <c r="CH432" s="33"/>
      <c r="CI432" s="33"/>
      <c r="CJ432" s="33"/>
      <c r="CK432" s="33"/>
      <c r="CL432" s="33"/>
      <c r="CM432" s="33"/>
      <c r="CN432" s="33"/>
      <c r="CO432" s="33"/>
      <c r="CP432" s="33"/>
      <c r="CQ432" s="33"/>
      <c r="CR432" s="33"/>
      <c r="CS432" s="33"/>
      <c r="CT432" s="33"/>
      <c r="CU432" s="33"/>
      <c r="CV432" s="33"/>
      <c r="CW432" s="33"/>
      <c r="CX432" s="33"/>
      <c r="CY432" s="33"/>
      <c r="CZ432" s="33"/>
      <c r="DA432" s="33"/>
      <c r="DB432" s="33"/>
      <c r="DC432" s="33"/>
      <c r="DD432" s="33"/>
      <c r="DE432" s="33"/>
      <c r="DF432" s="33"/>
      <c r="DG432" s="33"/>
      <c r="DH432" s="33"/>
      <c r="DI432" s="33"/>
      <c r="DJ432" s="33"/>
      <c r="DK432" s="33"/>
      <c r="DL432" s="33"/>
      <c r="DM432" s="33"/>
      <c r="DN432" s="33"/>
      <c r="DO432" s="33"/>
      <c r="DP432" s="33"/>
      <c r="DQ432" s="33"/>
      <c r="DR432" s="33"/>
      <c r="DS432" s="33"/>
      <c r="DT432" s="33"/>
      <c r="DU432" s="33"/>
      <c r="DV432" s="33"/>
      <c r="DW432" s="33"/>
      <c r="DX432" s="33"/>
      <c r="DY432" s="33"/>
      <c r="DZ432" s="33"/>
      <c r="EA432" s="33"/>
      <c r="EB432" s="33"/>
      <c r="EC432" s="33"/>
      <c r="ED432" s="33"/>
      <c r="EE432" s="33"/>
      <c r="EF432" s="33"/>
      <c r="EG432" s="33"/>
      <c r="EH432" s="33"/>
      <c r="EI432" s="33"/>
      <c r="EJ432" s="33"/>
      <c r="EK432" s="33"/>
      <c r="EL432" s="33"/>
      <c r="EM432" s="33"/>
      <c r="EN432" s="33"/>
      <c r="EO432" s="33"/>
      <c r="EP432" s="33"/>
      <c r="EQ432" s="33"/>
      <c r="ER432" s="33"/>
      <c r="ES432" s="33"/>
    </row>
    <row r="433">
      <c r="A433" s="33"/>
      <c r="B433" s="33"/>
      <c r="C433" s="33"/>
      <c r="D433" s="33"/>
      <c r="E433" s="33"/>
      <c r="F433" s="33"/>
      <c r="G433" s="85"/>
      <c r="H433" s="85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3"/>
      <c r="AC433" s="33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3"/>
      <c r="AP433" s="33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3"/>
      <c r="BC433" s="33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3"/>
      <c r="CC433" s="33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3"/>
      <c r="CP433" s="33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3"/>
      <c r="DC433" s="33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3"/>
      <c r="DP433" s="33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3"/>
      <c r="EC433" s="33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3"/>
      <c r="EP433" s="33"/>
      <c r="EQ433" s="33"/>
      <c r="ER433" s="33"/>
      <c r="ES433" s="33"/>
    </row>
    <row r="434">
      <c r="A434" s="33"/>
      <c r="B434" s="33"/>
      <c r="C434" s="33"/>
      <c r="D434" s="33"/>
      <c r="E434" s="33"/>
      <c r="F434" s="33"/>
      <c r="G434" s="85"/>
      <c r="H434" s="85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33"/>
      <c r="Y434" s="33"/>
      <c r="Z434" s="33"/>
      <c r="AA434" s="33"/>
      <c r="AB434" s="33"/>
      <c r="AC434" s="33"/>
      <c r="AD434" s="33"/>
      <c r="AE434" s="33"/>
      <c r="AF434" s="33"/>
      <c r="AG434" s="33"/>
      <c r="AH434" s="33"/>
      <c r="AI434" s="33"/>
      <c r="AJ434" s="33"/>
      <c r="AK434" s="33"/>
      <c r="AL434" s="33"/>
      <c r="AM434" s="33"/>
      <c r="AN434" s="33"/>
      <c r="AO434" s="33"/>
      <c r="AP434" s="33"/>
      <c r="AQ434" s="33"/>
      <c r="AR434" s="33"/>
      <c r="AS434" s="33"/>
      <c r="AT434" s="33"/>
      <c r="AU434" s="33"/>
      <c r="AV434" s="33"/>
      <c r="AW434" s="33"/>
      <c r="AX434" s="33"/>
      <c r="AY434" s="33"/>
      <c r="AZ434" s="33"/>
      <c r="BA434" s="33"/>
      <c r="BB434" s="33"/>
      <c r="BC434" s="33"/>
      <c r="BD434" s="33"/>
      <c r="BE434" s="33"/>
      <c r="BF434" s="33"/>
      <c r="BG434" s="33"/>
      <c r="BH434" s="33"/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  <c r="BU434" s="33"/>
      <c r="BV434" s="33"/>
      <c r="BW434" s="33"/>
      <c r="BX434" s="33"/>
      <c r="BY434" s="33"/>
      <c r="BZ434" s="33"/>
      <c r="CA434" s="33"/>
      <c r="CB434" s="33"/>
      <c r="CC434" s="33"/>
      <c r="CD434" s="33"/>
      <c r="CE434" s="33"/>
      <c r="CF434" s="33"/>
      <c r="CG434" s="33"/>
      <c r="CH434" s="33"/>
      <c r="CI434" s="33"/>
      <c r="CJ434" s="33"/>
      <c r="CK434" s="33"/>
      <c r="CL434" s="33"/>
      <c r="CM434" s="33"/>
      <c r="CN434" s="33"/>
      <c r="CO434" s="33"/>
      <c r="CP434" s="33"/>
      <c r="CQ434" s="33"/>
      <c r="CR434" s="33"/>
      <c r="CS434" s="33"/>
      <c r="CT434" s="33"/>
      <c r="CU434" s="33"/>
      <c r="CV434" s="33"/>
      <c r="CW434" s="33"/>
      <c r="CX434" s="33"/>
      <c r="CY434" s="33"/>
      <c r="CZ434" s="33"/>
      <c r="DA434" s="33"/>
      <c r="DB434" s="33"/>
      <c r="DC434" s="33"/>
      <c r="DD434" s="33"/>
      <c r="DE434" s="33"/>
      <c r="DF434" s="33"/>
      <c r="DG434" s="33"/>
      <c r="DH434" s="33"/>
      <c r="DI434" s="33"/>
      <c r="DJ434" s="33"/>
      <c r="DK434" s="33"/>
      <c r="DL434" s="33"/>
      <c r="DM434" s="33"/>
      <c r="DN434" s="33"/>
      <c r="DO434" s="33"/>
      <c r="DP434" s="33"/>
      <c r="DQ434" s="33"/>
      <c r="DR434" s="33"/>
      <c r="DS434" s="33"/>
      <c r="DT434" s="33"/>
      <c r="DU434" s="33"/>
      <c r="DV434" s="33"/>
      <c r="DW434" s="33"/>
      <c r="DX434" s="33"/>
      <c r="DY434" s="33"/>
      <c r="DZ434" s="33"/>
      <c r="EA434" s="33"/>
      <c r="EB434" s="33"/>
      <c r="EC434" s="33"/>
      <c r="ED434" s="33"/>
      <c r="EE434" s="33"/>
      <c r="EF434" s="33"/>
      <c r="EG434" s="33"/>
      <c r="EH434" s="33"/>
      <c r="EI434" s="33"/>
      <c r="EJ434" s="33"/>
      <c r="EK434" s="33"/>
      <c r="EL434" s="33"/>
      <c r="EM434" s="33"/>
      <c r="EN434" s="33"/>
      <c r="EO434" s="33"/>
      <c r="EP434" s="33"/>
      <c r="EQ434" s="33"/>
      <c r="ER434" s="33"/>
      <c r="ES434" s="33"/>
    </row>
    <row r="435">
      <c r="A435" s="33"/>
      <c r="B435" s="33"/>
      <c r="C435" s="33"/>
      <c r="D435" s="33"/>
      <c r="E435" s="33"/>
      <c r="F435" s="33"/>
      <c r="G435" s="85"/>
      <c r="H435" s="85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3"/>
      <c r="AC435" s="33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3"/>
      <c r="AP435" s="33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3"/>
      <c r="CC435" s="33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3"/>
      <c r="CP435" s="33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3"/>
      <c r="DC435" s="33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3"/>
      <c r="DP435" s="33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3"/>
      <c r="EC435" s="33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3"/>
      <c r="EP435" s="33"/>
      <c r="EQ435" s="33"/>
      <c r="ER435" s="33"/>
      <c r="ES435" s="33"/>
    </row>
    <row r="436">
      <c r="A436" s="33"/>
      <c r="B436" s="33"/>
      <c r="C436" s="33"/>
      <c r="D436" s="33"/>
      <c r="E436" s="33"/>
      <c r="F436" s="33"/>
      <c r="G436" s="85"/>
      <c r="H436" s="85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33"/>
      <c r="Y436" s="33"/>
      <c r="Z436" s="33"/>
      <c r="AA436" s="33"/>
      <c r="AB436" s="33"/>
      <c r="AC436" s="33"/>
      <c r="AD436" s="33"/>
      <c r="AE436" s="33"/>
      <c r="AF436" s="33"/>
      <c r="AG436" s="33"/>
      <c r="AH436" s="33"/>
      <c r="AI436" s="33"/>
      <c r="AJ436" s="33"/>
      <c r="AK436" s="33"/>
      <c r="AL436" s="33"/>
      <c r="AM436" s="33"/>
      <c r="AN436" s="33"/>
      <c r="AO436" s="33"/>
      <c r="AP436" s="33"/>
      <c r="AQ436" s="33"/>
      <c r="AR436" s="33"/>
      <c r="AS436" s="33"/>
      <c r="AT436" s="33"/>
      <c r="AU436" s="33"/>
      <c r="AV436" s="33"/>
      <c r="AW436" s="33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  <c r="BU436" s="33"/>
      <c r="BV436" s="33"/>
      <c r="BW436" s="33"/>
      <c r="BX436" s="33"/>
      <c r="BY436" s="33"/>
      <c r="BZ436" s="33"/>
      <c r="CA436" s="33"/>
      <c r="CB436" s="33"/>
      <c r="CC436" s="33"/>
      <c r="CD436" s="33"/>
      <c r="CE436" s="33"/>
      <c r="CF436" s="33"/>
      <c r="CG436" s="33"/>
      <c r="CH436" s="33"/>
      <c r="CI436" s="33"/>
      <c r="CJ436" s="33"/>
      <c r="CK436" s="33"/>
      <c r="CL436" s="33"/>
      <c r="CM436" s="33"/>
      <c r="CN436" s="33"/>
      <c r="CO436" s="33"/>
      <c r="CP436" s="33"/>
      <c r="CQ436" s="33"/>
      <c r="CR436" s="33"/>
      <c r="CS436" s="33"/>
      <c r="CT436" s="33"/>
      <c r="CU436" s="33"/>
      <c r="CV436" s="33"/>
      <c r="CW436" s="33"/>
      <c r="CX436" s="33"/>
      <c r="CY436" s="33"/>
      <c r="CZ436" s="33"/>
      <c r="DA436" s="33"/>
      <c r="DB436" s="33"/>
      <c r="DC436" s="33"/>
      <c r="DD436" s="33"/>
      <c r="DE436" s="33"/>
      <c r="DF436" s="33"/>
      <c r="DG436" s="33"/>
      <c r="DH436" s="33"/>
      <c r="DI436" s="33"/>
      <c r="DJ436" s="33"/>
      <c r="DK436" s="33"/>
      <c r="DL436" s="33"/>
      <c r="DM436" s="33"/>
      <c r="DN436" s="33"/>
      <c r="DO436" s="33"/>
      <c r="DP436" s="33"/>
      <c r="DQ436" s="33"/>
      <c r="DR436" s="33"/>
      <c r="DS436" s="33"/>
      <c r="DT436" s="33"/>
      <c r="DU436" s="33"/>
      <c r="DV436" s="33"/>
      <c r="DW436" s="33"/>
      <c r="DX436" s="33"/>
      <c r="DY436" s="33"/>
      <c r="DZ436" s="33"/>
      <c r="EA436" s="33"/>
      <c r="EB436" s="33"/>
      <c r="EC436" s="33"/>
      <c r="ED436" s="33"/>
      <c r="EE436" s="33"/>
      <c r="EF436" s="33"/>
      <c r="EG436" s="33"/>
      <c r="EH436" s="33"/>
      <c r="EI436" s="33"/>
      <c r="EJ436" s="33"/>
      <c r="EK436" s="33"/>
      <c r="EL436" s="33"/>
      <c r="EM436" s="33"/>
      <c r="EN436" s="33"/>
      <c r="EO436" s="33"/>
      <c r="EP436" s="33"/>
      <c r="EQ436" s="33"/>
      <c r="ER436" s="33"/>
      <c r="ES436" s="33"/>
    </row>
    <row r="437">
      <c r="A437" s="33"/>
      <c r="B437" s="33"/>
      <c r="C437" s="33"/>
      <c r="D437" s="33"/>
      <c r="E437" s="33"/>
      <c r="F437" s="33"/>
      <c r="G437" s="85"/>
      <c r="H437" s="85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3"/>
      <c r="AC437" s="33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3"/>
      <c r="AP437" s="33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3"/>
      <c r="CC437" s="33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3"/>
      <c r="CP437" s="33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3"/>
      <c r="DC437" s="33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3"/>
      <c r="DP437" s="33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3"/>
      <c r="EC437" s="33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3"/>
      <c r="EP437" s="33"/>
      <c r="EQ437" s="33"/>
      <c r="ER437" s="33"/>
      <c r="ES437" s="33"/>
    </row>
    <row r="438">
      <c r="A438" s="33"/>
      <c r="B438" s="33"/>
      <c r="C438" s="33"/>
      <c r="D438" s="33"/>
      <c r="E438" s="33"/>
      <c r="F438" s="33"/>
      <c r="G438" s="85"/>
      <c r="H438" s="85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33"/>
      <c r="Y438" s="33"/>
      <c r="Z438" s="33"/>
      <c r="AA438" s="33"/>
      <c r="AB438" s="33"/>
      <c r="AC438" s="33"/>
      <c r="AD438" s="33"/>
      <c r="AE438" s="33"/>
      <c r="AF438" s="33"/>
      <c r="AG438" s="33"/>
      <c r="AH438" s="33"/>
      <c r="AI438" s="33"/>
      <c r="AJ438" s="33"/>
      <c r="AK438" s="33"/>
      <c r="AL438" s="33"/>
      <c r="AM438" s="33"/>
      <c r="AN438" s="33"/>
      <c r="AO438" s="33"/>
      <c r="AP438" s="33"/>
      <c r="AQ438" s="33"/>
      <c r="AR438" s="33"/>
      <c r="AS438" s="33"/>
      <c r="AT438" s="33"/>
      <c r="AU438" s="33"/>
      <c r="AV438" s="33"/>
      <c r="AW438" s="33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  <c r="BU438" s="33"/>
      <c r="BV438" s="33"/>
      <c r="BW438" s="33"/>
      <c r="BX438" s="33"/>
      <c r="BY438" s="33"/>
      <c r="BZ438" s="33"/>
      <c r="CA438" s="33"/>
      <c r="CB438" s="33"/>
      <c r="CC438" s="33"/>
      <c r="CD438" s="33"/>
      <c r="CE438" s="33"/>
      <c r="CF438" s="33"/>
      <c r="CG438" s="33"/>
      <c r="CH438" s="33"/>
      <c r="CI438" s="33"/>
      <c r="CJ438" s="33"/>
      <c r="CK438" s="33"/>
      <c r="CL438" s="33"/>
      <c r="CM438" s="33"/>
      <c r="CN438" s="33"/>
      <c r="CO438" s="33"/>
      <c r="CP438" s="33"/>
      <c r="CQ438" s="33"/>
      <c r="CR438" s="33"/>
      <c r="CS438" s="33"/>
      <c r="CT438" s="33"/>
      <c r="CU438" s="33"/>
      <c r="CV438" s="33"/>
      <c r="CW438" s="33"/>
      <c r="CX438" s="33"/>
      <c r="CY438" s="33"/>
      <c r="CZ438" s="33"/>
      <c r="DA438" s="33"/>
      <c r="DB438" s="33"/>
      <c r="DC438" s="33"/>
      <c r="DD438" s="33"/>
      <c r="DE438" s="33"/>
      <c r="DF438" s="33"/>
      <c r="DG438" s="33"/>
      <c r="DH438" s="33"/>
      <c r="DI438" s="33"/>
      <c r="DJ438" s="33"/>
      <c r="DK438" s="33"/>
      <c r="DL438" s="33"/>
      <c r="DM438" s="33"/>
      <c r="DN438" s="33"/>
      <c r="DO438" s="33"/>
      <c r="DP438" s="33"/>
      <c r="DQ438" s="33"/>
      <c r="DR438" s="33"/>
      <c r="DS438" s="33"/>
      <c r="DT438" s="33"/>
      <c r="DU438" s="33"/>
      <c r="DV438" s="33"/>
      <c r="DW438" s="33"/>
      <c r="DX438" s="33"/>
      <c r="DY438" s="33"/>
      <c r="DZ438" s="33"/>
      <c r="EA438" s="33"/>
      <c r="EB438" s="33"/>
      <c r="EC438" s="33"/>
      <c r="ED438" s="33"/>
      <c r="EE438" s="33"/>
      <c r="EF438" s="33"/>
      <c r="EG438" s="33"/>
      <c r="EH438" s="33"/>
      <c r="EI438" s="33"/>
      <c r="EJ438" s="33"/>
      <c r="EK438" s="33"/>
      <c r="EL438" s="33"/>
      <c r="EM438" s="33"/>
      <c r="EN438" s="33"/>
      <c r="EO438" s="33"/>
      <c r="EP438" s="33"/>
      <c r="EQ438" s="33"/>
      <c r="ER438" s="33"/>
      <c r="ES438" s="33"/>
    </row>
    <row r="439">
      <c r="A439" s="33"/>
      <c r="B439" s="33"/>
      <c r="C439" s="33"/>
      <c r="D439" s="33"/>
      <c r="E439" s="33"/>
      <c r="F439" s="33"/>
      <c r="G439" s="85"/>
      <c r="H439" s="85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3"/>
      <c r="AC439" s="33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3"/>
      <c r="AP439" s="33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3"/>
      <c r="CC439" s="33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3"/>
      <c r="CP439" s="33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3"/>
      <c r="DC439" s="33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3"/>
      <c r="DP439" s="33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3"/>
      <c r="EC439" s="33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3"/>
      <c r="EP439" s="33"/>
      <c r="EQ439" s="33"/>
      <c r="ER439" s="33"/>
      <c r="ES439" s="33"/>
    </row>
    <row r="440">
      <c r="A440" s="33"/>
      <c r="B440" s="33"/>
      <c r="C440" s="33"/>
      <c r="D440" s="33"/>
      <c r="E440" s="33"/>
      <c r="F440" s="33"/>
      <c r="G440" s="85"/>
      <c r="H440" s="85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33"/>
      <c r="Y440" s="33"/>
      <c r="Z440" s="33"/>
      <c r="AA440" s="33"/>
      <c r="AB440" s="33"/>
      <c r="AC440" s="33"/>
      <c r="AD440" s="33"/>
      <c r="AE440" s="33"/>
      <c r="AF440" s="33"/>
      <c r="AG440" s="33"/>
      <c r="AH440" s="33"/>
      <c r="AI440" s="33"/>
      <c r="AJ440" s="33"/>
      <c r="AK440" s="33"/>
      <c r="AL440" s="33"/>
      <c r="AM440" s="33"/>
      <c r="AN440" s="33"/>
      <c r="AO440" s="33"/>
      <c r="AP440" s="33"/>
      <c r="AQ440" s="33"/>
      <c r="AR440" s="33"/>
      <c r="AS440" s="33"/>
      <c r="AT440" s="33"/>
      <c r="AU440" s="33"/>
      <c r="AV440" s="33"/>
      <c r="AW440" s="33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  <c r="BU440" s="33"/>
      <c r="BV440" s="33"/>
      <c r="BW440" s="33"/>
      <c r="BX440" s="33"/>
      <c r="BY440" s="33"/>
      <c r="BZ440" s="33"/>
      <c r="CA440" s="33"/>
      <c r="CB440" s="33"/>
      <c r="CC440" s="33"/>
      <c r="CD440" s="33"/>
      <c r="CE440" s="33"/>
      <c r="CF440" s="33"/>
      <c r="CG440" s="33"/>
      <c r="CH440" s="33"/>
      <c r="CI440" s="33"/>
      <c r="CJ440" s="33"/>
      <c r="CK440" s="33"/>
      <c r="CL440" s="33"/>
      <c r="CM440" s="33"/>
      <c r="CN440" s="33"/>
      <c r="CO440" s="33"/>
      <c r="CP440" s="33"/>
      <c r="CQ440" s="33"/>
      <c r="CR440" s="33"/>
      <c r="CS440" s="33"/>
      <c r="CT440" s="33"/>
      <c r="CU440" s="33"/>
      <c r="CV440" s="33"/>
      <c r="CW440" s="33"/>
      <c r="CX440" s="33"/>
      <c r="CY440" s="33"/>
      <c r="CZ440" s="33"/>
      <c r="DA440" s="33"/>
      <c r="DB440" s="33"/>
      <c r="DC440" s="33"/>
      <c r="DD440" s="33"/>
      <c r="DE440" s="33"/>
      <c r="DF440" s="33"/>
      <c r="DG440" s="33"/>
      <c r="DH440" s="33"/>
      <c r="DI440" s="33"/>
      <c r="DJ440" s="33"/>
      <c r="DK440" s="33"/>
      <c r="DL440" s="33"/>
      <c r="DM440" s="33"/>
      <c r="DN440" s="33"/>
      <c r="DO440" s="33"/>
      <c r="DP440" s="33"/>
      <c r="DQ440" s="33"/>
      <c r="DR440" s="33"/>
      <c r="DS440" s="33"/>
      <c r="DT440" s="33"/>
      <c r="DU440" s="33"/>
      <c r="DV440" s="33"/>
      <c r="DW440" s="33"/>
      <c r="DX440" s="33"/>
      <c r="DY440" s="33"/>
      <c r="DZ440" s="33"/>
      <c r="EA440" s="33"/>
      <c r="EB440" s="33"/>
      <c r="EC440" s="33"/>
      <c r="ED440" s="33"/>
      <c r="EE440" s="33"/>
      <c r="EF440" s="33"/>
      <c r="EG440" s="33"/>
      <c r="EH440" s="33"/>
      <c r="EI440" s="33"/>
      <c r="EJ440" s="33"/>
      <c r="EK440" s="33"/>
      <c r="EL440" s="33"/>
      <c r="EM440" s="33"/>
      <c r="EN440" s="33"/>
      <c r="EO440" s="33"/>
      <c r="EP440" s="33"/>
      <c r="EQ440" s="33"/>
      <c r="ER440" s="33"/>
      <c r="ES440" s="33"/>
    </row>
    <row r="441">
      <c r="A441" s="33"/>
      <c r="B441" s="33"/>
      <c r="C441" s="33"/>
      <c r="D441" s="33"/>
      <c r="E441" s="33"/>
      <c r="F441" s="33"/>
      <c r="G441" s="85"/>
      <c r="H441" s="85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3"/>
      <c r="AC441" s="33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3"/>
      <c r="AP441" s="33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3"/>
      <c r="CC441" s="33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3"/>
      <c r="CP441" s="33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3"/>
      <c r="DC441" s="33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3"/>
      <c r="DP441" s="33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3"/>
      <c r="EC441" s="33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3"/>
      <c r="EP441" s="33"/>
      <c r="EQ441" s="33"/>
      <c r="ER441" s="33"/>
      <c r="ES441" s="33"/>
    </row>
    <row r="442">
      <c r="A442" s="33"/>
      <c r="B442" s="33"/>
      <c r="C442" s="33"/>
      <c r="D442" s="33"/>
      <c r="E442" s="33"/>
      <c r="F442" s="33"/>
      <c r="G442" s="85"/>
      <c r="H442" s="85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33"/>
      <c r="AD442" s="33"/>
      <c r="AE442" s="33"/>
      <c r="AF442" s="33"/>
      <c r="AG442" s="33"/>
      <c r="AH442" s="33"/>
      <c r="AI442" s="33"/>
      <c r="AJ442" s="33"/>
      <c r="AK442" s="33"/>
      <c r="AL442" s="33"/>
      <c r="AM442" s="33"/>
      <c r="AN442" s="33"/>
      <c r="AO442" s="33"/>
      <c r="AP442" s="33"/>
      <c r="AQ442" s="33"/>
      <c r="AR442" s="33"/>
      <c r="AS442" s="33"/>
      <c r="AT442" s="33"/>
      <c r="AU442" s="33"/>
      <c r="AV442" s="33"/>
      <c r="AW442" s="33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  <c r="BU442" s="33"/>
      <c r="BV442" s="33"/>
      <c r="BW442" s="33"/>
      <c r="BX442" s="33"/>
      <c r="BY442" s="33"/>
      <c r="BZ442" s="33"/>
      <c r="CA442" s="33"/>
      <c r="CB442" s="33"/>
      <c r="CC442" s="33"/>
      <c r="CD442" s="33"/>
      <c r="CE442" s="33"/>
      <c r="CF442" s="33"/>
      <c r="CG442" s="33"/>
      <c r="CH442" s="33"/>
      <c r="CI442" s="33"/>
      <c r="CJ442" s="33"/>
      <c r="CK442" s="33"/>
      <c r="CL442" s="33"/>
      <c r="CM442" s="33"/>
      <c r="CN442" s="33"/>
      <c r="CO442" s="33"/>
      <c r="CP442" s="33"/>
      <c r="CQ442" s="33"/>
      <c r="CR442" s="33"/>
      <c r="CS442" s="33"/>
      <c r="CT442" s="33"/>
      <c r="CU442" s="33"/>
      <c r="CV442" s="33"/>
      <c r="CW442" s="33"/>
      <c r="CX442" s="33"/>
      <c r="CY442" s="33"/>
      <c r="CZ442" s="33"/>
      <c r="DA442" s="33"/>
      <c r="DB442" s="33"/>
      <c r="DC442" s="33"/>
      <c r="DD442" s="33"/>
      <c r="DE442" s="33"/>
      <c r="DF442" s="33"/>
      <c r="DG442" s="33"/>
      <c r="DH442" s="33"/>
      <c r="DI442" s="33"/>
      <c r="DJ442" s="33"/>
      <c r="DK442" s="33"/>
      <c r="DL442" s="33"/>
      <c r="DM442" s="33"/>
      <c r="DN442" s="33"/>
      <c r="DO442" s="33"/>
      <c r="DP442" s="33"/>
      <c r="DQ442" s="33"/>
      <c r="DR442" s="33"/>
      <c r="DS442" s="33"/>
      <c r="DT442" s="33"/>
      <c r="DU442" s="33"/>
      <c r="DV442" s="33"/>
      <c r="DW442" s="33"/>
      <c r="DX442" s="33"/>
      <c r="DY442" s="33"/>
      <c r="DZ442" s="33"/>
      <c r="EA442" s="33"/>
      <c r="EB442" s="33"/>
      <c r="EC442" s="33"/>
      <c r="ED442" s="33"/>
      <c r="EE442" s="33"/>
      <c r="EF442" s="33"/>
      <c r="EG442" s="33"/>
      <c r="EH442" s="33"/>
      <c r="EI442" s="33"/>
      <c r="EJ442" s="33"/>
      <c r="EK442" s="33"/>
      <c r="EL442" s="33"/>
      <c r="EM442" s="33"/>
      <c r="EN442" s="33"/>
      <c r="EO442" s="33"/>
      <c r="EP442" s="33"/>
      <c r="EQ442" s="33"/>
      <c r="ER442" s="33"/>
      <c r="ES442" s="33"/>
    </row>
    <row r="443">
      <c r="A443" s="33"/>
      <c r="B443" s="33"/>
      <c r="C443" s="33"/>
      <c r="D443" s="33"/>
      <c r="E443" s="33"/>
      <c r="F443" s="33"/>
      <c r="G443" s="85"/>
      <c r="H443" s="85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3"/>
      <c r="AC443" s="33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3"/>
      <c r="AP443" s="33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3"/>
      <c r="CC443" s="33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3"/>
      <c r="CP443" s="33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3"/>
      <c r="DC443" s="33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3"/>
      <c r="DP443" s="33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3"/>
      <c r="EC443" s="33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3"/>
      <c r="EP443" s="33"/>
      <c r="EQ443" s="33"/>
      <c r="ER443" s="33"/>
      <c r="ES443" s="33"/>
    </row>
    <row r="444">
      <c r="A444" s="33"/>
      <c r="B444" s="33"/>
      <c r="C444" s="33"/>
      <c r="D444" s="33"/>
      <c r="E444" s="33"/>
      <c r="F444" s="33"/>
      <c r="G444" s="85"/>
      <c r="H444" s="85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33"/>
      <c r="Y444" s="33"/>
      <c r="Z444" s="33"/>
      <c r="AA444" s="33"/>
      <c r="AB444" s="33"/>
      <c r="AC444" s="33"/>
      <c r="AD444" s="33"/>
      <c r="AE444" s="33"/>
      <c r="AF444" s="33"/>
      <c r="AG444" s="33"/>
      <c r="AH444" s="33"/>
      <c r="AI444" s="33"/>
      <c r="AJ444" s="33"/>
      <c r="AK444" s="33"/>
      <c r="AL444" s="33"/>
      <c r="AM444" s="33"/>
      <c r="AN444" s="33"/>
      <c r="AO444" s="33"/>
      <c r="AP444" s="33"/>
      <c r="AQ444" s="33"/>
      <c r="AR444" s="33"/>
      <c r="AS444" s="33"/>
      <c r="AT444" s="33"/>
      <c r="AU444" s="33"/>
      <c r="AV444" s="33"/>
      <c r="AW444" s="33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  <c r="BU444" s="33"/>
      <c r="BV444" s="33"/>
      <c r="BW444" s="33"/>
      <c r="BX444" s="33"/>
      <c r="BY444" s="33"/>
      <c r="BZ444" s="33"/>
      <c r="CA444" s="33"/>
      <c r="CB444" s="33"/>
      <c r="CC444" s="33"/>
      <c r="CD444" s="33"/>
      <c r="CE444" s="33"/>
      <c r="CF444" s="33"/>
      <c r="CG444" s="33"/>
      <c r="CH444" s="33"/>
      <c r="CI444" s="33"/>
      <c r="CJ444" s="33"/>
      <c r="CK444" s="33"/>
      <c r="CL444" s="33"/>
      <c r="CM444" s="33"/>
      <c r="CN444" s="33"/>
      <c r="CO444" s="33"/>
      <c r="CP444" s="33"/>
      <c r="CQ444" s="33"/>
      <c r="CR444" s="33"/>
      <c r="CS444" s="33"/>
      <c r="CT444" s="33"/>
      <c r="CU444" s="33"/>
      <c r="CV444" s="33"/>
      <c r="CW444" s="33"/>
      <c r="CX444" s="33"/>
      <c r="CY444" s="33"/>
      <c r="CZ444" s="33"/>
      <c r="DA444" s="33"/>
      <c r="DB444" s="33"/>
      <c r="DC444" s="33"/>
      <c r="DD444" s="33"/>
      <c r="DE444" s="33"/>
      <c r="DF444" s="33"/>
      <c r="DG444" s="33"/>
      <c r="DH444" s="33"/>
      <c r="DI444" s="33"/>
      <c r="DJ444" s="33"/>
      <c r="DK444" s="33"/>
      <c r="DL444" s="33"/>
      <c r="DM444" s="33"/>
      <c r="DN444" s="33"/>
      <c r="DO444" s="33"/>
      <c r="DP444" s="33"/>
      <c r="DQ444" s="33"/>
      <c r="DR444" s="33"/>
      <c r="DS444" s="33"/>
      <c r="DT444" s="33"/>
      <c r="DU444" s="33"/>
      <c r="DV444" s="33"/>
      <c r="DW444" s="33"/>
      <c r="DX444" s="33"/>
      <c r="DY444" s="33"/>
      <c r="DZ444" s="33"/>
      <c r="EA444" s="33"/>
      <c r="EB444" s="33"/>
      <c r="EC444" s="33"/>
      <c r="ED444" s="33"/>
      <c r="EE444" s="33"/>
      <c r="EF444" s="33"/>
      <c r="EG444" s="33"/>
      <c r="EH444" s="33"/>
      <c r="EI444" s="33"/>
      <c r="EJ444" s="33"/>
      <c r="EK444" s="33"/>
      <c r="EL444" s="33"/>
      <c r="EM444" s="33"/>
      <c r="EN444" s="33"/>
      <c r="EO444" s="33"/>
      <c r="EP444" s="33"/>
      <c r="EQ444" s="33"/>
      <c r="ER444" s="33"/>
      <c r="ES444" s="33"/>
    </row>
    <row r="445">
      <c r="A445" s="33"/>
      <c r="B445" s="33"/>
      <c r="C445" s="33"/>
      <c r="D445" s="33"/>
      <c r="E445" s="33"/>
      <c r="F445" s="33"/>
      <c r="G445" s="85"/>
      <c r="H445" s="85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3"/>
      <c r="AC445" s="33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3"/>
      <c r="AP445" s="33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3"/>
      <c r="CC445" s="33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3"/>
      <c r="CP445" s="33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3"/>
      <c r="DC445" s="33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3"/>
      <c r="DP445" s="33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3"/>
      <c r="EC445" s="33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3"/>
      <c r="EP445" s="33"/>
      <c r="EQ445" s="33"/>
      <c r="ER445" s="33"/>
      <c r="ES445" s="33"/>
    </row>
    <row r="446">
      <c r="A446" s="33"/>
      <c r="B446" s="33"/>
      <c r="C446" s="33"/>
      <c r="D446" s="33"/>
      <c r="E446" s="33"/>
      <c r="F446" s="33"/>
      <c r="G446" s="85"/>
      <c r="H446" s="85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33"/>
      <c r="Y446" s="33"/>
      <c r="Z446" s="33"/>
      <c r="AA446" s="33"/>
      <c r="AB446" s="33"/>
      <c r="AC446" s="33"/>
      <c r="AD446" s="33"/>
      <c r="AE446" s="33"/>
      <c r="AF446" s="33"/>
      <c r="AG446" s="33"/>
      <c r="AH446" s="33"/>
      <c r="AI446" s="33"/>
      <c r="AJ446" s="33"/>
      <c r="AK446" s="33"/>
      <c r="AL446" s="33"/>
      <c r="AM446" s="33"/>
      <c r="AN446" s="33"/>
      <c r="AO446" s="33"/>
      <c r="AP446" s="33"/>
      <c r="AQ446" s="33"/>
      <c r="AR446" s="33"/>
      <c r="AS446" s="33"/>
      <c r="AT446" s="33"/>
      <c r="AU446" s="33"/>
      <c r="AV446" s="33"/>
      <c r="AW446" s="33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  <c r="BU446" s="33"/>
      <c r="BV446" s="33"/>
      <c r="BW446" s="33"/>
      <c r="BX446" s="33"/>
      <c r="BY446" s="33"/>
      <c r="BZ446" s="33"/>
      <c r="CA446" s="33"/>
      <c r="CB446" s="33"/>
      <c r="CC446" s="33"/>
      <c r="CD446" s="33"/>
      <c r="CE446" s="33"/>
      <c r="CF446" s="33"/>
      <c r="CG446" s="33"/>
      <c r="CH446" s="33"/>
      <c r="CI446" s="33"/>
      <c r="CJ446" s="33"/>
      <c r="CK446" s="33"/>
      <c r="CL446" s="33"/>
      <c r="CM446" s="33"/>
      <c r="CN446" s="33"/>
      <c r="CO446" s="33"/>
      <c r="CP446" s="33"/>
      <c r="CQ446" s="33"/>
      <c r="CR446" s="33"/>
      <c r="CS446" s="33"/>
      <c r="CT446" s="33"/>
      <c r="CU446" s="33"/>
      <c r="CV446" s="33"/>
      <c r="CW446" s="33"/>
      <c r="CX446" s="33"/>
      <c r="CY446" s="33"/>
      <c r="CZ446" s="33"/>
      <c r="DA446" s="33"/>
      <c r="DB446" s="33"/>
      <c r="DC446" s="33"/>
      <c r="DD446" s="33"/>
      <c r="DE446" s="33"/>
      <c r="DF446" s="33"/>
      <c r="DG446" s="33"/>
      <c r="DH446" s="33"/>
      <c r="DI446" s="33"/>
      <c r="DJ446" s="33"/>
      <c r="DK446" s="33"/>
      <c r="DL446" s="33"/>
      <c r="DM446" s="33"/>
      <c r="DN446" s="33"/>
      <c r="DO446" s="33"/>
      <c r="DP446" s="33"/>
      <c r="DQ446" s="33"/>
      <c r="DR446" s="33"/>
      <c r="DS446" s="33"/>
      <c r="DT446" s="33"/>
      <c r="DU446" s="33"/>
      <c r="DV446" s="33"/>
      <c r="DW446" s="33"/>
      <c r="DX446" s="33"/>
      <c r="DY446" s="33"/>
      <c r="DZ446" s="33"/>
      <c r="EA446" s="33"/>
      <c r="EB446" s="33"/>
      <c r="EC446" s="33"/>
      <c r="ED446" s="33"/>
      <c r="EE446" s="33"/>
      <c r="EF446" s="33"/>
      <c r="EG446" s="33"/>
      <c r="EH446" s="33"/>
      <c r="EI446" s="33"/>
      <c r="EJ446" s="33"/>
      <c r="EK446" s="33"/>
      <c r="EL446" s="33"/>
      <c r="EM446" s="33"/>
      <c r="EN446" s="33"/>
      <c r="EO446" s="33"/>
      <c r="EP446" s="33"/>
      <c r="EQ446" s="33"/>
      <c r="ER446" s="33"/>
      <c r="ES446" s="33"/>
    </row>
    <row r="447">
      <c r="A447" s="33"/>
      <c r="B447" s="33"/>
      <c r="C447" s="33"/>
      <c r="D447" s="33"/>
      <c r="E447" s="33"/>
      <c r="F447" s="33"/>
      <c r="G447" s="85"/>
      <c r="H447" s="85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3"/>
      <c r="AC447" s="33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3"/>
      <c r="AP447" s="33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3"/>
      <c r="CC447" s="33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3"/>
      <c r="CP447" s="33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3"/>
      <c r="DC447" s="33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3"/>
      <c r="DP447" s="33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3"/>
      <c r="EC447" s="33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3"/>
      <c r="EP447" s="33"/>
      <c r="EQ447" s="33"/>
      <c r="ER447" s="33"/>
      <c r="ES447" s="33"/>
    </row>
    <row r="448">
      <c r="A448" s="33"/>
      <c r="B448" s="33"/>
      <c r="C448" s="33"/>
      <c r="D448" s="33"/>
      <c r="E448" s="33"/>
      <c r="F448" s="33"/>
      <c r="G448" s="85"/>
      <c r="H448" s="85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33"/>
      <c r="Y448" s="33"/>
      <c r="Z448" s="33"/>
      <c r="AA448" s="33"/>
      <c r="AB448" s="33"/>
      <c r="AC448" s="33"/>
      <c r="AD448" s="33"/>
      <c r="AE448" s="33"/>
      <c r="AF448" s="33"/>
      <c r="AG448" s="33"/>
      <c r="AH448" s="33"/>
      <c r="AI448" s="33"/>
      <c r="AJ448" s="33"/>
      <c r="AK448" s="33"/>
      <c r="AL448" s="33"/>
      <c r="AM448" s="33"/>
      <c r="AN448" s="33"/>
      <c r="AO448" s="33"/>
      <c r="AP448" s="33"/>
      <c r="AQ448" s="33"/>
      <c r="AR448" s="33"/>
      <c r="AS448" s="33"/>
      <c r="AT448" s="33"/>
      <c r="AU448" s="33"/>
      <c r="AV448" s="33"/>
      <c r="AW448" s="33"/>
      <c r="AX448" s="33"/>
      <c r="AY448" s="33"/>
      <c r="AZ448" s="33"/>
      <c r="BA448" s="33"/>
      <c r="BB448" s="33"/>
      <c r="BC448" s="33"/>
      <c r="BD448" s="33"/>
      <c r="BE448" s="33"/>
      <c r="BF448" s="33"/>
      <c r="BG448" s="33"/>
      <c r="BH448" s="33"/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  <c r="BU448" s="33"/>
      <c r="BV448" s="33"/>
      <c r="BW448" s="33"/>
      <c r="BX448" s="33"/>
      <c r="BY448" s="33"/>
      <c r="BZ448" s="33"/>
      <c r="CA448" s="33"/>
      <c r="CB448" s="33"/>
      <c r="CC448" s="33"/>
      <c r="CD448" s="33"/>
      <c r="CE448" s="33"/>
      <c r="CF448" s="33"/>
      <c r="CG448" s="33"/>
      <c r="CH448" s="33"/>
      <c r="CI448" s="33"/>
      <c r="CJ448" s="33"/>
      <c r="CK448" s="33"/>
      <c r="CL448" s="33"/>
      <c r="CM448" s="33"/>
      <c r="CN448" s="33"/>
      <c r="CO448" s="33"/>
      <c r="CP448" s="33"/>
      <c r="CQ448" s="33"/>
      <c r="CR448" s="33"/>
      <c r="CS448" s="33"/>
      <c r="CT448" s="33"/>
      <c r="CU448" s="33"/>
      <c r="CV448" s="33"/>
      <c r="CW448" s="33"/>
      <c r="CX448" s="33"/>
      <c r="CY448" s="33"/>
      <c r="CZ448" s="33"/>
      <c r="DA448" s="33"/>
      <c r="DB448" s="33"/>
      <c r="DC448" s="33"/>
      <c r="DD448" s="33"/>
      <c r="DE448" s="33"/>
      <c r="DF448" s="33"/>
      <c r="DG448" s="33"/>
      <c r="DH448" s="33"/>
      <c r="DI448" s="33"/>
      <c r="DJ448" s="33"/>
      <c r="DK448" s="33"/>
      <c r="DL448" s="33"/>
      <c r="DM448" s="33"/>
      <c r="DN448" s="33"/>
      <c r="DO448" s="33"/>
      <c r="DP448" s="33"/>
      <c r="DQ448" s="33"/>
      <c r="DR448" s="33"/>
      <c r="DS448" s="33"/>
      <c r="DT448" s="33"/>
      <c r="DU448" s="33"/>
      <c r="DV448" s="33"/>
      <c r="DW448" s="33"/>
      <c r="DX448" s="33"/>
      <c r="DY448" s="33"/>
      <c r="DZ448" s="33"/>
      <c r="EA448" s="33"/>
      <c r="EB448" s="33"/>
      <c r="EC448" s="33"/>
      <c r="ED448" s="33"/>
      <c r="EE448" s="33"/>
      <c r="EF448" s="33"/>
      <c r="EG448" s="33"/>
      <c r="EH448" s="33"/>
      <c r="EI448" s="33"/>
      <c r="EJ448" s="33"/>
      <c r="EK448" s="33"/>
      <c r="EL448" s="33"/>
      <c r="EM448" s="33"/>
      <c r="EN448" s="33"/>
      <c r="EO448" s="33"/>
      <c r="EP448" s="33"/>
      <c r="EQ448" s="33"/>
      <c r="ER448" s="33"/>
      <c r="ES448" s="33"/>
    </row>
    <row r="449">
      <c r="A449" s="33"/>
      <c r="B449" s="33"/>
      <c r="C449" s="33"/>
      <c r="D449" s="33"/>
      <c r="E449" s="33"/>
      <c r="F449" s="33"/>
      <c r="G449" s="85"/>
      <c r="H449" s="85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3"/>
      <c r="AC449" s="33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3"/>
      <c r="AP449" s="33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3"/>
      <c r="BC449" s="33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3"/>
      <c r="CC449" s="33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3"/>
      <c r="CP449" s="33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3"/>
      <c r="DC449" s="33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3"/>
      <c r="DP449" s="33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3"/>
      <c r="EC449" s="33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3"/>
      <c r="EP449" s="33"/>
      <c r="EQ449" s="33"/>
      <c r="ER449" s="33"/>
      <c r="ES449" s="33"/>
    </row>
    <row r="450">
      <c r="A450" s="33"/>
      <c r="B450" s="33"/>
      <c r="C450" s="33"/>
      <c r="D450" s="33"/>
      <c r="E450" s="33"/>
      <c r="F450" s="33"/>
      <c r="G450" s="85"/>
      <c r="H450" s="85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33"/>
      <c r="Y450" s="33"/>
      <c r="Z450" s="33"/>
      <c r="AA450" s="33"/>
      <c r="AB450" s="33"/>
      <c r="AC450" s="33"/>
      <c r="AD450" s="33"/>
      <c r="AE450" s="33"/>
      <c r="AF450" s="33"/>
      <c r="AG450" s="33"/>
      <c r="AH450" s="33"/>
      <c r="AI450" s="33"/>
      <c r="AJ450" s="33"/>
      <c r="AK450" s="33"/>
      <c r="AL450" s="33"/>
      <c r="AM450" s="33"/>
      <c r="AN450" s="33"/>
      <c r="AO450" s="33"/>
      <c r="AP450" s="33"/>
      <c r="AQ450" s="33"/>
      <c r="AR450" s="33"/>
      <c r="AS450" s="33"/>
      <c r="AT450" s="33"/>
      <c r="AU450" s="33"/>
      <c r="AV450" s="33"/>
      <c r="AW450" s="33"/>
      <c r="AX450" s="33"/>
      <c r="AY450" s="33"/>
      <c r="AZ450" s="33"/>
      <c r="BA450" s="33"/>
      <c r="BB450" s="33"/>
      <c r="BC450" s="33"/>
      <c r="BD450" s="33"/>
      <c r="BE450" s="33"/>
      <c r="BF450" s="33"/>
      <c r="BG450" s="33"/>
      <c r="BH450" s="33"/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  <c r="BU450" s="33"/>
      <c r="BV450" s="33"/>
      <c r="BW450" s="33"/>
      <c r="BX450" s="33"/>
      <c r="BY450" s="33"/>
      <c r="BZ450" s="33"/>
      <c r="CA450" s="33"/>
      <c r="CB450" s="33"/>
      <c r="CC450" s="33"/>
      <c r="CD450" s="33"/>
      <c r="CE450" s="33"/>
      <c r="CF450" s="33"/>
      <c r="CG450" s="33"/>
      <c r="CH450" s="33"/>
      <c r="CI450" s="33"/>
      <c r="CJ450" s="33"/>
      <c r="CK450" s="33"/>
      <c r="CL450" s="33"/>
      <c r="CM450" s="33"/>
      <c r="CN450" s="33"/>
      <c r="CO450" s="33"/>
      <c r="CP450" s="33"/>
      <c r="CQ450" s="33"/>
      <c r="CR450" s="33"/>
      <c r="CS450" s="33"/>
      <c r="CT450" s="33"/>
      <c r="CU450" s="33"/>
      <c r="CV450" s="33"/>
      <c r="CW450" s="33"/>
      <c r="CX450" s="33"/>
      <c r="CY450" s="33"/>
      <c r="CZ450" s="33"/>
      <c r="DA450" s="33"/>
      <c r="DB450" s="33"/>
      <c r="DC450" s="33"/>
      <c r="DD450" s="33"/>
      <c r="DE450" s="33"/>
      <c r="DF450" s="33"/>
      <c r="DG450" s="33"/>
      <c r="DH450" s="33"/>
      <c r="DI450" s="33"/>
      <c r="DJ450" s="33"/>
      <c r="DK450" s="33"/>
      <c r="DL450" s="33"/>
      <c r="DM450" s="33"/>
      <c r="DN450" s="33"/>
      <c r="DO450" s="33"/>
      <c r="DP450" s="33"/>
      <c r="DQ450" s="33"/>
      <c r="DR450" s="33"/>
      <c r="DS450" s="33"/>
      <c r="DT450" s="33"/>
      <c r="DU450" s="33"/>
      <c r="DV450" s="33"/>
      <c r="DW450" s="33"/>
      <c r="DX450" s="33"/>
      <c r="DY450" s="33"/>
      <c r="DZ450" s="33"/>
      <c r="EA450" s="33"/>
      <c r="EB450" s="33"/>
      <c r="EC450" s="33"/>
      <c r="ED450" s="33"/>
      <c r="EE450" s="33"/>
      <c r="EF450" s="33"/>
      <c r="EG450" s="33"/>
      <c r="EH450" s="33"/>
      <c r="EI450" s="33"/>
      <c r="EJ450" s="33"/>
      <c r="EK450" s="33"/>
      <c r="EL450" s="33"/>
      <c r="EM450" s="33"/>
      <c r="EN450" s="33"/>
      <c r="EO450" s="33"/>
      <c r="EP450" s="33"/>
      <c r="EQ450" s="33"/>
      <c r="ER450" s="33"/>
      <c r="ES450" s="33"/>
    </row>
    <row r="451">
      <c r="A451" s="33"/>
      <c r="B451" s="33"/>
      <c r="C451" s="33"/>
      <c r="D451" s="33"/>
      <c r="E451" s="33"/>
      <c r="F451" s="33"/>
      <c r="G451" s="85"/>
      <c r="H451" s="85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3"/>
      <c r="AC451" s="33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3"/>
      <c r="AP451" s="33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3"/>
      <c r="BC451" s="33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3"/>
      <c r="CC451" s="33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3"/>
      <c r="CP451" s="33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3"/>
      <c r="DC451" s="33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3"/>
      <c r="DP451" s="33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3"/>
      <c r="EC451" s="33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3"/>
      <c r="EP451" s="33"/>
      <c r="EQ451" s="33"/>
      <c r="ER451" s="33"/>
      <c r="ES451" s="33"/>
    </row>
    <row r="452">
      <c r="A452" s="33"/>
      <c r="B452" s="33"/>
      <c r="C452" s="33"/>
      <c r="D452" s="33"/>
      <c r="E452" s="33"/>
      <c r="F452" s="33"/>
      <c r="G452" s="85"/>
      <c r="H452" s="85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33"/>
      <c r="Y452" s="33"/>
      <c r="Z452" s="33"/>
      <c r="AA452" s="33"/>
      <c r="AB452" s="33"/>
      <c r="AC452" s="33"/>
      <c r="AD452" s="33"/>
      <c r="AE452" s="33"/>
      <c r="AF452" s="33"/>
      <c r="AG452" s="33"/>
      <c r="AH452" s="33"/>
      <c r="AI452" s="33"/>
      <c r="AJ452" s="33"/>
      <c r="AK452" s="33"/>
      <c r="AL452" s="33"/>
      <c r="AM452" s="33"/>
      <c r="AN452" s="33"/>
      <c r="AO452" s="33"/>
      <c r="AP452" s="33"/>
      <c r="AQ452" s="33"/>
      <c r="AR452" s="33"/>
      <c r="AS452" s="33"/>
      <c r="AT452" s="33"/>
      <c r="AU452" s="33"/>
      <c r="AV452" s="33"/>
      <c r="AW452" s="33"/>
      <c r="AX452" s="33"/>
      <c r="AY452" s="33"/>
      <c r="AZ452" s="33"/>
      <c r="BA452" s="33"/>
      <c r="BB452" s="33"/>
      <c r="BC452" s="33"/>
      <c r="BD452" s="33"/>
      <c r="BE452" s="33"/>
      <c r="BF452" s="33"/>
      <c r="BG452" s="33"/>
      <c r="BH452" s="33"/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  <c r="BU452" s="33"/>
      <c r="BV452" s="33"/>
      <c r="BW452" s="33"/>
      <c r="BX452" s="33"/>
      <c r="BY452" s="33"/>
      <c r="BZ452" s="33"/>
      <c r="CA452" s="33"/>
      <c r="CB452" s="33"/>
      <c r="CC452" s="33"/>
      <c r="CD452" s="33"/>
      <c r="CE452" s="33"/>
      <c r="CF452" s="33"/>
      <c r="CG452" s="33"/>
      <c r="CH452" s="33"/>
      <c r="CI452" s="33"/>
      <c r="CJ452" s="33"/>
      <c r="CK452" s="33"/>
      <c r="CL452" s="33"/>
      <c r="CM452" s="33"/>
      <c r="CN452" s="33"/>
      <c r="CO452" s="33"/>
      <c r="CP452" s="33"/>
      <c r="CQ452" s="33"/>
      <c r="CR452" s="33"/>
      <c r="CS452" s="33"/>
      <c r="CT452" s="33"/>
      <c r="CU452" s="33"/>
      <c r="CV452" s="33"/>
      <c r="CW452" s="33"/>
      <c r="CX452" s="33"/>
      <c r="CY452" s="33"/>
      <c r="CZ452" s="33"/>
      <c r="DA452" s="33"/>
      <c r="DB452" s="33"/>
      <c r="DC452" s="33"/>
      <c r="DD452" s="33"/>
      <c r="DE452" s="33"/>
      <c r="DF452" s="33"/>
      <c r="DG452" s="33"/>
      <c r="DH452" s="33"/>
      <c r="DI452" s="33"/>
      <c r="DJ452" s="33"/>
      <c r="DK452" s="33"/>
      <c r="DL452" s="33"/>
      <c r="DM452" s="33"/>
      <c r="DN452" s="33"/>
      <c r="DO452" s="33"/>
      <c r="DP452" s="33"/>
      <c r="DQ452" s="33"/>
      <c r="DR452" s="33"/>
      <c r="DS452" s="33"/>
      <c r="DT452" s="33"/>
      <c r="DU452" s="33"/>
      <c r="DV452" s="33"/>
      <c r="DW452" s="33"/>
      <c r="DX452" s="33"/>
      <c r="DY452" s="33"/>
      <c r="DZ452" s="33"/>
      <c r="EA452" s="33"/>
      <c r="EB452" s="33"/>
      <c r="EC452" s="33"/>
      <c r="ED452" s="33"/>
      <c r="EE452" s="33"/>
      <c r="EF452" s="33"/>
      <c r="EG452" s="33"/>
      <c r="EH452" s="33"/>
      <c r="EI452" s="33"/>
      <c r="EJ452" s="33"/>
      <c r="EK452" s="33"/>
      <c r="EL452" s="33"/>
      <c r="EM452" s="33"/>
      <c r="EN452" s="33"/>
      <c r="EO452" s="33"/>
      <c r="EP452" s="33"/>
      <c r="EQ452" s="33"/>
      <c r="ER452" s="33"/>
      <c r="ES452" s="33"/>
    </row>
    <row r="453">
      <c r="A453" s="33"/>
      <c r="B453" s="33"/>
      <c r="C453" s="33"/>
      <c r="D453" s="33"/>
      <c r="E453" s="33"/>
      <c r="F453" s="33"/>
      <c r="G453" s="85"/>
      <c r="H453" s="85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3"/>
      <c r="AC453" s="33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3"/>
      <c r="AP453" s="33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3"/>
      <c r="BC453" s="33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3"/>
      <c r="CC453" s="33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3"/>
      <c r="CP453" s="33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3"/>
      <c r="DC453" s="33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3"/>
      <c r="DP453" s="33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3"/>
      <c r="EC453" s="33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3"/>
      <c r="EP453" s="33"/>
      <c r="EQ453" s="33"/>
      <c r="ER453" s="33"/>
      <c r="ES453" s="33"/>
    </row>
    <row r="454">
      <c r="A454" s="33"/>
      <c r="B454" s="33"/>
      <c r="C454" s="33"/>
      <c r="D454" s="33"/>
      <c r="E454" s="33"/>
      <c r="F454" s="33"/>
      <c r="G454" s="85"/>
      <c r="H454" s="85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33"/>
      <c r="Y454" s="33"/>
      <c r="Z454" s="33"/>
      <c r="AA454" s="33"/>
      <c r="AB454" s="33"/>
      <c r="AC454" s="33"/>
      <c r="AD454" s="33"/>
      <c r="AE454" s="33"/>
      <c r="AF454" s="33"/>
      <c r="AG454" s="33"/>
      <c r="AH454" s="33"/>
      <c r="AI454" s="33"/>
      <c r="AJ454" s="33"/>
      <c r="AK454" s="33"/>
      <c r="AL454" s="33"/>
      <c r="AM454" s="33"/>
      <c r="AN454" s="33"/>
      <c r="AO454" s="33"/>
      <c r="AP454" s="33"/>
      <c r="AQ454" s="33"/>
      <c r="AR454" s="33"/>
      <c r="AS454" s="33"/>
      <c r="AT454" s="33"/>
      <c r="AU454" s="33"/>
      <c r="AV454" s="33"/>
      <c r="AW454" s="33"/>
      <c r="AX454" s="33"/>
      <c r="AY454" s="33"/>
      <c r="AZ454" s="33"/>
      <c r="BA454" s="33"/>
      <c r="BB454" s="33"/>
      <c r="BC454" s="33"/>
      <c r="BD454" s="33"/>
      <c r="BE454" s="33"/>
      <c r="BF454" s="33"/>
      <c r="BG454" s="33"/>
      <c r="BH454" s="33"/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  <c r="BU454" s="33"/>
      <c r="BV454" s="33"/>
      <c r="BW454" s="33"/>
      <c r="BX454" s="33"/>
      <c r="BY454" s="33"/>
      <c r="BZ454" s="33"/>
      <c r="CA454" s="33"/>
      <c r="CB454" s="33"/>
      <c r="CC454" s="33"/>
      <c r="CD454" s="33"/>
      <c r="CE454" s="33"/>
      <c r="CF454" s="33"/>
      <c r="CG454" s="33"/>
      <c r="CH454" s="33"/>
      <c r="CI454" s="33"/>
      <c r="CJ454" s="33"/>
      <c r="CK454" s="33"/>
      <c r="CL454" s="33"/>
      <c r="CM454" s="33"/>
      <c r="CN454" s="33"/>
      <c r="CO454" s="33"/>
      <c r="CP454" s="33"/>
      <c r="CQ454" s="33"/>
      <c r="CR454" s="33"/>
      <c r="CS454" s="33"/>
      <c r="CT454" s="33"/>
      <c r="CU454" s="33"/>
      <c r="CV454" s="33"/>
      <c r="CW454" s="33"/>
      <c r="CX454" s="33"/>
      <c r="CY454" s="33"/>
      <c r="CZ454" s="33"/>
      <c r="DA454" s="33"/>
      <c r="DB454" s="33"/>
      <c r="DC454" s="33"/>
      <c r="DD454" s="33"/>
      <c r="DE454" s="33"/>
      <c r="DF454" s="33"/>
      <c r="DG454" s="33"/>
      <c r="DH454" s="33"/>
      <c r="DI454" s="33"/>
      <c r="DJ454" s="33"/>
      <c r="DK454" s="33"/>
      <c r="DL454" s="33"/>
      <c r="DM454" s="33"/>
      <c r="DN454" s="33"/>
      <c r="DO454" s="33"/>
      <c r="DP454" s="33"/>
      <c r="DQ454" s="33"/>
      <c r="DR454" s="33"/>
      <c r="DS454" s="33"/>
      <c r="DT454" s="33"/>
      <c r="DU454" s="33"/>
      <c r="DV454" s="33"/>
      <c r="DW454" s="33"/>
      <c r="DX454" s="33"/>
      <c r="DY454" s="33"/>
      <c r="DZ454" s="33"/>
      <c r="EA454" s="33"/>
      <c r="EB454" s="33"/>
      <c r="EC454" s="33"/>
      <c r="ED454" s="33"/>
      <c r="EE454" s="33"/>
      <c r="EF454" s="33"/>
      <c r="EG454" s="33"/>
      <c r="EH454" s="33"/>
      <c r="EI454" s="33"/>
      <c r="EJ454" s="33"/>
      <c r="EK454" s="33"/>
      <c r="EL454" s="33"/>
      <c r="EM454" s="33"/>
      <c r="EN454" s="33"/>
      <c r="EO454" s="33"/>
      <c r="EP454" s="33"/>
      <c r="EQ454" s="33"/>
      <c r="ER454" s="33"/>
      <c r="ES454" s="33"/>
    </row>
    <row r="455">
      <c r="A455" s="33"/>
      <c r="B455" s="33"/>
      <c r="C455" s="33"/>
      <c r="D455" s="33"/>
      <c r="E455" s="33"/>
      <c r="F455" s="33"/>
      <c r="G455" s="85"/>
      <c r="H455" s="85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3"/>
      <c r="AC455" s="33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3"/>
      <c r="AP455" s="33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3"/>
      <c r="BC455" s="33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3"/>
      <c r="CC455" s="33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3"/>
      <c r="CP455" s="33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3"/>
      <c r="DC455" s="33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3"/>
      <c r="DP455" s="33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3"/>
      <c r="EC455" s="33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3"/>
      <c r="EP455" s="33"/>
      <c r="EQ455" s="33"/>
      <c r="ER455" s="33"/>
      <c r="ES455" s="33"/>
    </row>
    <row r="456">
      <c r="A456" s="33"/>
      <c r="B456" s="33"/>
      <c r="C456" s="33"/>
      <c r="D456" s="33"/>
      <c r="E456" s="33"/>
      <c r="F456" s="33"/>
      <c r="G456" s="85"/>
      <c r="H456" s="85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33"/>
      <c r="Y456" s="33"/>
      <c r="Z456" s="33"/>
      <c r="AA456" s="33"/>
      <c r="AB456" s="33"/>
      <c r="AC456" s="33"/>
      <c r="AD456" s="33"/>
      <c r="AE456" s="33"/>
      <c r="AF456" s="33"/>
      <c r="AG456" s="33"/>
      <c r="AH456" s="33"/>
      <c r="AI456" s="33"/>
      <c r="AJ456" s="33"/>
      <c r="AK456" s="33"/>
      <c r="AL456" s="33"/>
      <c r="AM456" s="33"/>
      <c r="AN456" s="33"/>
      <c r="AO456" s="33"/>
      <c r="AP456" s="33"/>
      <c r="AQ456" s="33"/>
      <c r="AR456" s="33"/>
      <c r="AS456" s="33"/>
      <c r="AT456" s="33"/>
      <c r="AU456" s="33"/>
      <c r="AV456" s="33"/>
      <c r="AW456" s="33"/>
      <c r="AX456" s="33"/>
      <c r="AY456" s="33"/>
      <c r="AZ456" s="33"/>
      <c r="BA456" s="33"/>
      <c r="BB456" s="33"/>
      <c r="BC456" s="33"/>
      <c r="BD456" s="33"/>
      <c r="BE456" s="33"/>
      <c r="BF456" s="33"/>
      <c r="BG456" s="33"/>
      <c r="BH456" s="33"/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  <c r="BU456" s="33"/>
      <c r="BV456" s="33"/>
      <c r="BW456" s="33"/>
      <c r="BX456" s="33"/>
      <c r="BY456" s="33"/>
      <c r="BZ456" s="33"/>
      <c r="CA456" s="33"/>
      <c r="CB456" s="33"/>
      <c r="CC456" s="33"/>
      <c r="CD456" s="33"/>
      <c r="CE456" s="33"/>
      <c r="CF456" s="33"/>
      <c r="CG456" s="33"/>
      <c r="CH456" s="33"/>
      <c r="CI456" s="33"/>
      <c r="CJ456" s="33"/>
      <c r="CK456" s="33"/>
      <c r="CL456" s="33"/>
      <c r="CM456" s="33"/>
      <c r="CN456" s="33"/>
      <c r="CO456" s="33"/>
      <c r="CP456" s="33"/>
      <c r="CQ456" s="33"/>
      <c r="CR456" s="33"/>
      <c r="CS456" s="33"/>
      <c r="CT456" s="33"/>
      <c r="CU456" s="33"/>
      <c r="CV456" s="33"/>
      <c r="CW456" s="33"/>
      <c r="CX456" s="33"/>
      <c r="CY456" s="33"/>
      <c r="CZ456" s="33"/>
      <c r="DA456" s="33"/>
      <c r="DB456" s="33"/>
      <c r="DC456" s="33"/>
      <c r="DD456" s="33"/>
      <c r="DE456" s="33"/>
      <c r="DF456" s="33"/>
      <c r="DG456" s="33"/>
      <c r="DH456" s="33"/>
      <c r="DI456" s="33"/>
      <c r="DJ456" s="33"/>
      <c r="DK456" s="33"/>
      <c r="DL456" s="33"/>
      <c r="DM456" s="33"/>
      <c r="DN456" s="33"/>
      <c r="DO456" s="33"/>
      <c r="DP456" s="33"/>
      <c r="DQ456" s="33"/>
      <c r="DR456" s="33"/>
      <c r="DS456" s="33"/>
      <c r="DT456" s="33"/>
      <c r="DU456" s="33"/>
      <c r="DV456" s="33"/>
      <c r="DW456" s="33"/>
      <c r="DX456" s="33"/>
      <c r="DY456" s="33"/>
      <c r="DZ456" s="33"/>
      <c r="EA456" s="33"/>
      <c r="EB456" s="33"/>
      <c r="EC456" s="33"/>
      <c r="ED456" s="33"/>
      <c r="EE456" s="33"/>
      <c r="EF456" s="33"/>
      <c r="EG456" s="33"/>
      <c r="EH456" s="33"/>
      <c r="EI456" s="33"/>
      <c r="EJ456" s="33"/>
      <c r="EK456" s="33"/>
      <c r="EL456" s="33"/>
      <c r="EM456" s="33"/>
      <c r="EN456" s="33"/>
      <c r="EO456" s="33"/>
      <c r="EP456" s="33"/>
      <c r="EQ456" s="33"/>
      <c r="ER456" s="33"/>
      <c r="ES456" s="33"/>
    </row>
    <row r="457">
      <c r="A457" s="33"/>
      <c r="B457" s="33"/>
      <c r="C457" s="33"/>
      <c r="D457" s="33"/>
      <c r="E457" s="33"/>
      <c r="F457" s="33"/>
      <c r="G457" s="85"/>
      <c r="H457" s="85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3"/>
      <c r="AC457" s="33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3"/>
      <c r="AP457" s="33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3"/>
      <c r="BC457" s="33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3"/>
      <c r="CC457" s="33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3"/>
      <c r="CP457" s="33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3"/>
      <c r="DC457" s="33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3"/>
      <c r="DP457" s="33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3"/>
      <c r="EC457" s="33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3"/>
      <c r="EP457" s="33"/>
      <c r="EQ457" s="33"/>
      <c r="ER457" s="33"/>
      <c r="ES457" s="33"/>
    </row>
    <row r="458">
      <c r="A458" s="33"/>
      <c r="B458" s="33"/>
      <c r="C458" s="33"/>
      <c r="D458" s="33"/>
      <c r="E458" s="33"/>
      <c r="F458" s="33"/>
      <c r="G458" s="85"/>
      <c r="H458" s="85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33"/>
      <c r="Y458" s="33"/>
      <c r="Z458" s="33"/>
      <c r="AA458" s="33"/>
      <c r="AB458" s="33"/>
      <c r="AC458" s="33"/>
      <c r="AD458" s="33"/>
      <c r="AE458" s="33"/>
      <c r="AF458" s="33"/>
      <c r="AG458" s="33"/>
      <c r="AH458" s="33"/>
      <c r="AI458" s="33"/>
      <c r="AJ458" s="33"/>
      <c r="AK458" s="33"/>
      <c r="AL458" s="33"/>
      <c r="AM458" s="33"/>
      <c r="AN458" s="33"/>
      <c r="AO458" s="33"/>
      <c r="AP458" s="33"/>
      <c r="AQ458" s="33"/>
      <c r="AR458" s="33"/>
      <c r="AS458" s="33"/>
      <c r="AT458" s="33"/>
      <c r="AU458" s="33"/>
      <c r="AV458" s="33"/>
      <c r="AW458" s="33"/>
      <c r="AX458" s="33"/>
      <c r="AY458" s="33"/>
      <c r="AZ458" s="33"/>
      <c r="BA458" s="33"/>
      <c r="BB458" s="33"/>
      <c r="BC458" s="33"/>
      <c r="BD458" s="33"/>
      <c r="BE458" s="33"/>
      <c r="BF458" s="33"/>
      <c r="BG458" s="33"/>
      <c r="BH458" s="33"/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  <c r="BU458" s="33"/>
      <c r="BV458" s="33"/>
      <c r="BW458" s="33"/>
      <c r="BX458" s="33"/>
      <c r="BY458" s="33"/>
      <c r="BZ458" s="33"/>
      <c r="CA458" s="33"/>
      <c r="CB458" s="33"/>
      <c r="CC458" s="33"/>
      <c r="CD458" s="33"/>
      <c r="CE458" s="33"/>
      <c r="CF458" s="33"/>
      <c r="CG458" s="33"/>
      <c r="CH458" s="33"/>
      <c r="CI458" s="33"/>
      <c r="CJ458" s="33"/>
      <c r="CK458" s="33"/>
      <c r="CL458" s="33"/>
      <c r="CM458" s="33"/>
      <c r="CN458" s="33"/>
      <c r="CO458" s="33"/>
      <c r="CP458" s="33"/>
      <c r="CQ458" s="33"/>
      <c r="CR458" s="33"/>
      <c r="CS458" s="33"/>
      <c r="CT458" s="33"/>
      <c r="CU458" s="33"/>
      <c r="CV458" s="33"/>
      <c r="CW458" s="33"/>
      <c r="CX458" s="33"/>
      <c r="CY458" s="33"/>
      <c r="CZ458" s="33"/>
      <c r="DA458" s="33"/>
      <c r="DB458" s="33"/>
      <c r="DC458" s="33"/>
      <c r="DD458" s="33"/>
      <c r="DE458" s="33"/>
      <c r="DF458" s="33"/>
      <c r="DG458" s="33"/>
      <c r="DH458" s="33"/>
      <c r="DI458" s="33"/>
      <c r="DJ458" s="33"/>
      <c r="DK458" s="33"/>
      <c r="DL458" s="33"/>
      <c r="DM458" s="33"/>
      <c r="DN458" s="33"/>
      <c r="DO458" s="33"/>
      <c r="DP458" s="33"/>
      <c r="DQ458" s="33"/>
      <c r="DR458" s="33"/>
      <c r="DS458" s="33"/>
      <c r="DT458" s="33"/>
      <c r="DU458" s="33"/>
      <c r="DV458" s="33"/>
      <c r="DW458" s="33"/>
      <c r="DX458" s="33"/>
      <c r="DY458" s="33"/>
      <c r="DZ458" s="33"/>
      <c r="EA458" s="33"/>
      <c r="EB458" s="33"/>
      <c r="EC458" s="33"/>
      <c r="ED458" s="33"/>
      <c r="EE458" s="33"/>
      <c r="EF458" s="33"/>
      <c r="EG458" s="33"/>
      <c r="EH458" s="33"/>
      <c r="EI458" s="33"/>
      <c r="EJ458" s="33"/>
      <c r="EK458" s="33"/>
      <c r="EL458" s="33"/>
      <c r="EM458" s="33"/>
      <c r="EN458" s="33"/>
      <c r="EO458" s="33"/>
      <c r="EP458" s="33"/>
      <c r="EQ458" s="33"/>
      <c r="ER458" s="33"/>
      <c r="ES458" s="33"/>
    </row>
    <row r="459">
      <c r="A459" s="33"/>
      <c r="B459" s="33"/>
      <c r="C459" s="33"/>
      <c r="D459" s="33"/>
      <c r="E459" s="33"/>
      <c r="F459" s="33"/>
      <c r="G459" s="85"/>
      <c r="H459" s="85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3"/>
      <c r="AC459" s="33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3"/>
      <c r="AP459" s="33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3"/>
      <c r="CC459" s="33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3"/>
      <c r="CP459" s="33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3"/>
      <c r="DC459" s="33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3"/>
      <c r="DP459" s="33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3"/>
      <c r="EC459" s="33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3"/>
      <c r="EP459" s="33"/>
      <c r="EQ459" s="33"/>
      <c r="ER459" s="33"/>
      <c r="ES459" s="33"/>
    </row>
    <row r="460">
      <c r="A460" s="33"/>
      <c r="B460" s="33"/>
      <c r="C460" s="33"/>
      <c r="D460" s="33"/>
      <c r="E460" s="33"/>
      <c r="F460" s="33"/>
      <c r="G460" s="85"/>
      <c r="H460" s="85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33"/>
      <c r="Y460" s="33"/>
      <c r="Z460" s="33"/>
      <c r="AA460" s="33"/>
      <c r="AB460" s="33"/>
      <c r="AC460" s="33"/>
      <c r="AD460" s="33"/>
      <c r="AE460" s="33"/>
      <c r="AF460" s="33"/>
      <c r="AG460" s="33"/>
      <c r="AH460" s="33"/>
      <c r="AI460" s="33"/>
      <c r="AJ460" s="33"/>
      <c r="AK460" s="33"/>
      <c r="AL460" s="33"/>
      <c r="AM460" s="33"/>
      <c r="AN460" s="33"/>
      <c r="AO460" s="33"/>
      <c r="AP460" s="33"/>
      <c r="AQ460" s="33"/>
      <c r="AR460" s="33"/>
      <c r="AS460" s="33"/>
      <c r="AT460" s="33"/>
      <c r="AU460" s="33"/>
      <c r="AV460" s="33"/>
      <c r="AW460" s="33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  <c r="BU460" s="33"/>
      <c r="BV460" s="33"/>
      <c r="BW460" s="33"/>
      <c r="BX460" s="33"/>
      <c r="BY460" s="33"/>
      <c r="BZ460" s="33"/>
      <c r="CA460" s="33"/>
      <c r="CB460" s="33"/>
      <c r="CC460" s="33"/>
      <c r="CD460" s="33"/>
      <c r="CE460" s="33"/>
      <c r="CF460" s="33"/>
      <c r="CG460" s="33"/>
      <c r="CH460" s="33"/>
      <c r="CI460" s="33"/>
      <c r="CJ460" s="33"/>
      <c r="CK460" s="33"/>
      <c r="CL460" s="33"/>
      <c r="CM460" s="33"/>
      <c r="CN460" s="33"/>
      <c r="CO460" s="33"/>
      <c r="CP460" s="33"/>
      <c r="CQ460" s="33"/>
      <c r="CR460" s="33"/>
      <c r="CS460" s="33"/>
      <c r="CT460" s="33"/>
      <c r="CU460" s="33"/>
      <c r="CV460" s="33"/>
      <c r="CW460" s="33"/>
      <c r="CX460" s="33"/>
      <c r="CY460" s="33"/>
      <c r="CZ460" s="33"/>
      <c r="DA460" s="33"/>
      <c r="DB460" s="33"/>
      <c r="DC460" s="33"/>
      <c r="DD460" s="33"/>
      <c r="DE460" s="33"/>
      <c r="DF460" s="33"/>
      <c r="DG460" s="33"/>
      <c r="DH460" s="33"/>
      <c r="DI460" s="33"/>
      <c r="DJ460" s="33"/>
      <c r="DK460" s="33"/>
      <c r="DL460" s="33"/>
      <c r="DM460" s="33"/>
      <c r="DN460" s="33"/>
      <c r="DO460" s="33"/>
      <c r="DP460" s="33"/>
      <c r="DQ460" s="33"/>
      <c r="DR460" s="33"/>
      <c r="DS460" s="33"/>
      <c r="DT460" s="33"/>
      <c r="DU460" s="33"/>
      <c r="DV460" s="33"/>
      <c r="DW460" s="33"/>
      <c r="DX460" s="33"/>
      <c r="DY460" s="33"/>
      <c r="DZ460" s="33"/>
      <c r="EA460" s="33"/>
      <c r="EB460" s="33"/>
      <c r="EC460" s="33"/>
      <c r="ED460" s="33"/>
      <c r="EE460" s="33"/>
      <c r="EF460" s="33"/>
      <c r="EG460" s="33"/>
      <c r="EH460" s="33"/>
      <c r="EI460" s="33"/>
      <c r="EJ460" s="33"/>
      <c r="EK460" s="33"/>
      <c r="EL460" s="33"/>
      <c r="EM460" s="33"/>
      <c r="EN460" s="33"/>
      <c r="EO460" s="33"/>
      <c r="EP460" s="33"/>
      <c r="EQ460" s="33"/>
      <c r="ER460" s="33"/>
      <c r="ES460" s="33"/>
    </row>
    <row r="461">
      <c r="A461" s="33"/>
      <c r="B461" s="33"/>
      <c r="C461" s="33"/>
      <c r="D461" s="33"/>
      <c r="E461" s="33"/>
      <c r="F461" s="33"/>
      <c r="G461" s="85"/>
      <c r="H461" s="85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3"/>
      <c r="AC461" s="33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3"/>
      <c r="AP461" s="33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3"/>
      <c r="CC461" s="33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3"/>
      <c r="CP461" s="33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3"/>
      <c r="DC461" s="33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3"/>
      <c r="DP461" s="33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3"/>
      <c r="EC461" s="33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3"/>
      <c r="EP461" s="33"/>
      <c r="EQ461" s="33"/>
      <c r="ER461" s="33"/>
      <c r="ES461" s="33"/>
    </row>
    <row r="462">
      <c r="A462" s="33"/>
      <c r="B462" s="33"/>
      <c r="C462" s="33"/>
      <c r="D462" s="33"/>
      <c r="E462" s="33"/>
      <c r="F462" s="33"/>
      <c r="G462" s="85"/>
      <c r="H462" s="85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33"/>
      <c r="Y462" s="33"/>
      <c r="Z462" s="33"/>
      <c r="AA462" s="33"/>
      <c r="AB462" s="33"/>
      <c r="AC462" s="33"/>
      <c r="AD462" s="33"/>
      <c r="AE462" s="33"/>
      <c r="AF462" s="33"/>
      <c r="AG462" s="33"/>
      <c r="AH462" s="33"/>
      <c r="AI462" s="33"/>
      <c r="AJ462" s="33"/>
      <c r="AK462" s="33"/>
      <c r="AL462" s="33"/>
      <c r="AM462" s="33"/>
      <c r="AN462" s="33"/>
      <c r="AO462" s="33"/>
      <c r="AP462" s="33"/>
      <c r="AQ462" s="33"/>
      <c r="AR462" s="33"/>
      <c r="AS462" s="33"/>
      <c r="AT462" s="33"/>
      <c r="AU462" s="33"/>
      <c r="AV462" s="33"/>
      <c r="AW462" s="33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  <c r="BU462" s="33"/>
      <c r="BV462" s="33"/>
      <c r="BW462" s="33"/>
      <c r="BX462" s="33"/>
      <c r="BY462" s="33"/>
      <c r="BZ462" s="33"/>
      <c r="CA462" s="33"/>
      <c r="CB462" s="33"/>
      <c r="CC462" s="33"/>
      <c r="CD462" s="33"/>
      <c r="CE462" s="33"/>
      <c r="CF462" s="33"/>
      <c r="CG462" s="33"/>
      <c r="CH462" s="33"/>
      <c r="CI462" s="33"/>
      <c r="CJ462" s="33"/>
      <c r="CK462" s="33"/>
      <c r="CL462" s="33"/>
      <c r="CM462" s="33"/>
      <c r="CN462" s="33"/>
      <c r="CO462" s="33"/>
      <c r="CP462" s="33"/>
      <c r="CQ462" s="33"/>
      <c r="CR462" s="33"/>
      <c r="CS462" s="33"/>
      <c r="CT462" s="33"/>
      <c r="CU462" s="33"/>
      <c r="CV462" s="33"/>
      <c r="CW462" s="33"/>
      <c r="CX462" s="33"/>
      <c r="CY462" s="33"/>
      <c r="CZ462" s="33"/>
      <c r="DA462" s="33"/>
      <c r="DB462" s="33"/>
      <c r="DC462" s="33"/>
      <c r="DD462" s="33"/>
      <c r="DE462" s="33"/>
      <c r="DF462" s="33"/>
      <c r="DG462" s="33"/>
      <c r="DH462" s="33"/>
      <c r="DI462" s="33"/>
      <c r="DJ462" s="33"/>
      <c r="DK462" s="33"/>
      <c r="DL462" s="33"/>
      <c r="DM462" s="33"/>
      <c r="DN462" s="33"/>
      <c r="DO462" s="33"/>
      <c r="DP462" s="33"/>
      <c r="DQ462" s="33"/>
      <c r="DR462" s="33"/>
      <c r="DS462" s="33"/>
      <c r="DT462" s="33"/>
      <c r="DU462" s="33"/>
      <c r="DV462" s="33"/>
      <c r="DW462" s="33"/>
      <c r="DX462" s="33"/>
      <c r="DY462" s="33"/>
      <c r="DZ462" s="33"/>
      <c r="EA462" s="33"/>
      <c r="EB462" s="33"/>
      <c r="EC462" s="33"/>
      <c r="ED462" s="33"/>
      <c r="EE462" s="33"/>
      <c r="EF462" s="33"/>
      <c r="EG462" s="33"/>
      <c r="EH462" s="33"/>
      <c r="EI462" s="33"/>
      <c r="EJ462" s="33"/>
      <c r="EK462" s="33"/>
      <c r="EL462" s="33"/>
      <c r="EM462" s="33"/>
      <c r="EN462" s="33"/>
      <c r="EO462" s="33"/>
      <c r="EP462" s="33"/>
      <c r="EQ462" s="33"/>
      <c r="ER462" s="33"/>
      <c r="ES462" s="33"/>
    </row>
    <row r="463">
      <c r="A463" s="33"/>
      <c r="B463" s="33"/>
      <c r="C463" s="33"/>
      <c r="D463" s="33"/>
      <c r="E463" s="33"/>
      <c r="F463" s="33"/>
      <c r="G463" s="85"/>
      <c r="H463" s="85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3"/>
      <c r="AC463" s="33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3"/>
      <c r="AP463" s="33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3"/>
      <c r="CC463" s="33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3"/>
      <c r="CP463" s="33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3"/>
      <c r="DC463" s="33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3"/>
      <c r="DP463" s="33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3"/>
      <c r="EC463" s="33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3"/>
      <c r="EP463" s="33"/>
      <c r="EQ463" s="33"/>
      <c r="ER463" s="33"/>
      <c r="ES463" s="33"/>
    </row>
    <row r="464">
      <c r="A464" s="33"/>
      <c r="B464" s="33"/>
      <c r="C464" s="33"/>
      <c r="D464" s="33"/>
      <c r="E464" s="33"/>
      <c r="F464" s="33"/>
      <c r="G464" s="85"/>
      <c r="H464" s="85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33"/>
      <c r="Y464" s="33"/>
      <c r="Z464" s="33"/>
      <c r="AA464" s="33"/>
      <c r="AB464" s="33"/>
      <c r="AC464" s="33"/>
      <c r="AD464" s="33"/>
      <c r="AE464" s="33"/>
      <c r="AF464" s="33"/>
      <c r="AG464" s="33"/>
      <c r="AH464" s="33"/>
      <c r="AI464" s="33"/>
      <c r="AJ464" s="33"/>
      <c r="AK464" s="33"/>
      <c r="AL464" s="33"/>
      <c r="AM464" s="33"/>
      <c r="AN464" s="33"/>
      <c r="AO464" s="33"/>
      <c r="AP464" s="33"/>
      <c r="AQ464" s="33"/>
      <c r="AR464" s="33"/>
      <c r="AS464" s="33"/>
      <c r="AT464" s="33"/>
      <c r="AU464" s="33"/>
      <c r="AV464" s="33"/>
      <c r="AW464" s="33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  <c r="BU464" s="33"/>
      <c r="BV464" s="33"/>
      <c r="BW464" s="33"/>
      <c r="BX464" s="33"/>
      <c r="BY464" s="33"/>
      <c r="BZ464" s="33"/>
      <c r="CA464" s="33"/>
      <c r="CB464" s="33"/>
      <c r="CC464" s="33"/>
      <c r="CD464" s="33"/>
      <c r="CE464" s="33"/>
      <c r="CF464" s="33"/>
      <c r="CG464" s="33"/>
      <c r="CH464" s="33"/>
      <c r="CI464" s="33"/>
      <c r="CJ464" s="33"/>
      <c r="CK464" s="33"/>
      <c r="CL464" s="33"/>
      <c r="CM464" s="33"/>
      <c r="CN464" s="33"/>
      <c r="CO464" s="33"/>
      <c r="CP464" s="33"/>
      <c r="CQ464" s="33"/>
      <c r="CR464" s="33"/>
      <c r="CS464" s="33"/>
      <c r="CT464" s="33"/>
      <c r="CU464" s="33"/>
      <c r="CV464" s="33"/>
      <c r="CW464" s="33"/>
      <c r="CX464" s="33"/>
      <c r="CY464" s="33"/>
      <c r="CZ464" s="33"/>
      <c r="DA464" s="33"/>
      <c r="DB464" s="33"/>
      <c r="DC464" s="33"/>
      <c r="DD464" s="33"/>
      <c r="DE464" s="33"/>
      <c r="DF464" s="33"/>
      <c r="DG464" s="33"/>
      <c r="DH464" s="33"/>
      <c r="DI464" s="33"/>
      <c r="DJ464" s="33"/>
      <c r="DK464" s="33"/>
      <c r="DL464" s="33"/>
      <c r="DM464" s="33"/>
      <c r="DN464" s="33"/>
      <c r="DO464" s="33"/>
      <c r="DP464" s="33"/>
      <c r="DQ464" s="33"/>
      <c r="DR464" s="33"/>
      <c r="DS464" s="33"/>
      <c r="DT464" s="33"/>
      <c r="DU464" s="33"/>
      <c r="DV464" s="33"/>
      <c r="DW464" s="33"/>
      <c r="DX464" s="33"/>
      <c r="DY464" s="33"/>
      <c r="DZ464" s="33"/>
      <c r="EA464" s="33"/>
      <c r="EB464" s="33"/>
      <c r="EC464" s="33"/>
      <c r="ED464" s="33"/>
      <c r="EE464" s="33"/>
      <c r="EF464" s="33"/>
      <c r="EG464" s="33"/>
      <c r="EH464" s="33"/>
      <c r="EI464" s="33"/>
      <c r="EJ464" s="33"/>
      <c r="EK464" s="33"/>
      <c r="EL464" s="33"/>
      <c r="EM464" s="33"/>
      <c r="EN464" s="33"/>
      <c r="EO464" s="33"/>
      <c r="EP464" s="33"/>
      <c r="EQ464" s="33"/>
      <c r="ER464" s="33"/>
      <c r="ES464" s="33"/>
    </row>
    <row r="465">
      <c r="A465" s="33"/>
      <c r="B465" s="33"/>
      <c r="C465" s="33"/>
      <c r="D465" s="33"/>
      <c r="E465" s="33"/>
      <c r="F465" s="33"/>
      <c r="G465" s="85"/>
      <c r="H465" s="85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3"/>
      <c r="AC465" s="33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3"/>
      <c r="AP465" s="33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3"/>
      <c r="CC465" s="33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3"/>
      <c r="CP465" s="33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3"/>
      <c r="DC465" s="33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3"/>
      <c r="DP465" s="33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3"/>
      <c r="EC465" s="33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3"/>
      <c r="EP465" s="33"/>
      <c r="EQ465" s="33"/>
      <c r="ER465" s="33"/>
      <c r="ES465" s="33"/>
    </row>
    <row r="466">
      <c r="A466" s="33"/>
      <c r="B466" s="33"/>
      <c r="C466" s="33"/>
      <c r="D466" s="33"/>
      <c r="E466" s="33"/>
      <c r="F466" s="33"/>
      <c r="G466" s="85"/>
      <c r="H466" s="85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33"/>
      <c r="Y466" s="33"/>
      <c r="Z466" s="33"/>
      <c r="AA466" s="33"/>
      <c r="AB466" s="33"/>
      <c r="AC466" s="33"/>
      <c r="AD466" s="33"/>
      <c r="AE466" s="33"/>
      <c r="AF466" s="33"/>
      <c r="AG466" s="33"/>
      <c r="AH466" s="33"/>
      <c r="AI466" s="33"/>
      <c r="AJ466" s="33"/>
      <c r="AK466" s="33"/>
      <c r="AL466" s="33"/>
      <c r="AM466" s="33"/>
      <c r="AN466" s="33"/>
      <c r="AO466" s="33"/>
      <c r="AP466" s="33"/>
      <c r="AQ466" s="33"/>
      <c r="AR466" s="33"/>
      <c r="AS466" s="33"/>
      <c r="AT466" s="33"/>
      <c r="AU466" s="33"/>
      <c r="AV466" s="33"/>
      <c r="AW466" s="33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  <c r="BU466" s="33"/>
      <c r="BV466" s="33"/>
      <c r="BW466" s="33"/>
      <c r="BX466" s="33"/>
      <c r="BY466" s="33"/>
      <c r="BZ466" s="33"/>
      <c r="CA466" s="33"/>
      <c r="CB466" s="33"/>
      <c r="CC466" s="33"/>
      <c r="CD466" s="33"/>
      <c r="CE466" s="33"/>
      <c r="CF466" s="33"/>
      <c r="CG466" s="33"/>
      <c r="CH466" s="33"/>
      <c r="CI466" s="33"/>
      <c r="CJ466" s="33"/>
      <c r="CK466" s="33"/>
      <c r="CL466" s="33"/>
      <c r="CM466" s="33"/>
      <c r="CN466" s="33"/>
      <c r="CO466" s="33"/>
      <c r="CP466" s="33"/>
      <c r="CQ466" s="33"/>
      <c r="CR466" s="33"/>
      <c r="CS466" s="33"/>
      <c r="CT466" s="33"/>
      <c r="CU466" s="33"/>
      <c r="CV466" s="33"/>
      <c r="CW466" s="33"/>
      <c r="CX466" s="33"/>
      <c r="CY466" s="33"/>
      <c r="CZ466" s="33"/>
      <c r="DA466" s="33"/>
      <c r="DB466" s="33"/>
      <c r="DC466" s="33"/>
      <c r="DD466" s="33"/>
      <c r="DE466" s="33"/>
      <c r="DF466" s="33"/>
      <c r="DG466" s="33"/>
      <c r="DH466" s="33"/>
      <c r="DI466" s="33"/>
      <c r="DJ466" s="33"/>
      <c r="DK466" s="33"/>
      <c r="DL466" s="33"/>
      <c r="DM466" s="33"/>
      <c r="DN466" s="33"/>
      <c r="DO466" s="33"/>
      <c r="DP466" s="33"/>
      <c r="DQ466" s="33"/>
      <c r="DR466" s="33"/>
      <c r="DS466" s="33"/>
      <c r="DT466" s="33"/>
      <c r="DU466" s="33"/>
      <c r="DV466" s="33"/>
      <c r="DW466" s="33"/>
      <c r="DX466" s="33"/>
      <c r="DY466" s="33"/>
      <c r="DZ466" s="33"/>
      <c r="EA466" s="33"/>
      <c r="EB466" s="33"/>
      <c r="EC466" s="33"/>
      <c r="ED466" s="33"/>
      <c r="EE466" s="33"/>
      <c r="EF466" s="33"/>
      <c r="EG466" s="33"/>
      <c r="EH466" s="33"/>
      <c r="EI466" s="33"/>
      <c r="EJ466" s="33"/>
      <c r="EK466" s="33"/>
      <c r="EL466" s="33"/>
      <c r="EM466" s="33"/>
      <c r="EN466" s="33"/>
      <c r="EO466" s="33"/>
      <c r="EP466" s="33"/>
      <c r="EQ466" s="33"/>
      <c r="ER466" s="33"/>
      <c r="ES466" s="33"/>
    </row>
    <row r="467">
      <c r="A467" s="33"/>
      <c r="B467" s="33"/>
      <c r="C467" s="33"/>
      <c r="D467" s="33"/>
      <c r="E467" s="33"/>
      <c r="F467" s="33"/>
      <c r="G467" s="85"/>
      <c r="H467" s="85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3"/>
      <c r="AC467" s="33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3"/>
      <c r="AP467" s="33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3"/>
      <c r="CC467" s="33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3"/>
      <c r="CP467" s="33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3"/>
      <c r="DC467" s="33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3"/>
      <c r="DP467" s="33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3"/>
      <c r="EC467" s="33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3"/>
      <c r="EP467" s="33"/>
      <c r="EQ467" s="33"/>
      <c r="ER467" s="33"/>
      <c r="ES467" s="33"/>
    </row>
    <row r="468">
      <c r="A468" s="33"/>
      <c r="B468" s="33"/>
      <c r="C468" s="33"/>
      <c r="D468" s="33"/>
      <c r="E468" s="33"/>
      <c r="F468" s="33"/>
      <c r="G468" s="85"/>
      <c r="H468" s="85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33"/>
      <c r="Y468" s="33"/>
      <c r="Z468" s="33"/>
      <c r="AA468" s="33"/>
      <c r="AB468" s="33"/>
      <c r="AC468" s="33"/>
      <c r="AD468" s="33"/>
      <c r="AE468" s="33"/>
      <c r="AF468" s="33"/>
      <c r="AG468" s="33"/>
      <c r="AH468" s="33"/>
      <c r="AI468" s="33"/>
      <c r="AJ468" s="33"/>
      <c r="AK468" s="33"/>
      <c r="AL468" s="33"/>
      <c r="AM468" s="33"/>
      <c r="AN468" s="33"/>
      <c r="AO468" s="33"/>
      <c r="AP468" s="33"/>
      <c r="AQ468" s="33"/>
      <c r="AR468" s="33"/>
      <c r="AS468" s="33"/>
      <c r="AT468" s="33"/>
      <c r="AU468" s="33"/>
      <c r="AV468" s="33"/>
      <c r="AW468" s="33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  <c r="BU468" s="33"/>
      <c r="BV468" s="33"/>
      <c r="BW468" s="33"/>
      <c r="BX468" s="33"/>
      <c r="BY468" s="33"/>
      <c r="BZ468" s="33"/>
      <c r="CA468" s="33"/>
      <c r="CB468" s="33"/>
      <c r="CC468" s="33"/>
      <c r="CD468" s="33"/>
      <c r="CE468" s="33"/>
      <c r="CF468" s="33"/>
      <c r="CG468" s="33"/>
      <c r="CH468" s="33"/>
      <c r="CI468" s="33"/>
      <c r="CJ468" s="33"/>
      <c r="CK468" s="33"/>
      <c r="CL468" s="33"/>
      <c r="CM468" s="33"/>
      <c r="CN468" s="33"/>
      <c r="CO468" s="33"/>
      <c r="CP468" s="33"/>
      <c r="CQ468" s="33"/>
      <c r="CR468" s="33"/>
      <c r="CS468" s="33"/>
      <c r="CT468" s="33"/>
      <c r="CU468" s="33"/>
      <c r="CV468" s="33"/>
      <c r="CW468" s="33"/>
      <c r="CX468" s="33"/>
      <c r="CY468" s="33"/>
      <c r="CZ468" s="33"/>
      <c r="DA468" s="33"/>
      <c r="DB468" s="33"/>
      <c r="DC468" s="33"/>
      <c r="DD468" s="33"/>
      <c r="DE468" s="33"/>
      <c r="DF468" s="33"/>
      <c r="DG468" s="33"/>
      <c r="DH468" s="33"/>
      <c r="DI468" s="33"/>
      <c r="DJ468" s="33"/>
      <c r="DK468" s="33"/>
      <c r="DL468" s="33"/>
      <c r="DM468" s="33"/>
      <c r="DN468" s="33"/>
      <c r="DO468" s="33"/>
      <c r="DP468" s="33"/>
      <c r="DQ468" s="33"/>
      <c r="DR468" s="33"/>
      <c r="DS468" s="33"/>
      <c r="DT468" s="33"/>
      <c r="DU468" s="33"/>
      <c r="DV468" s="33"/>
      <c r="DW468" s="33"/>
      <c r="DX468" s="33"/>
      <c r="DY468" s="33"/>
      <c r="DZ468" s="33"/>
      <c r="EA468" s="33"/>
      <c r="EB468" s="33"/>
      <c r="EC468" s="33"/>
      <c r="ED468" s="33"/>
      <c r="EE468" s="33"/>
      <c r="EF468" s="33"/>
      <c r="EG468" s="33"/>
      <c r="EH468" s="33"/>
      <c r="EI468" s="33"/>
      <c r="EJ468" s="33"/>
      <c r="EK468" s="33"/>
      <c r="EL468" s="33"/>
      <c r="EM468" s="33"/>
      <c r="EN468" s="33"/>
      <c r="EO468" s="33"/>
      <c r="EP468" s="33"/>
      <c r="EQ468" s="33"/>
      <c r="ER468" s="33"/>
      <c r="ES468" s="33"/>
    </row>
    <row r="469">
      <c r="A469" s="33"/>
      <c r="B469" s="33"/>
      <c r="C469" s="33"/>
      <c r="D469" s="33"/>
      <c r="E469" s="33"/>
      <c r="F469" s="33"/>
      <c r="G469" s="85"/>
      <c r="H469" s="85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3"/>
      <c r="AC469" s="33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3"/>
      <c r="AP469" s="33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3"/>
      <c r="CC469" s="33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3"/>
      <c r="CP469" s="33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3"/>
      <c r="DC469" s="33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3"/>
      <c r="DP469" s="33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3"/>
      <c r="EC469" s="33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3"/>
      <c r="EP469" s="33"/>
      <c r="EQ469" s="33"/>
      <c r="ER469" s="33"/>
      <c r="ES469" s="33"/>
    </row>
    <row r="470">
      <c r="A470" s="33"/>
      <c r="B470" s="33"/>
      <c r="C470" s="33"/>
      <c r="D470" s="33"/>
      <c r="E470" s="33"/>
      <c r="F470" s="33"/>
      <c r="G470" s="85"/>
      <c r="H470" s="85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33"/>
      <c r="Y470" s="33"/>
      <c r="Z470" s="33"/>
      <c r="AA470" s="33"/>
      <c r="AB470" s="33"/>
      <c r="AC470" s="33"/>
      <c r="AD470" s="33"/>
      <c r="AE470" s="33"/>
      <c r="AF470" s="33"/>
      <c r="AG470" s="33"/>
      <c r="AH470" s="33"/>
      <c r="AI470" s="33"/>
      <c r="AJ470" s="33"/>
      <c r="AK470" s="33"/>
      <c r="AL470" s="33"/>
      <c r="AM470" s="33"/>
      <c r="AN470" s="33"/>
      <c r="AO470" s="33"/>
      <c r="AP470" s="33"/>
      <c r="AQ470" s="33"/>
      <c r="AR470" s="33"/>
      <c r="AS470" s="33"/>
      <c r="AT470" s="33"/>
      <c r="AU470" s="33"/>
      <c r="AV470" s="33"/>
      <c r="AW470" s="33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  <c r="BU470" s="33"/>
      <c r="BV470" s="33"/>
      <c r="BW470" s="33"/>
      <c r="BX470" s="33"/>
      <c r="BY470" s="33"/>
      <c r="BZ470" s="33"/>
      <c r="CA470" s="33"/>
      <c r="CB470" s="33"/>
      <c r="CC470" s="33"/>
      <c r="CD470" s="33"/>
      <c r="CE470" s="33"/>
      <c r="CF470" s="33"/>
      <c r="CG470" s="33"/>
      <c r="CH470" s="33"/>
      <c r="CI470" s="33"/>
      <c r="CJ470" s="33"/>
      <c r="CK470" s="33"/>
      <c r="CL470" s="33"/>
      <c r="CM470" s="33"/>
      <c r="CN470" s="33"/>
      <c r="CO470" s="33"/>
      <c r="CP470" s="33"/>
      <c r="CQ470" s="33"/>
      <c r="CR470" s="33"/>
      <c r="CS470" s="33"/>
      <c r="CT470" s="33"/>
      <c r="CU470" s="33"/>
      <c r="CV470" s="33"/>
      <c r="CW470" s="33"/>
      <c r="CX470" s="33"/>
      <c r="CY470" s="33"/>
      <c r="CZ470" s="33"/>
      <c r="DA470" s="33"/>
      <c r="DB470" s="33"/>
      <c r="DC470" s="33"/>
      <c r="DD470" s="33"/>
      <c r="DE470" s="33"/>
      <c r="DF470" s="33"/>
      <c r="DG470" s="33"/>
      <c r="DH470" s="33"/>
      <c r="DI470" s="33"/>
      <c r="DJ470" s="33"/>
      <c r="DK470" s="33"/>
      <c r="DL470" s="33"/>
      <c r="DM470" s="33"/>
      <c r="DN470" s="33"/>
      <c r="DO470" s="33"/>
      <c r="DP470" s="33"/>
      <c r="DQ470" s="33"/>
      <c r="DR470" s="33"/>
      <c r="DS470" s="33"/>
      <c r="DT470" s="33"/>
      <c r="DU470" s="33"/>
      <c r="DV470" s="33"/>
      <c r="DW470" s="33"/>
      <c r="DX470" s="33"/>
      <c r="DY470" s="33"/>
      <c r="DZ470" s="33"/>
      <c r="EA470" s="33"/>
      <c r="EB470" s="33"/>
      <c r="EC470" s="33"/>
      <c r="ED470" s="33"/>
      <c r="EE470" s="33"/>
      <c r="EF470" s="33"/>
      <c r="EG470" s="33"/>
      <c r="EH470" s="33"/>
      <c r="EI470" s="33"/>
      <c r="EJ470" s="33"/>
      <c r="EK470" s="33"/>
      <c r="EL470" s="33"/>
      <c r="EM470" s="33"/>
      <c r="EN470" s="33"/>
      <c r="EO470" s="33"/>
      <c r="EP470" s="33"/>
      <c r="EQ470" s="33"/>
      <c r="ER470" s="33"/>
      <c r="ES470" s="33"/>
    </row>
    <row r="471">
      <c r="A471" s="33"/>
      <c r="B471" s="33"/>
      <c r="C471" s="33"/>
      <c r="D471" s="33"/>
      <c r="E471" s="33"/>
      <c r="F471" s="33"/>
      <c r="G471" s="85"/>
      <c r="H471" s="85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3"/>
      <c r="AC471" s="33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3"/>
      <c r="AP471" s="33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3"/>
      <c r="CC471" s="33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3"/>
      <c r="CP471" s="33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3"/>
      <c r="DC471" s="33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3"/>
      <c r="DP471" s="33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3"/>
      <c r="EC471" s="33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3"/>
      <c r="EP471" s="33"/>
      <c r="EQ471" s="33"/>
      <c r="ER471" s="33"/>
      <c r="ES471" s="33"/>
    </row>
    <row r="472">
      <c r="A472" s="33"/>
      <c r="B472" s="33"/>
      <c r="C472" s="33"/>
      <c r="D472" s="33"/>
      <c r="E472" s="33"/>
      <c r="F472" s="33"/>
      <c r="G472" s="85"/>
      <c r="H472" s="85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33"/>
      <c r="Y472" s="33"/>
      <c r="Z472" s="33"/>
      <c r="AA472" s="33"/>
      <c r="AB472" s="33"/>
      <c r="AC472" s="33"/>
      <c r="AD472" s="33"/>
      <c r="AE472" s="33"/>
      <c r="AF472" s="33"/>
      <c r="AG472" s="33"/>
      <c r="AH472" s="33"/>
      <c r="AI472" s="33"/>
      <c r="AJ472" s="33"/>
      <c r="AK472" s="33"/>
      <c r="AL472" s="33"/>
      <c r="AM472" s="33"/>
      <c r="AN472" s="33"/>
      <c r="AO472" s="33"/>
      <c r="AP472" s="33"/>
      <c r="AQ472" s="33"/>
      <c r="AR472" s="33"/>
      <c r="AS472" s="33"/>
      <c r="AT472" s="33"/>
      <c r="AU472" s="33"/>
      <c r="AV472" s="33"/>
      <c r="AW472" s="33"/>
      <c r="AX472" s="33"/>
      <c r="AY472" s="33"/>
      <c r="AZ472" s="33"/>
      <c r="BA472" s="33"/>
      <c r="BB472" s="33"/>
      <c r="BC472" s="33"/>
      <c r="BD472" s="33"/>
      <c r="BE472" s="33"/>
      <c r="BF472" s="33"/>
      <c r="BG472" s="33"/>
      <c r="BH472" s="33"/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  <c r="BU472" s="33"/>
      <c r="BV472" s="33"/>
      <c r="BW472" s="33"/>
      <c r="BX472" s="33"/>
      <c r="BY472" s="33"/>
      <c r="BZ472" s="33"/>
      <c r="CA472" s="33"/>
      <c r="CB472" s="33"/>
      <c r="CC472" s="33"/>
      <c r="CD472" s="33"/>
      <c r="CE472" s="33"/>
      <c r="CF472" s="33"/>
      <c r="CG472" s="33"/>
      <c r="CH472" s="33"/>
      <c r="CI472" s="33"/>
      <c r="CJ472" s="33"/>
      <c r="CK472" s="33"/>
      <c r="CL472" s="33"/>
      <c r="CM472" s="33"/>
      <c r="CN472" s="33"/>
      <c r="CO472" s="33"/>
      <c r="CP472" s="33"/>
      <c r="CQ472" s="33"/>
      <c r="CR472" s="33"/>
      <c r="CS472" s="33"/>
      <c r="CT472" s="33"/>
      <c r="CU472" s="33"/>
      <c r="CV472" s="33"/>
      <c r="CW472" s="33"/>
      <c r="CX472" s="33"/>
      <c r="CY472" s="33"/>
      <c r="CZ472" s="33"/>
      <c r="DA472" s="33"/>
      <c r="DB472" s="33"/>
      <c r="DC472" s="33"/>
      <c r="DD472" s="33"/>
      <c r="DE472" s="33"/>
      <c r="DF472" s="33"/>
      <c r="DG472" s="33"/>
      <c r="DH472" s="33"/>
      <c r="DI472" s="33"/>
      <c r="DJ472" s="33"/>
      <c r="DK472" s="33"/>
      <c r="DL472" s="33"/>
      <c r="DM472" s="33"/>
      <c r="DN472" s="33"/>
      <c r="DO472" s="33"/>
      <c r="DP472" s="33"/>
      <c r="DQ472" s="33"/>
      <c r="DR472" s="33"/>
      <c r="DS472" s="33"/>
      <c r="DT472" s="33"/>
      <c r="DU472" s="33"/>
      <c r="DV472" s="33"/>
      <c r="DW472" s="33"/>
      <c r="DX472" s="33"/>
      <c r="DY472" s="33"/>
      <c r="DZ472" s="33"/>
      <c r="EA472" s="33"/>
      <c r="EB472" s="33"/>
      <c r="EC472" s="33"/>
      <c r="ED472" s="33"/>
      <c r="EE472" s="33"/>
      <c r="EF472" s="33"/>
      <c r="EG472" s="33"/>
      <c r="EH472" s="33"/>
      <c r="EI472" s="33"/>
      <c r="EJ472" s="33"/>
      <c r="EK472" s="33"/>
      <c r="EL472" s="33"/>
      <c r="EM472" s="33"/>
      <c r="EN472" s="33"/>
      <c r="EO472" s="33"/>
      <c r="EP472" s="33"/>
      <c r="EQ472" s="33"/>
      <c r="ER472" s="33"/>
      <c r="ES472" s="33"/>
    </row>
    <row r="473">
      <c r="A473" s="33"/>
      <c r="B473" s="33"/>
      <c r="C473" s="33"/>
      <c r="D473" s="33"/>
      <c r="E473" s="33"/>
      <c r="F473" s="33"/>
      <c r="G473" s="85"/>
      <c r="H473" s="85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3"/>
      <c r="AC473" s="33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3"/>
      <c r="AP473" s="33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3"/>
      <c r="BC473" s="33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3"/>
      <c r="CC473" s="33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3"/>
      <c r="CP473" s="33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3"/>
      <c r="DC473" s="33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3"/>
      <c r="DP473" s="33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3"/>
      <c r="EC473" s="33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3"/>
      <c r="EP473" s="33"/>
      <c r="EQ473" s="33"/>
      <c r="ER473" s="33"/>
      <c r="ES473" s="33"/>
    </row>
    <row r="474">
      <c r="A474" s="33"/>
      <c r="B474" s="33"/>
      <c r="C474" s="33"/>
      <c r="D474" s="33"/>
      <c r="E474" s="33"/>
      <c r="F474" s="33"/>
      <c r="G474" s="85"/>
      <c r="H474" s="85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33"/>
      <c r="Y474" s="33"/>
      <c r="Z474" s="33"/>
      <c r="AA474" s="33"/>
      <c r="AB474" s="33"/>
      <c r="AC474" s="33"/>
      <c r="AD474" s="33"/>
      <c r="AE474" s="33"/>
      <c r="AF474" s="33"/>
      <c r="AG474" s="33"/>
      <c r="AH474" s="33"/>
      <c r="AI474" s="33"/>
      <c r="AJ474" s="33"/>
      <c r="AK474" s="33"/>
      <c r="AL474" s="33"/>
      <c r="AM474" s="33"/>
      <c r="AN474" s="33"/>
      <c r="AO474" s="33"/>
      <c r="AP474" s="33"/>
      <c r="AQ474" s="33"/>
      <c r="AR474" s="33"/>
      <c r="AS474" s="33"/>
      <c r="AT474" s="33"/>
      <c r="AU474" s="33"/>
      <c r="AV474" s="33"/>
      <c r="AW474" s="33"/>
      <c r="AX474" s="33"/>
      <c r="AY474" s="33"/>
      <c r="AZ474" s="33"/>
      <c r="BA474" s="33"/>
      <c r="BB474" s="33"/>
      <c r="BC474" s="33"/>
      <c r="BD474" s="33"/>
      <c r="BE474" s="33"/>
      <c r="BF474" s="33"/>
      <c r="BG474" s="33"/>
      <c r="BH474" s="33"/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  <c r="BU474" s="33"/>
      <c r="BV474" s="33"/>
      <c r="BW474" s="33"/>
      <c r="BX474" s="33"/>
      <c r="BY474" s="33"/>
      <c r="BZ474" s="33"/>
      <c r="CA474" s="33"/>
      <c r="CB474" s="33"/>
      <c r="CC474" s="33"/>
      <c r="CD474" s="33"/>
      <c r="CE474" s="33"/>
      <c r="CF474" s="33"/>
      <c r="CG474" s="33"/>
      <c r="CH474" s="33"/>
      <c r="CI474" s="33"/>
      <c r="CJ474" s="33"/>
      <c r="CK474" s="33"/>
      <c r="CL474" s="33"/>
      <c r="CM474" s="33"/>
      <c r="CN474" s="33"/>
      <c r="CO474" s="33"/>
      <c r="CP474" s="33"/>
      <c r="CQ474" s="33"/>
      <c r="CR474" s="33"/>
      <c r="CS474" s="33"/>
      <c r="CT474" s="33"/>
      <c r="CU474" s="33"/>
      <c r="CV474" s="33"/>
      <c r="CW474" s="33"/>
      <c r="CX474" s="33"/>
      <c r="CY474" s="33"/>
      <c r="CZ474" s="33"/>
      <c r="DA474" s="33"/>
      <c r="DB474" s="33"/>
      <c r="DC474" s="33"/>
      <c r="DD474" s="33"/>
      <c r="DE474" s="33"/>
      <c r="DF474" s="33"/>
      <c r="DG474" s="33"/>
      <c r="DH474" s="33"/>
      <c r="DI474" s="33"/>
      <c r="DJ474" s="33"/>
      <c r="DK474" s="33"/>
      <c r="DL474" s="33"/>
      <c r="DM474" s="33"/>
      <c r="DN474" s="33"/>
      <c r="DO474" s="33"/>
      <c r="DP474" s="33"/>
      <c r="DQ474" s="33"/>
      <c r="DR474" s="33"/>
      <c r="DS474" s="33"/>
      <c r="DT474" s="33"/>
      <c r="DU474" s="33"/>
      <c r="DV474" s="33"/>
      <c r="DW474" s="33"/>
      <c r="DX474" s="33"/>
      <c r="DY474" s="33"/>
      <c r="DZ474" s="33"/>
      <c r="EA474" s="33"/>
      <c r="EB474" s="33"/>
      <c r="EC474" s="33"/>
      <c r="ED474" s="33"/>
      <c r="EE474" s="33"/>
      <c r="EF474" s="33"/>
      <c r="EG474" s="33"/>
      <c r="EH474" s="33"/>
      <c r="EI474" s="33"/>
      <c r="EJ474" s="33"/>
      <c r="EK474" s="33"/>
      <c r="EL474" s="33"/>
      <c r="EM474" s="33"/>
      <c r="EN474" s="33"/>
      <c r="EO474" s="33"/>
      <c r="EP474" s="33"/>
      <c r="EQ474" s="33"/>
      <c r="ER474" s="33"/>
      <c r="ES474" s="33"/>
    </row>
    <row r="475">
      <c r="A475" s="33"/>
      <c r="B475" s="33"/>
      <c r="C475" s="33"/>
      <c r="D475" s="33"/>
      <c r="E475" s="33"/>
      <c r="F475" s="33"/>
      <c r="G475" s="85"/>
      <c r="H475" s="85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3"/>
      <c r="AC475" s="33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3"/>
      <c r="AP475" s="33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3"/>
      <c r="BC475" s="33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3"/>
      <c r="CC475" s="33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3"/>
      <c r="CP475" s="33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3"/>
      <c r="DC475" s="33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3"/>
      <c r="DP475" s="33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3"/>
      <c r="EC475" s="33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3"/>
      <c r="EP475" s="33"/>
      <c r="EQ475" s="33"/>
      <c r="ER475" s="33"/>
      <c r="ES475" s="33"/>
    </row>
    <row r="476">
      <c r="A476" s="33"/>
      <c r="B476" s="33"/>
      <c r="C476" s="33"/>
      <c r="D476" s="33"/>
      <c r="E476" s="33"/>
      <c r="F476" s="33"/>
      <c r="G476" s="85"/>
      <c r="H476" s="85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33"/>
      <c r="Y476" s="33"/>
      <c r="Z476" s="33"/>
      <c r="AA476" s="33"/>
      <c r="AB476" s="33"/>
      <c r="AC476" s="33"/>
      <c r="AD476" s="33"/>
      <c r="AE476" s="33"/>
      <c r="AF476" s="33"/>
      <c r="AG476" s="33"/>
      <c r="AH476" s="33"/>
      <c r="AI476" s="33"/>
      <c r="AJ476" s="33"/>
      <c r="AK476" s="33"/>
      <c r="AL476" s="33"/>
      <c r="AM476" s="33"/>
      <c r="AN476" s="33"/>
      <c r="AO476" s="33"/>
      <c r="AP476" s="33"/>
      <c r="AQ476" s="33"/>
      <c r="AR476" s="33"/>
      <c r="AS476" s="33"/>
      <c r="AT476" s="33"/>
      <c r="AU476" s="33"/>
      <c r="AV476" s="33"/>
      <c r="AW476" s="33"/>
      <c r="AX476" s="33"/>
      <c r="AY476" s="33"/>
      <c r="AZ476" s="33"/>
      <c r="BA476" s="33"/>
      <c r="BB476" s="33"/>
      <c r="BC476" s="33"/>
      <c r="BD476" s="33"/>
      <c r="BE476" s="33"/>
      <c r="BF476" s="33"/>
      <c r="BG476" s="33"/>
      <c r="BH476" s="33"/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  <c r="BU476" s="33"/>
      <c r="BV476" s="33"/>
      <c r="BW476" s="33"/>
      <c r="BX476" s="33"/>
      <c r="BY476" s="33"/>
      <c r="BZ476" s="33"/>
      <c r="CA476" s="33"/>
      <c r="CB476" s="33"/>
      <c r="CC476" s="33"/>
      <c r="CD476" s="33"/>
      <c r="CE476" s="33"/>
      <c r="CF476" s="33"/>
      <c r="CG476" s="33"/>
      <c r="CH476" s="33"/>
      <c r="CI476" s="33"/>
      <c r="CJ476" s="33"/>
      <c r="CK476" s="33"/>
      <c r="CL476" s="33"/>
      <c r="CM476" s="33"/>
      <c r="CN476" s="33"/>
      <c r="CO476" s="33"/>
      <c r="CP476" s="33"/>
      <c r="CQ476" s="33"/>
      <c r="CR476" s="33"/>
      <c r="CS476" s="33"/>
      <c r="CT476" s="33"/>
      <c r="CU476" s="33"/>
      <c r="CV476" s="33"/>
      <c r="CW476" s="33"/>
      <c r="CX476" s="33"/>
      <c r="CY476" s="33"/>
      <c r="CZ476" s="33"/>
      <c r="DA476" s="33"/>
      <c r="DB476" s="33"/>
      <c r="DC476" s="33"/>
      <c r="DD476" s="33"/>
      <c r="DE476" s="33"/>
      <c r="DF476" s="33"/>
      <c r="DG476" s="33"/>
      <c r="DH476" s="33"/>
      <c r="DI476" s="33"/>
      <c r="DJ476" s="33"/>
      <c r="DK476" s="33"/>
      <c r="DL476" s="33"/>
      <c r="DM476" s="33"/>
      <c r="DN476" s="33"/>
      <c r="DO476" s="33"/>
      <c r="DP476" s="33"/>
      <c r="DQ476" s="33"/>
      <c r="DR476" s="33"/>
      <c r="DS476" s="33"/>
      <c r="DT476" s="33"/>
      <c r="DU476" s="33"/>
      <c r="DV476" s="33"/>
      <c r="DW476" s="33"/>
      <c r="DX476" s="33"/>
      <c r="DY476" s="33"/>
      <c r="DZ476" s="33"/>
      <c r="EA476" s="33"/>
      <c r="EB476" s="33"/>
      <c r="EC476" s="33"/>
      <c r="ED476" s="33"/>
      <c r="EE476" s="33"/>
      <c r="EF476" s="33"/>
      <c r="EG476" s="33"/>
      <c r="EH476" s="33"/>
      <c r="EI476" s="33"/>
      <c r="EJ476" s="33"/>
      <c r="EK476" s="33"/>
      <c r="EL476" s="33"/>
      <c r="EM476" s="33"/>
      <c r="EN476" s="33"/>
      <c r="EO476" s="33"/>
      <c r="EP476" s="33"/>
      <c r="EQ476" s="33"/>
      <c r="ER476" s="33"/>
      <c r="ES476" s="33"/>
    </row>
    <row r="477">
      <c r="A477" s="33"/>
      <c r="B477" s="33"/>
      <c r="C477" s="33"/>
      <c r="D477" s="33"/>
      <c r="E477" s="33"/>
      <c r="F477" s="33"/>
      <c r="G477" s="85"/>
      <c r="H477" s="85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3"/>
      <c r="AC477" s="33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3"/>
      <c r="AP477" s="33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3"/>
      <c r="BC477" s="33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3"/>
      <c r="CC477" s="33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3"/>
      <c r="CP477" s="33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3"/>
      <c r="DC477" s="33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3"/>
      <c r="DP477" s="33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3"/>
      <c r="EC477" s="33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3"/>
      <c r="EP477" s="33"/>
      <c r="EQ477" s="33"/>
      <c r="ER477" s="33"/>
      <c r="ES477" s="33"/>
    </row>
    <row r="478">
      <c r="A478" s="33"/>
      <c r="B478" s="33"/>
      <c r="C478" s="33"/>
      <c r="D478" s="33"/>
      <c r="E478" s="33"/>
      <c r="F478" s="33"/>
      <c r="G478" s="85"/>
      <c r="H478" s="85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33"/>
      <c r="Y478" s="33"/>
      <c r="Z478" s="33"/>
      <c r="AA478" s="33"/>
      <c r="AB478" s="33"/>
      <c r="AC478" s="33"/>
      <c r="AD478" s="33"/>
      <c r="AE478" s="33"/>
      <c r="AF478" s="33"/>
      <c r="AG478" s="33"/>
      <c r="AH478" s="33"/>
      <c r="AI478" s="33"/>
      <c r="AJ478" s="33"/>
      <c r="AK478" s="33"/>
      <c r="AL478" s="33"/>
      <c r="AM478" s="33"/>
      <c r="AN478" s="33"/>
      <c r="AO478" s="33"/>
      <c r="AP478" s="33"/>
      <c r="AQ478" s="33"/>
      <c r="AR478" s="33"/>
      <c r="AS478" s="33"/>
      <c r="AT478" s="33"/>
      <c r="AU478" s="33"/>
      <c r="AV478" s="33"/>
      <c r="AW478" s="33"/>
      <c r="AX478" s="33"/>
      <c r="AY478" s="33"/>
      <c r="AZ478" s="33"/>
      <c r="BA478" s="33"/>
      <c r="BB478" s="33"/>
      <c r="BC478" s="33"/>
      <c r="BD478" s="33"/>
      <c r="BE478" s="33"/>
      <c r="BF478" s="33"/>
      <c r="BG478" s="33"/>
      <c r="BH478" s="33"/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  <c r="BU478" s="33"/>
      <c r="BV478" s="33"/>
      <c r="BW478" s="33"/>
      <c r="BX478" s="33"/>
      <c r="BY478" s="33"/>
      <c r="BZ478" s="33"/>
      <c r="CA478" s="33"/>
      <c r="CB478" s="33"/>
      <c r="CC478" s="33"/>
      <c r="CD478" s="33"/>
      <c r="CE478" s="33"/>
      <c r="CF478" s="33"/>
      <c r="CG478" s="33"/>
      <c r="CH478" s="33"/>
      <c r="CI478" s="33"/>
      <c r="CJ478" s="33"/>
      <c r="CK478" s="33"/>
      <c r="CL478" s="33"/>
      <c r="CM478" s="33"/>
      <c r="CN478" s="33"/>
      <c r="CO478" s="33"/>
      <c r="CP478" s="33"/>
      <c r="CQ478" s="33"/>
      <c r="CR478" s="33"/>
      <c r="CS478" s="33"/>
      <c r="CT478" s="33"/>
      <c r="CU478" s="33"/>
      <c r="CV478" s="33"/>
      <c r="CW478" s="33"/>
      <c r="CX478" s="33"/>
      <c r="CY478" s="33"/>
      <c r="CZ478" s="33"/>
      <c r="DA478" s="33"/>
      <c r="DB478" s="33"/>
      <c r="DC478" s="33"/>
      <c r="DD478" s="33"/>
      <c r="DE478" s="33"/>
      <c r="DF478" s="33"/>
      <c r="DG478" s="33"/>
      <c r="DH478" s="33"/>
      <c r="DI478" s="33"/>
      <c r="DJ478" s="33"/>
      <c r="DK478" s="33"/>
      <c r="DL478" s="33"/>
      <c r="DM478" s="33"/>
      <c r="DN478" s="33"/>
      <c r="DO478" s="33"/>
      <c r="DP478" s="33"/>
      <c r="DQ478" s="33"/>
      <c r="DR478" s="33"/>
      <c r="DS478" s="33"/>
      <c r="DT478" s="33"/>
      <c r="DU478" s="33"/>
      <c r="DV478" s="33"/>
      <c r="DW478" s="33"/>
      <c r="DX478" s="33"/>
      <c r="DY478" s="33"/>
      <c r="DZ478" s="33"/>
      <c r="EA478" s="33"/>
      <c r="EB478" s="33"/>
      <c r="EC478" s="33"/>
      <c r="ED478" s="33"/>
      <c r="EE478" s="33"/>
      <c r="EF478" s="33"/>
      <c r="EG478" s="33"/>
      <c r="EH478" s="33"/>
      <c r="EI478" s="33"/>
      <c r="EJ478" s="33"/>
      <c r="EK478" s="33"/>
      <c r="EL478" s="33"/>
      <c r="EM478" s="33"/>
      <c r="EN478" s="33"/>
      <c r="EO478" s="33"/>
      <c r="EP478" s="33"/>
      <c r="EQ478" s="33"/>
      <c r="ER478" s="33"/>
      <c r="ES478" s="33"/>
    </row>
    <row r="479">
      <c r="A479" s="33"/>
      <c r="B479" s="33"/>
      <c r="C479" s="33"/>
      <c r="D479" s="33"/>
      <c r="E479" s="33"/>
      <c r="F479" s="33"/>
      <c r="G479" s="85"/>
      <c r="H479" s="85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3"/>
      <c r="AC479" s="33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3"/>
      <c r="AP479" s="33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3"/>
      <c r="BC479" s="33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3"/>
      <c r="CC479" s="33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3"/>
      <c r="CP479" s="33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3"/>
      <c r="DC479" s="33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3"/>
      <c r="DP479" s="33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3"/>
      <c r="EC479" s="33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3"/>
      <c r="EP479" s="33"/>
      <c r="EQ479" s="33"/>
      <c r="ER479" s="33"/>
      <c r="ES479" s="33"/>
    </row>
    <row r="480">
      <c r="A480" s="33"/>
      <c r="B480" s="33"/>
      <c r="C480" s="33"/>
      <c r="D480" s="33"/>
      <c r="E480" s="33"/>
      <c r="F480" s="33"/>
      <c r="G480" s="85"/>
      <c r="H480" s="85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33"/>
      <c r="Y480" s="33"/>
      <c r="Z480" s="33"/>
      <c r="AA480" s="33"/>
      <c r="AB480" s="33"/>
      <c r="AC480" s="33"/>
      <c r="AD480" s="33"/>
      <c r="AE480" s="33"/>
      <c r="AF480" s="33"/>
      <c r="AG480" s="33"/>
      <c r="AH480" s="33"/>
      <c r="AI480" s="33"/>
      <c r="AJ480" s="33"/>
      <c r="AK480" s="33"/>
      <c r="AL480" s="33"/>
      <c r="AM480" s="33"/>
      <c r="AN480" s="33"/>
      <c r="AO480" s="33"/>
      <c r="AP480" s="33"/>
      <c r="AQ480" s="33"/>
      <c r="AR480" s="33"/>
      <c r="AS480" s="33"/>
      <c r="AT480" s="33"/>
      <c r="AU480" s="33"/>
      <c r="AV480" s="33"/>
      <c r="AW480" s="33"/>
      <c r="AX480" s="33"/>
      <c r="AY480" s="33"/>
      <c r="AZ480" s="33"/>
      <c r="BA480" s="33"/>
      <c r="BB480" s="33"/>
      <c r="BC480" s="33"/>
      <c r="BD480" s="33"/>
      <c r="BE480" s="33"/>
      <c r="BF480" s="33"/>
      <c r="BG480" s="33"/>
      <c r="BH480" s="33"/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  <c r="BU480" s="33"/>
      <c r="BV480" s="33"/>
      <c r="BW480" s="33"/>
      <c r="BX480" s="33"/>
      <c r="BY480" s="33"/>
      <c r="BZ480" s="33"/>
      <c r="CA480" s="33"/>
      <c r="CB480" s="33"/>
      <c r="CC480" s="33"/>
      <c r="CD480" s="33"/>
      <c r="CE480" s="33"/>
      <c r="CF480" s="33"/>
      <c r="CG480" s="33"/>
      <c r="CH480" s="33"/>
      <c r="CI480" s="33"/>
      <c r="CJ480" s="33"/>
      <c r="CK480" s="33"/>
      <c r="CL480" s="33"/>
      <c r="CM480" s="33"/>
      <c r="CN480" s="33"/>
      <c r="CO480" s="33"/>
      <c r="CP480" s="33"/>
      <c r="CQ480" s="33"/>
      <c r="CR480" s="33"/>
      <c r="CS480" s="33"/>
      <c r="CT480" s="33"/>
      <c r="CU480" s="33"/>
      <c r="CV480" s="33"/>
      <c r="CW480" s="33"/>
      <c r="CX480" s="33"/>
      <c r="CY480" s="33"/>
      <c r="CZ480" s="33"/>
      <c r="DA480" s="33"/>
      <c r="DB480" s="33"/>
      <c r="DC480" s="33"/>
      <c r="DD480" s="33"/>
      <c r="DE480" s="33"/>
      <c r="DF480" s="33"/>
      <c r="DG480" s="33"/>
      <c r="DH480" s="33"/>
      <c r="DI480" s="33"/>
      <c r="DJ480" s="33"/>
      <c r="DK480" s="33"/>
      <c r="DL480" s="33"/>
      <c r="DM480" s="33"/>
      <c r="DN480" s="33"/>
      <c r="DO480" s="33"/>
      <c r="DP480" s="33"/>
      <c r="DQ480" s="33"/>
      <c r="DR480" s="33"/>
      <c r="DS480" s="33"/>
      <c r="DT480" s="33"/>
      <c r="DU480" s="33"/>
      <c r="DV480" s="33"/>
      <c r="DW480" s="33"/>
      <c r="DX480" s="33"/>
      <c r="DY480" s="33"/>
      <c r="DZ480" s="33"/>
      <c r="EA480" s="33"/>
      <c r="EB480" s="33"/>
      <c r="EC480" s="33"/>
      <c r="ED480" s="33"/>
      <c r="EE480" s="33"/>
      <c r="EF480" s="33"/>
      <c r="EG480" s="33"/>
      <c r="EH480" s="33"/>
      <c r="EI480" s="33"/>
      <c r="EJ480" s="33"/>
      <c r="EK480" s="33"/>
      <c r="EL480" s="33"/>
      <c r="EM480" s="33"/>
      <c r="EN480" s="33"/>
      <c r="EO480" s="33"/>
      <c r="EP480" s="33"/>
      <c r="EQ480" s="33"/>
      <c r="ER480" s="33"/>
      <c r="ES480" s="33"/>
    </row>
    <row r="481">
      <c r="A481" s="33"/>
      <c r="B481" s="33"/>
      <c r="C481" s="33"/>
      <c r="D481" s="33"/>
      <c r="E481" s="33"/>
      <c r="F481" s="33"/>
      <c r="G481" s="85"/>
      <c r="H481" s="85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3"/>
      <c r="AC481" s="33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3"/>
      <c r="AP481" s="33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3"/>
      <c r="BC481" s="33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3"/>
      <c r="CC481" s="33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3"/>
      <c r="CP481" s="33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3"/>
      <c r="DC481" s="33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3"/>
      <c r="DP481" s="33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3"/>
      <c r="EC481" s="33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3"/>
      <c r="EP481" s="33"/>
      <c r="EQ481" s="33"/>
      <c r="ER481" s="33"/>
      <c r="ES481" s="33"/>
    </row>
    <row r="482">
      <c r="A482" s="33"/>
      <c r="B482" s="33"/>
      <c r="C482" s="33"/>
      <c r="D482" s="33"/>
      <c r="E482" s="33"/>
      <c r="F482" s="33"/>
      <c r="G482" s="85"/>
      <c r="H482" s="85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33"/>
      <c r="Y482" s="33"/>
      <c r="Z482" s="33"/>
      <c r="AA482" s="33"/>
      <c r="AB482" s="33"/>
      <c r="AC482" s="33"/>
      <c r="AD482" s="33"/>
      <c r="AE482" s="33"/>
      <c r="AF482" s="33"/>
      <c r="AG482" s="33"/>
      <c r="AH482" s="33"/>
      <c r="AI482" s="33"/>
      <c r="AJ482" s="33"/>
      <c r="AK482" s="33"/>
      <c r="AL482" s="33"/>
      <c r="AM482" s="33"/>
      <c r="AN482" s="33"/>
      <c r="AO482" s="33"/>
      <c r="AP482" s="33"/>
      <c r="AQ482" s="33"/>
      <c r="AR482" s="33"/>
      <c r="AS482" s="33"/>
      <c r="AT482" s="33"/>
      <c r="AU482" s="33"/>
      <c r="AV482" s="33"/>
      <c r="AW482" s="33"/>
      <c r="AX482" s="33"/>
      <c r="AY482" s="33"/>
      <c r="AZ482" s="33"/>
      <c r="BA482" s="33"/>
      <c r="BB482" s="33"/>
      <c r="BC482" s="33"/>
      <c r="BD482" s="33"/>
      <c r="BE482" s="33"/>
      <c r="BF482" s="33"/>
      <c r="BG482" s="33"/>
      <c r="BH482" s="33"/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  <c r="BU482" s="33"/>
      <c r="BV482" s="33"/>
      <c r="BW482" s="33"/>
      <c r="BX482" s="33"/>
      <c r="BY482" s="33"/>
      <c r="BZ482" s="33"/>
      <c r="CA482" s="33"/>
      <c r="CB482" s="33"/>
      <c r="CC482" s="33"/>
      <c r="CD482" s="33"/>
      <c r="CE482" s="33"/>
      <c r="CF482" s="33"/>
      <c r="CG482" s="33"/>
      <c r="CH482" s="33"/>
      <c r="CI482" s="33"/>
      <c r="CJ482" s="33"/>
      <c r="CK482" s="33"/>
      <c r="CL482" s="33"/>
      <c r="CM482" s="33"/>
      <c r="CN482" s="33"/>
      <c r="CO482" s="33"/>
      <c r="CP482" s="33"/>
      <c r="CQ482" s="33"/>
      <c r="CR482" s="33"/>
      <c r="CS482" s="33"/>
      <c r="CT482" s="33"/>
      <c r="CU482" s="33"/>
      <c r="CV482" s="33"/>
      <c r="CW482" s="33"/>
      <c r="CX482" s="33"/>
      <c r="CY482" s="33"/>
      <c r="CZ482" s="33"/>
      <c r="DA482" s="33"/>
      <c r="DB482" s="33"/>
      <c r="DC482" s="33"/>
      <c r="DD482" s="33"/>
      <c r="DE482" s="33"/>
      <c r="DF482" s="33"/>
      <c r="DG482" s="33"/>
      <c r="DH482" s="33"/>
      <c r="DI482" s="33"/>
      <c r="DJ482" s="33"/>
      <c r="DK482" s="33"/>
      <c r="DL482" s="33"/>
      <c r="DM482" s="33"/>
      <c r="DN482" s="33"/>
      <c r="DO482" s="33"/>
      <c r="DP482" s="33"/>
      <c r="DQ482" s="33"/>
      <c r="DR482" s="33"/>
      <c r="DS482" s="33"/>
      <c r="DT482" s="33"/>
      <c r="DU482" s="33"/>
      <c r="DV482" s="33"/>
      <c r="DW482" s="33"/>
      <c r="DX482" s="33"/>
      <c r="DY482" s="33"/>
      <c r="DZ482" s="33"/>
      <c r="EA482" s="33"/>
      <c r="EB482" s="33"/>
      <c r="EC482" s="33"/>
      <c r="ED482" s="33"/>
      <c r="EE482" s="33"/>
      <c r="EF482" s="33"/>
      <c r="EG482" s="33"/>
      <c r="EH482" s="33"/>
      <c r="EI482" s="33"/>
      <c r="EJ482" s="33"/>
      <c r="EK482" s="33"/>
      <c r="EL482" s="33"/>
      <c r="EM482" s="33"/>
      <c r="EN482" s="33"/>
      <c r="EO482" s="33"/>
      <c r="EP482" s="33"/>
      <c r="EQ482" s="33"/>
      <c r="ER482" s="33"/>
      <c r="ES482" s="33"/>
    </row>
    <row r="483">
      <c r="A483" s="33"/>
      <c r="B483" s="33"/>
      <c r="C483" s="33"/>
      <c r="D483" s="33"/>
      <c r="E483" s="33"/>
      <c r="F483" s="33"/>
      <c r="G483" s="85"/>
      <c r="H483" s="85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3"/>
      <c r="AC483" s="33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3"/>
      <c r="AP483" s="33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3"/>
      <c r="CC483" s="33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3"/>
      <c r="CP483" s="33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3"/>
      <c r="DC483" s="33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3"/>
      <c r="DP483" s="33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3"/>
      <c r="EC483" s="33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3"/>
      <c r="EP483" s="33"/>
      <c r="EQ483" s="33"/>
      <c r="ER483" s="33"/>
      <c r="ES483" s="33"/>
    </row>
    <row r="484">
      <c r="A484" s="33"/>
      <c r="B484" s="33"/>
      <c r="C484" s="33"/>
      <c r="D484" s="33"/>
      <c r="E484" s="33"/>
      <c r="F484" s="33"/>
      <c r="G484" s="85"/>
      <c r="H484" s="85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33"/>
      <c r="Y484" s="33"/>
      <c r="Z484" s="33"/>
      <c r="AA484" s="33"/>
      <c r="AB484" s="33"/>
      <c r="AC484" s="33"/>
      <c r="AD484" s="33"/>
      <c r="AE484" s="33"/>
      <c r="AF484" s="33"/>
      <c r="AG484" s="33"/>
      <c r="AH484" s="33"/>
      <c r="AI484" s="33"/>
      <c r="AJ484" s="33"/>
      <c r="AK484" s="33"/>
      <c r="AL484" s="33"/>
      <c r="AM484" s="33"/>
      <c r="AN484" s="33"/>
      <c r="AO484" s="33"/>
      <c r="AP484" s="33"/>
      <c r="AQ484" s="33"/>
      <c r="AR484" s="33"/>
      <c r="AS484" s="33"/>
      <c r="AT484" s="33"/>
      <c r="AU484" s="33"/>
      <c r="AV484" s="33"/>
      <c r="AW484" s="33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  <c r="BU484" s="33"/>
      <c r="BV484" s="33"/>
      <c r="BW484" s="33"/>
      <c r="BX484" s="33"/>
      <c r="BY484" s="33"/>
      <c r="BZ484" s="33"/>
      <c r="CA484" s="33"/>
      <c r="CB484" s="33"/>
      <c r="CC484" s="33"/>
      <c r="CD484" s="33"/>
      <c r="CE484" s="33"/>
      <c r="CF484" s="33"/>
      <c r="CG484" s="33"/>
      <c r="CH484" s="33"/>
      <c r="CI484" s="33"/>
      <c r="CJ484" s="33"/>
      <c r="CK484" s="33"/>
      <c r="CL484" s="33"/>
      <c r="CM484" s="33"/>
      <c r="CN484" s="33"/>
      <c r="CO484" s="33"/>
      <c r="CP484" s="33"/>
      <c r="CQ484" s="33"/>
      <c r="CR484" s="33"/>
      <c r="CS484" s="33"/>
      <c r="CT484" s="33"/>
      <c r="CU484" s="33"/>
      <c r="CV484" s="33"/>
      <c r="CW484" s="33"/>
      <c r="CX484" s="33"/>
      <c r="CY484" s="33"/>
      <c r="CZ484" s="33"/>
      <c r="DA484" s="33"/>
      <c r="DB484" s="33"/>
      <c r="DC484" s="33"/>
      <c r="DD484" s="33"/>
      <c r="DE484" s="33"/>
      <c r="DF484" s="33"/>
      <c r="DG484" s="33"/>
      <c r="DH484" s="33"/>
      <c r="DI484" s="33"/>
      <c r="DJ484" s="33"/>
      <c r="DK484" s="33"/>
      <c r="DL484" s="33"/>
      <c r="DM484" s="33"/>
      <c r="DN484" s="33"/>
      <c r="DO484" s="33"/>
      <c r="DP484" s="33"/>
      <c r="DQ484" s="33"/>
      <c r="DR484" s="33"/>
      <c r="DS484" s="33"/>
      <c r="DT484" s="33"/>
      <c r="DU484" s="33"/>
      <c r="DV484" s="33"/>
      <c r="DW484" s="33"/>
      <c r="DX484" s="33"/>
      <c r="DY484" s="33"/>
      <c r="DZ484" s="33"/>
      <c r="EA484" s="33"/>
      <c r="EB484" s="33"/>
      <c r="EC484" s="33"/>
      <c r="ED484" s="33"/>
      <c r="EE484" s="33"/>
      <c r="EF484" s="33"/>
      <c r="EG484" s="33"/>
      <c r="EH484" s="33"/>
      <c r="EI484" s="33"/>
      <c r="EJ484" s="33"/>
      <c r="EK484" s="33"/>
      <c r="EL484" s="33"/>
      <c r="EM484" s="33"/>
      <c r="EN484" s="33"/>
      <c r="EO484" s="33"/>
      <c r="EP484" s="33"/>
      <c r="EQ484" s="33"/>
      <c r="ER484" s="33"/>
      <c r="ES484" s="33"/>
    </row>
    <row r="485">
      <c r="A485" s="33"/>
      <c r="B485" s="33"/>
      <c r="C485" s="33"/>
      <c r="D485" s="33"/>
      <c r="E485" s="33"/>
      <c r="F485" s="33"/>
      <c r="G485" s="85"/>
      <c r="H485" s="85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3"/>
      <c r="AC485" s="33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3"/>
      <c r="AP485" s="33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3"/>
      <c r="CC485" s="33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3"/>
      <c r="CP485" s="33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3"/>
      <c r="DC485" s="33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3"/>
      <c r="DP485" s="33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3"/>
      <c r="EC485" s="33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3"/>
      <c r="EP485" s="33"/>
      <c r="EQ485" s="33"/>
      <c r="ER485" s="33"/>
      <c r="ES485" s="33"/>
    </row>
    <row r="486">
      <c r="A486" s="33"/>
      <c r="B486" s="33"/>
      <c r="C486" s="33"/>
      <c r="D486" s="33"/>
      <c r="E486" s="33"/>
      <c r="F486" s="33"/>
      <c r="G486" s="85"/>
      <c r="H486" s="85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33"/>
      <c r="Y486" s="33"/>
      <c r="Z486" s="33"/>
      <c r="AA486" s="33"/>
      <c r="AB486" s="33"/>
      <c r="AC486" s="33"/>
      <c r="AD486" s="33"/>
      <c r="AE486" s="33"/>
      <c r="AF486" s="33"/>
      <c r="AG486" s="33"/>
      <c r="AH486" s="33"/>
      <c r="AI486" s="33"/>
      <c r="AJ486" s="33"/>
      <c r="AK486" s="33"/>
      <c r="AL486" s="33"/>
      <c r="AM486" s="33"/>
      <c r="AN486" s="33"/>
      <c r="AO486" s="33"/>
      <c r="AP486" s="33"/>
      <c r="AQ486" s="33"/>
      <c r="AR486" s="33"/>
      <c r="AS486" s="33"/>
      <c r="AT486" s="33"/>
      <c r="AU486" s="33"/>
      <c r="AV486" s="33"/>
      <c r="AW486" s="33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  <c r="BU486" s="33"/>
      <c r="BV486" s="33"/>
      <c r="BW486" s="33"/>
      <c r="BX486" s="33"/>
      <c r="BY486" s="33"/>
      <c r="BZ486" s="33"/>
      <c r="CA486" s="33"/>
      <c r="CB486" s="33"/>
      <c r="CC486" s="33"/>
      <c r="CD486" s="33"/>
      <c r="CE486" s="33"/>
      <c r="CF486" s="33"/>
      <c r="CG486" s="33"/>
      <c r="CH486" s="33"/>
      <c r="CI486" s="33"/>
      <c r="CJ486" s="33"/>
      <c r="CK486" s="33"/>
      <c r="CL486" s="33"/>
      <c r="CM486" s="33"/>
      <c r="CN486" s="33"/>
      <c r="CO486" s="33"/>
      <c r="CP486" s="33"/>
      <c r="CQ486" s="33"/>
      <c r="CR486" s="33"/>
      <c r="CS486" s="33"/>
      <c r="CT486" s="33"/>
      <c r="CU486" s="33"/>
      <c r="CV486" s="33"/>
      <c r="CW486" s="33"/>
      <c r="CX486" s="33"/>
      <c r="CY486" s="33"/>
      <c r="CZ486" s="33"/>
      <c r="DA486" s="33"/>
      <c r="DB486" s="33"/>
      <c r="DC486" s="33"/>
      <c r="DD486" s="33"/>
      <c r="DE486" s="33"/>
      <c r="DF486" s="33"/>
      <c r="DG486" s="33"/>
      <c r="DH486" s="33"/>
      <c r="DI486" s="33"/>
      <c r="DJ486" s="33"/>
      <c r="DK486" s="33"/>
      <c r="DL486" s="33"/>
      <c r="DM486" s="33"/>
      <c r="DN486" s="33"/>
      <c r="DO486" s="33"/>
      <c r="DP486" s="33"/>
      <c r="DQ486" s="33"/>
      <c r="DR486" s="33"/>
      <c r="DS486" s="33"/>
      <c r="DT486" s="33"/>
      <c r="DU486" s="33"/>
      <c r="DV486" s="33"/>
      <c r="DW486" s="33"/>
      <c r="DX486" s="33"/>
      <c r="DY486" s="33"/>
      <c r="DZ486" s="33"/>
      <c r="EA486" s="33"/>
      <c r="EB486" s="33"/>
      <c r="EC486" s="33"/>
      <c r="ED486" s="33"/>
      <c r="EE486" s="33"/>
      <c r="EF486" s="33"/>
      <c r="EG486" s="33"/>
      <c r="EH486" s="33"/>
      <c r="EI486" s="33"/>
      <c r="EJ486" s="33"/>
      <c r="EK486" s="33"/>
      <c r="EL486" s="33"/>
      <c r="EM486" s="33"/>
      <c r="EN486" s="33"/>
      <c r="EO486" s="33"/>
      <c r="EP486" s="33"/>
      <c r="EQ486" s="33"/>
      <c r="ER486" s="33"/>
      <c r="ES486" s="33"/>
    </row>
    <row r="487">
      <c r="A487" s="33"/>
      <c r="B487" s="33"/>
      <c r="C487" s="33"/>
      <c r="D487" s="33"/>
      <c r="E487" s="33"/>
      <c r="F487" s="33"/>
      <c r="G487" s="85"/>
      <c r="H487" s="85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3"/>
      <c r="AC487" s="33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3"/>
      <c r="AP487" s="33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3"/>
      <c r="CC487" s="33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3"/>
      <c r="CP487" s="33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3"/>
      <c r="DC487" s="33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3"/>
      <c r="DP487" s="33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3"/>
      <c r="EC487" s="33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3"/>
      <c r="EP487" s="33"/>
      <c r="EQ487" s="33"/>
      <c r="ER487" s="33"/>
      <c r="ES487" s="33"/>
    </row>
    <row r="488">
      <c r="A488" s="33"/>
      <c r="B488" s="33"/>
      <c r="C488" s="33"/>
      <c r="D488" s="33"/>
      <c r="E488" s="33"/>
      <c r="F488" s="33"/>
      <c r="G488" s="85"/>
      <c r="H488" s="85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33"/>
      <c r="Y488" s="33"/>
      <c r="Z488" s="33"/>
      <c r="AA488" s="33"/>
      <c r="AB488" s="33"/>
      <c r="AC488" s="33"/>
      <c r="AD488" s="33"/>
      <c r="AE488" s="33"/>
      <c r="AF488" s="33"/>
      <c r="AG488" s="33"/>
      <c r="AH488" s="33"/>
      <c r="AI488" s="33"/>
      <c r="AJ488" s="33"/>
      <c r="AK488" s="33"/>
      <c r="AL488" s="33"/>
      <c r="AM488" s="33"/>
      <c r="AN488" s="33"/>
      <c r="AO488" s="33"/>
      <c r="AP488" s="33"/>
      <c r="AQ488" s="33"/>
      <c r="AR488" s="33"/>
      <c r="AS488" s="33"/>
      <c r="AT488" s="33"/>
      <c r="AU488" s="33"/>
      <c r="AV488" s="33"/>
      <c r="AW488" s="33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  <c r="BU488" s="33"/>
      <c r="BV488" s="33"/>
      <c r="BW488" s="33"/>
      <c r="BX488" s="33"/>
      <c r="BY488" s="33"/>
      <c r="BZ488" s="33"/>
      <c r="CA488" s="33"/>
      <c r="CB488" s="33"/>
      <c r="CC488" s="33"/>
      <c r="CD488" s="33"/>
      <c r="CE488" s="33"/>
      <c r="CF488" s="33"/>
      <c r="CG488" s="33"/>
      <c r="CH488" s="33"/>
      <c r="CI488" s="33"/>
      <c r="CJ488" s="33"/>
      <c r="CK488" s="33"/>
      <c r="CL488" s="33"/>
      <c r="CM488" s="33"/>
      <c r="CN488" s="33"/>
      <c r="CO488" s="33"/>
      <c r="CP488" s="33"/>
      <c r="CQ488" s="33"/>
      <c r="CR488" s="33"/>
      <c r="CS488" s="33"/>
      <c r="CT488" s="33"/>
      <c r="CU488" s="33"/>
      <c r="CV488" s="33"/>
      <c r="CW488" s="33"/>
      <c r="CX488" s="33"/>
      <c r="CY488" s="33"/>
      <c r="CZ488" s="33"/>
      <c r="DA488" s="33"/>
      <c r="DB488" s="33"/>
      <c r="DC488" s="33"/>
      <c r="DD488" s="33"/>
      <c r="DE488" s="33"/>
      <c r="DF488" s="33"/>
      <c r="DG488" s="33"/>
      <c r="DH488" s="33"/>
      <c r="DI488" s="33"/>
      <c r="DJ488" s="33"/>
      <c r="DK488" s="33"/>
      <c r="DL488" s="33"/>
      <c r="DM488" s="33"/>
      <c r="DN488" s="33"/>
      <c r="DO488" s="33"/>
      <c r="DP488" s="33"/>
      <c r="DQ488" s="33"/>
      <c r="DR488" s="33"/>
      <c r="DS488" s="33"/>
      <c r="DT488" s="33"/>
      <c r="DU488" s="33"/>
      <c r="DV488" s="33"/>
      <c r="DW488" s="33"/>
      <c r="DX488" s="33"/>
      <c r="DY488" s="33"/>
      <c r="DZ488" s="33"/>
      <c r="EA488" s="33"/>
      <c r="EB488" s="33"/>
      <c r="EC488" s="33"/>
      <c r="ED488" s="33"/>
      <c r="EE488" s="33"/>
      <c r="EF488" s="33"/>
      <c r="EG488" s="33"/>
      <c r="EH488" s="33"/>
      <c r="EI488" s="33"/>
      <c r="EJ488" s="33"/>
      <c r="EK488" s="33"/>
      <c r="EL488" s="33"/>
      <c r="EM488" s="33"/>
      <c r="EN488" s="33"/>
      <c r="EO488" s="33"/>
      <c r="EP488" s="33"/>
      <c r="EQ488" s="33"/>
      <c r="ER488" s="33"/>
      <c r="ES488" s="33"/>
    </row>
    <row r="489">
      <c r="A489" s="33"/>
      <c r="B489" s="33"/>
      <c r="C489" s="33"/>
      <c r="D489" s="33"/>
      <c r="E489" s="33"/>
      <c r="F489" s="33"/>
      <c r="G489" s="85"/>
      <c r="H489" s="85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3"/>
      <c r="AC489" s="33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3"/>
      <c r="AP489" s="33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3"/>
      <c r="CC489" s="33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3"/>
      <c r="CP489" s="33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3"/>
      <c r="DC489" s="33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3"/>
      <c r="DP489" s="33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3"/>
      <c r="EC489" s="33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3"/>
      <c r="EP489" s="33"/>
      <c r="EQ489" s="33"/>
      <c r="ER489" s="33"/>
      <c r="ES489" s="33"/>
    </row>
    <row r="490">
      <c r="A490" s="33"/>
      <c r="B490" s="33"/>
      <c r="C490" s="33"/>
      <c r="D490" s="33"/>
      <c r="E490" s="33"/>
      <c r="F490" s="33"/>
      <c r="G490" s="85"/>
      <c r="H490" s="85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33"/>
      <c r="Y490" s="33"/>
      <c r="Z490" s="33"/>
      <c r="AA490" s="33"/>
      <c r="AB490" s="33"/>
      <c r="AC490" s="33"/>
      <c r="AD490" s="33"/>
      <c r="AE490" s="33"/>
      <c r="AF490" s="33"/>
      <c r="AG490" s="33"/>
      <c r="AH490" s="33"/>
      <c r="AI490" s="33"/>
      <c r="AJ490" s="33"/>
      <c r="AK490" s="33"/>
      <c r="AL490" s="33"/>
      <c r="AM490" s="33"/>
      <c r="AN490" s="33"/>
      <c r="AO490" s="33"/>
      <c r="AP490" s="33"/>
      <c r="AQ490" s="33"/>
      <c r="AR490" s="33"/>
      <c r="AS490" s="33"/>
      <c r="AT490" s="33"/>
      <c r="AU490" s="33"/>
      <c r="AV490" s="33"/>
      <c r="AW490" s="33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  <c r="BU490" s="33"/>
      <c r="BV490" s="33"/>
      <c r="BW490" s="33"/>
      <c r="BX490" s="33"/>
      <c r="BY490" s="33"/>
      <c r="BZ490" s="33"/>
      <c r="CA490" s="33"/>
      <c r="CB490" s="33"/>
      <c r="CC490" s="33"/>
      <c r="CD490" s="33"/>
      <c r="CE490" s="33"/>
      <c r="CF490" s="33"/>
      <c r="CG490" s="33"/>
      <c r="CH490" s="33"/>
      <c r="CI490" s="33"/>
      <c r="CJ490" s="33"/>
      <c r="CK490" s="33"/>
      <c r="CL490" s="33"/>
      <c r="CM490" s="33"/>
      <c r="CN490" s="33"/>
      <c r="CO490" s="33"/>
      <c r="CP490" s="33"/>
      <c r="CQ490" s="33"/>
      <c r="CR490" s="33"/>
      <c r="CS490" s="33"/>
      <c r="CT490" s="33"/>
      <c r="CU490" s="33"/>
      <c r="CV490" s="33"/>
      <c r="CW490" s="33"/>
      <c r="CX490" s="33"/>
      <c r="CY490" s="33"/>
      <c r="CZ490" s="33"/>
      <c r="DA490" s="33"/>
      <c r="DB490" s="33"/>
      <c r="DC490" s="33"/>
      <c r="DD490" s="33"/>
      <c r="DE490" s="33"/>
      <c r="DF490" s="33"/>
      <c r="DG490" s="33"/>
      <c r="DH490" s="33"/>
      <c r="DI490" s="33"/>
      <c r="DJ490" s="33"/>
      <c r="DK490" s="33"/>
      <c r="DL490" s="33"/>
      <c r="DM490" s="33"/>
      <c r="DN490" s="33"/>
      <c r="DO490" s="33"/>
      <c r="DP490" s="33"/>
      <c r="DQ490" s="33"/>
      <c r="DR490" s="33"/>
      <c r="DS490" s="33"/>
      <c r="DT490" s="33"/>
      <c r="DU490" s="33"/>
      <c r="DV490" s="33"/>
      <c r="DW490" s="33"/>
      <c r="DX490" s="33"/>
      <c r="DY490" s="33"/>
      <c r="DZ490" s="33"/>
      <c r="EA490" s="33"/>
      <c r="EB490" s="33"/>
      <c r="EC490" s="33"/>
      <c r="ED490" s="33"/>
      <c r="EE490" s="33"/>
      <c r="EF490" s="33"/>
      <c r="EG490" s="33"/>
      <c r="EH490" s="33"/>
      <c r="EI490" s="33"/>
      <c r="EJ490" s="33"/>
      <c r="EK490" s="33"/>
      <c r="EL490" s="33"/>
      <c r="EM490" s="33"/>
      <c r="EN490" s="33"/>
      <c r="EO490" s="33"/>
      <c r="EP490" s="33"/>
      <c r="EQ490" s="33"/>
      <c r="ER490" s="33"/>
      <c r="ES490" s="33"/>
    </row>
    <row r="491">
      <c r="A491" s="33"/>
      <c r="B491" s="33"/>
      <c r="C491" s="33"/>
      <c r="D491" s="33"/>
      <c r="E491" s="33"/>
      <c r="F491" s="33"/>
      <c r="G491" s="85"/>
      <c r="H491" s="85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3"/>
      <c r="AC491" s="33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3"/>
      <c r="AP491" s="33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3"/>
      <c r="CC491" s="33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3"/>
      <c r="CP491" s="33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3"/>
      <c r="DC491" s="33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3"/>
      <c r="DP491" s="33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3"/>
      <c r="EC491" s="33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3"/>
      <c r="EP491" s="33"/>
      <c r="EQ491" s="33"/>
      <c r="ER491" s="33"/>
      <c r="ES491" s="33"/>
    </row>
    <row r="492">
      <c r="A492" s="33"/>
      <c r="B492" s="33"/>
      <c r="C492" s="33"/>
      <c r="D492" s="33"/>
      <c r="E492" s="33"/>
      <c r="F492" s="33"/>
      <c r="G492" s="85"/>
      <c r="H492" s="85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33"/>
      <c r="Y492" s="33"/>
      <c r="Z492" s="33"/>
      <c r="AA492" s="33"/>
      <c r="AB492" s="33"/>
      <c r="AC492" s="33"/>
      <c r="AD492" s="33"/>
      <c r="AE492" s="33"/>
      <c r="AF492" s="33"/>
      <c r="AG492" s="33"/>
      <c r="AH492" s="33"/>
      <c r="AI492" s="33"/>
      <c r="AJ492" s="33"/>
      <c r="AK492" s="33"/>
      <c r="AL492" s="33"/>
      <c r="AM492" s="33"/>
      <c r="AN492" s="33"/>
      <c r="AO492" s="33"/>
      <c r="AP492" s="33"/>
      <c r="AQ492" s="33"/>
      <c r="AR492" s="33"/>
      <c r="AS492" s="33"/>
      <c r="AT492" s="33"/>
      <c r="AU492" s="33"/>
      <c r="AV492" s="33"/>
      <c r="AW492" s="33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  <c r="BU492" s="33"/>
      <c r="BV492" s="33"/>
      <c r="BW492" s="33"/>
      <c r="BX492" s="33"/>
      <c r="BY492" s="33"/>
      <c r="BZ492" s="33"/>
      <c r="CA492" s="33"/>
      <c r="CB492" s="33"/>
      <c r="CC492" s="33"/>
      <c r="CD492" s="33"/>
      <c r="CE492" s="33"/>
      <c r="CF492" s="33"/>
      <c r="CG492" s="33"/>
      <c r="CH492" s="33"/>
      <c r="CI492" s="33"/>
      <c r="CJ492" s="33"/>
      <c r="CK492" s="33"/>
      <c r="CL492" s="33"/>
      <c r="CM492" s="33"/>
      <c r="CN492" s="33"/>
      <c r="CO492" s="33"/>
      <c r="CP492" s="33"/>
      <c r="CQ492" s="33"/>
      <c r="CR492" s="33"/>
      <c r="CS492" s="33"/>
      <c r="CT492" s="33"/>
      <c r="CU492" s="33"/>
      <c r="CV492" s="33"/>
      <c r="CW492" s="33"/>
      <c r="CX492" s="33"/>
      <c r="CY492" s="33"/>
      <c r="CZ492" s="33"/>
      <c r="DA492" s="33"/>
      <c r="DB492" s="33"/>
      <c r="DC492" s="33"/>
      <c r="DD492" s="33"/>
      <c r="DE492" s="33"/>
      <c r="DF492" s="33"/>
      <c r="DG492" s="33"/>
      <c r="DH492" s="33"/>
      <c r="DI492" s="33"/>
      <c r="DJ492" s="33"/>
      <c r="DK492" s="33"/>
      <c r="DL492" s="33"/>
      <c r="DM492" s="33"/>
      <c r="DN492" s="33"/>
      <c r="DO492" s="33"/>
      <c r="DP492" s="33"/>
      <c r="DQ492" s="33"/>
      <c r="DR492" s="33"/>
      <c r="DS492" s="33"/>
      <c r="DT492" s="33"/>
      <c r="DU492" s="33"/>
      <c r="DV492" s="33"/>
      <c r="DW492" s="33"/>
      <c r="DX492" s="33"/>
      <c r="DY492" s="33"/>
      <c r="DZ492" s="33"/>
      <c r="EA492" s="33"/>
      <c r="EB492" s="33"/>
      <c r="EC492" s="33"/>
      <c r="ED492" s="33"/>
      <c r="EE492" s="33"/>
      <c r="EF492" s="33"/>
      <c r="EG492" s="33"/>
      <c r="EH492" s="33"/>
      <c r="EI492" s="33"/>
      <c r="EJ492" s="33"/>
      <c r="EK492" s="33"/>
      <c r="EL492" s="33"/>
      <c r="EM492" s="33"/>
      <c r="EN492" s="33"/>
      <c r="EO492" s="33"/>
      <c r="EP492" s="33"/>
      <c r="EQ492" s="33"/>
      <c r="ER492" s="33"/>
      <c r="ES492" s="33"/>
    </row>
    <row r="493">
      <c r="A493" s="33"/>
      <c r="B493" s="33"/>
      <c r="C493" s="33"/>
      <c r="D493" s="33"/>
      <c r="E493" s="33"/>
      <c r="F493" s="33"/>
      <c r="G493" s="85"/>
      <c r="H493" s="85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3"/>
      <c r="AC493" s="33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3"/>
      <c r="AP493" s="33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3"/>
      <c r="CC493" s="33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3"/>
      <c r="CP493" s="33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3"/>
      <c r="DC493" s="33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3"/>
      <c r="DP493" s="33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3"/>
      <c r="EC493" s="33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3"/>
      <c r="EP493" s="33"/>
      <c r="EQ493" s="33"/>
      <c r="ER493" s="33"/>
      <c r="ES493" s="33"/>
    </row>
    <row r="494">
      <c r="A494" s="33"/>
      <c r="B494" s="33"/>
      <c r="C494" s="33"/>
      <c r="D494" s="33"/>
      <c r="E494" s="33"/>
      <c r="F494" s="33"/>
      <c r="G494" s="85"/>
      <c r="H494" s="85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33"/>
      <c r="Y494" s="33"/>
      <c r="Z494" s="33"/>
      <c r="AA494" s="33"/>
      <c r="AB494" s="33"/>
      <c r="AC494" s="33"/>
      <c r="AD494" s="33"/>
      <c r="AE494" s="33"/>
      <c r="AF494" s="33"/>
      <c r="AG494" s="33"/>
      <c r="AH494" s="33"/>
      <c r="AI494" s="33"/>
      <c r="AJ494" s="33"/>
      <c r="AK494" s="33"/>
      <c r="AL494" s="33"/>
      <c r="AM494" s="33"/>
      <c r="AN494" s="33"/>
      <c r="AO494" s="33"/>
      <c r="AP494" s="33"/>
      <c r="AQ494" s="33"/>
      <c r="AR494" s="33"/>
      <c r="AS494" s="33"/>
      <c r="AT494" s="33"/>
      <c r="AU494" s="33"/>
      <c r="AV494" s="33"/>
      <c r="AW494" s="33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  <c r="BU494" s="33"/>
      <c r="BV494" s="33"/>
      <c r="BW494" s="33"/>
      <c r="BX494" s="33"/>
      <c r="BY494" s="33"/>
      <c r="BZ494" s="33"/>
      <c r="CA494" s="33"/>
      <c r="CB494" s="33"/>
      <c r="CC494" s="33"/>
      <c r="CD494" s="33"/>
      <c r="CE494" s="33"/>
      <c r="CF494" s="33"/>
      <c r="CG494" s="33"/>
      <c r="CH494" s="33"/>
      <c r="CI494" s="33"/>
      <c r="CJ494" s="33"/>
      <c r="CK494" s="33"/>
      <c r="CL494" s="33"/>
      <c r="CM494" s="33"/>
      <c r="CN494" s="33"/>
      <c r="CO494" s="33"/>
      <c r="CP494" s="33"/>
      <c r="CQ494" s="33"/>
      <c r="CR494" s="33"/>
      <c r="CS494" s="33"/>
      <c r="CT494" s="33"/>
      <c r="CU494" s="33"/>
      <c r="CV494" s="33"/>
      <c r="CW494" s="33"/>
      <c r="CX494" s="33"/>
      <c r="CY494" s="33"/>
      <c r="CZ494" s="33"/>
      <c r="DA494" s="33"/>
      <c r="DB494" s="33"/>
      <c r="DC494" s="33"/>
      <c r="DD494" s="33"/>
      <c r="DE494" s="33"/>
      <c r="DF494" s="33"/>
      <c r="DG494" s="33"/>
      <c r="DH494" s="33"/>
      <c r="DI494" s="33"/>
      <c r="DJ494" s="33"/>
      <c r="DK494" s="33"/>
      <c r="DL494" s="33"/>
      <c r="DM494" s="33"/>
      <c r="DN494" s="33"/>
      <c r="DO494" s="33"/>
      <c r="DP494" s="33"/>
      <c r="DQ494" s="33"/>
      <c r="DR494" s="33"/>
      <c r="DS494" s="33"/>
      <c r="DT494" s="33"/>
      <c r="DU494" s="33"/>
      <c r="DV494" s="33"/>
      <c r="DW494" s="33"/>
      <c r="DX494" s="33"/>
      <c r="DY494" s="33"/>
      <c r="DZ494" s="33"/>
      <c r="EA494" s="33"/>
      <c r="EB494" s="33"/>
      <c r="EC494" s="33"/>
      <c r="ED494" s="33"/>
      <c r="EE494" s="33"/>
      <c r="EF494" s="33"/>
      <c r="EG494" s="33"/>
      <c r="EH494" s="33"/>
      <c r="EI494" s="33"/>
      <c r="EJ494" s="33"/>
      <c r="EK494" s="33"/>
      <c r="EL494" s="33"/>
      <c r="EM494" s="33"/>
      <c r="EN494" s="33"/>
      <c r="EO494" s="33"/>
      <c r="EP494" s="33"/>
      <c r="EQ494" s="33"/>
      <c r="ER494" s="33"/>
      <c r="ES494" s="33"/>
    </row>
    <row r="495">
      <c r="A495" s="33"/>
      <c r="B495" s="33"/>
      <c r="C495" s="33"/>
      <c r="D495" s="33"/>
      <c r="E495" s="33"/>
      <c r="F495" s="33"/>
      <c r="G495" s="85"/>
      <c r="H495" s="85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3"/>
      <c r="AC495" s="33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3"/>
      <c r="AP495" s="33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3"/>
      <c r="CC495" s="33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3"/>
      <c r="CP495" s="33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3"/>
      <c r="DC495" s="33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3"/>
      <c r="DP495" s="33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3"/>
      <c r="EC495" s="33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3"/>
      <c r="EP495" s="33"/>
      <c r="EQ495" s="33"/>
      <c r="ER495" s="33"/>
      <c r="ES495" s="33"/>
    </row>
    <row r="496">
      <c r="A496" s="33"/>
      <c r="B496" s="33"/>
      <c r="C496" s="33"/>
      <c r="D496" s="33"/>
      <c r="E496" s="33"/>
      <c r="F496" s="33"/>
      <c r="G496" s="85"/>
      <c r="H496" s="85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33"/>
      <c r="Y496" s="33"/>
      <c r="Z496" s="33"/>
      <c r="AA496" s="33"/>
      <c r="AB496" s="33"/>
      <c r="AC496" s="33"/>
      <c r="AD496" s="33"/>
      <c r="AE496" s="33"/>
      <c r="AF496" s="33"/>
      <c r="AG496" s="33"/>
      <c r="AH496" s="33"/>
      <c r="AI496" s="33"/>
      <c r="AJ496" s="33"/>
      <c r="AK496" s="33"/>
      <c r="AL496" s="33"/>
      <c r="AM496" s="33"/>
      <c r="AN496" s="33"/>
      <c r="AO496" s="33"/>
      <c r="AP496" s="33"/>
      <c r="AQ496" s="33"/>
      <c r="AR496" s="33"/>
      <c r="AS496" s="33"/>
      <c r="AT496" s="33"/>
      <c r="AU496" s="33"/>
      <c r="AV496" s="33"/>
      <c r="AW496" s="33"/>
      <c r="AX496" s="33"/>
      <c r="AY496" s="33"/>
      <c r="AZ496" s="33"/>
      <c r="BA496" s="33"/>
      <c r="BB496" s="33"/>
      <c r="BC496" s="33"/>
      <c r="BD496" s="33"/>
      <c r="BE496" s="33"/>
      <c r="BF496" s="33"/>
      <c r="BG496" s="33"/>
      <c r="BH496" s="33"/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  <c r="BU496" s="33"/>
      <c r="BV496" s="33"/>
      <c r="BW496" s="33"/>
      <c r="BX496" s="33"/>
      <c r="BY496" s="33"/>
      <c r="BZ496" s="33"/>
      <c r="CA496" s="33"/>
      <c r="CB496" s="33"/>
      <c r="CC496" s="33"/>
      <c r="CD496" s="33"/>
      <c r="CE496" s="33"/>
      <c r="CF496" s="33"/>
      <c r="CG496" s="33"/>
      <c r="CH496" s="33"/>
      <c r="CI496" s="33"/>
      <c r="CJ496" s="33"/>
      <c r="CK496" s="33"/>
      <c r="CL496" s="33"/>
      <c r="CM496" s="33"/>
      <c r="CN496" s="33"/>
      <c r="CO496" s="33"/>
      <c r="CP496" s="33"/>
      <c r="CQ496" s="33"/>
      <c r="CR496" s="33"/>
      <c r="CS496" s="33"/>
      <c r="CT496" s="33"/>
      <c r="CU496" s="33"/>
      <c r="CV496" s="33"/>
      <c r="CW496" s="33"/>
      <c r="CX496" s="33"/>
      <c r="CY496" s="33"/>
      <c r="CZ496" s="33"/>
      <c r="DA496" s="33"/>
      <c r="DB496" s="33"/>
      <c r="DC496" s="33"/>
      <c r="DD496" s="33"/>
      <c r="DE496" s="33"/>
      <c r="DF496" s="33"/>
      <c r="DG496" s="33"/>
      <c r="DH496" s="33"/>
      <c r="DI496" s="33"/>
      <c r="DJ496" s="33"/>
      <c r="DK496" s="33"/>
      <c r="DL496" s="33"/>
      <c r="DM496" s="33"/>
      <c r="DN496" s="33"/>
      <c r="DO496" s="33"/>
      <c r="DP496" s="33"/>
      <c r="DQ496" s="33"/>
      <c r="DR496" s="33"/>
      <c r="DS496" s="33"/>
      <c r="DT496" s="33"/>
      <c r="DU496" s="33"/>
      <c r="DV496" s="33"/>
      <c r="DW496" s="33"/>
      <c r="DX496" s="33"/>
      <c r="DY496" s="33"/>
      <c r="DZ496" s="33"/>
      <c r="EA496" s="33"/>
      <c r="EB496" s="33"/>
      <c r="EC496" s="33"/>
      <c r="ED496" s="33"/>
      <c r="EE496" s="33"/>
      <c r="EF496" s="33"/>
      <c r="EG496" s="33"/>
      <c r="EH496" s="33"/>
      <c r="EI496" s="33"/>
      <c r="EJ496" s="33"/>
      <c r="EK496" s="33"/>
      <c r="EL496" s="33"/>
      <c r="EM496" s="33"/>
      <c r="EN496" s="33"/>
      <c r="EO496" s="33"/>
      <c r="EP496" s="33"/>
      <c r="EQ496" s="33"/>
      <c r="ER496" s="33"/>
      <c r="ES496" s="33"/>
    </row>
    <row r="497">
      <c r="A497" s="33"/>
      <c r="B497" s="33"/>
      <c r="C497" s="33"/>
      <c r="D497" s="33"/>
      <c r="E497" s="33"/>
      <c r="F497" s="33"/>
      <c r="G497" s="85"/>
      <c r="H497" s="85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3"/>
      <c r="AC497" s="33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3"/>
      <c r="AP497" s="33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3"/>
      <c r="BC497" s="33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3"/>
      <c r="CC497" s="33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3"/>
      <c r="CP497" s="33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3"/>
      <c r="DC497" s="33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3"/>
      <c r="DP497" s="33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3"/>
      <c r="EC497" s="33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3"/>
      <c r="EP497" s="33"/>
      <c r="EQ497" s="33"/>
      <c r="ER497" s="33"/>
      <c r="ES497" s="33"/>
    </row>
    <row r="498">
      <c r="A498" s="33"/>
      <c r="B498" s="33"/>
      <c r="C498" s="33"/>
      <c r="D498" s="33"/>
      <c r="E498" s="33"/>
      <c r="F498" s="33"/>
      <c r="G498" s="85"/>
      <c r="H498" s="85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33"/>
      <c r="Y498" s="33"/>
      <c r="Z498" s="33"/>
      <c r="AA498" s="33"/>
      <c r="AB498" s="33"/>
      <c r="AC498" s="33"/>
      <c r="AD498" s="33"/>
      <c r="AE498" s="33"/>
      <c r="AF498" s="33"/>
      <c r="AG498" s="33"/>
      <c r="AH498" s="33"/>
      <c r="AI498" s="33"/>
      <c r="AJ498" s="33"/>
      <c r="AK498" s="33"/>
      <c r="AL498" s="33"/>
      <c r="AM498" s="33"/>
      <c r="AN498" s="33"/>
      <c r="AO498" s="33"/>
      <c r="AP498" s="33"/>
      <c r="AQ498" s="33"/>
      <c r="AR498" s="33"/>
      <c r="AS498" s="33"/>
      <c r="AT498" s="33"/>
      <c r="AU498" s="33"/>
      <c r="AV498" s="33"/>
      <c r="AW498" s="33"/>
      <c r="AX498" s="33"/>
      <c r="AY498" s="33"/>
      <c r="AZ498" s="33"/>
      <c r="BA498" s="33"/>
      <c r="BB498" s="33"/>
      <c r="BC498" s="33"/>
      <c r="BD498" s="33"/>
      <c r="BE498" s="33"/>
      <c r="BF498" s="33"/>
      <c r="BG498" s="33"/>
      <c r="BH498" s="33"/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  <c r="BU498" s="33"/>
      <c r="BV498" s="33"/>
      <c r="BW498" s="33"/>
      <c r="BX498" s="33"/>
      <c r="BY498" s="33"/>
      <c r="BZ498" s="33"/>
      <c r="CA498" s="33"/>
      <c r="CB498" s="33"/>
      <c r="CC498" s="33"/>
      <c r="CD498" s="33"/>
      <c r="CE498" s="33"/>
      <c r="CF498" s="33"/>
      <c r="CG498" s="33"/>
      <c r="CH498" s="33"/>
      <c r="CI498" s="33"/>
      <c r="CJ498" s="33"/>
      <c r="CK498" s="33"/>
      <c r="CL498" s="33"/>
      <c r="CM498" s="33"/>
      <c r="CN498" s="33"/>
      <c r="CO498" s="33"/>
      <c r="CP498" s="33"/>
      <c r="CQ498" s="33"/>
      <c r="CR498" s="33"/>
      <c r="CS498" s="33"/>
      <c r="CT498" s="33"/>
      <c r="CU498" s="33"/>
      <c r="CV498" s="33"/>
      <c r="CW498" s="33"/>
      <c r="CX498" s="33"/>
      <c r="CY498" s="33"/>
      <c r="CZ498" s="33"/>
      <c r="DA498" s="33"/>
      <c r="DB498" s="33"/>
      <c r="DC498" s="33"/>
      <c r="DD498" s="33"/>
      <c r="DE498" s="33"/>
      <c r="DF498" s="33"/>
      <c r="DG498" s="33"/>
      <c r="DH498" s="33"/>
      <c r="DI498" s="33"/>
      <c r="DJ498" s="33"/>
      <c r="DK498" s="33"/>
      <c r="DL498" s="33"/>
      <c r="DM498" s="33"/>
      <c r="DN498" s="33"/>
      <c r="DO498" s="33"/>
      <c r="DP498" s="33"/>
      <c r="DQ498" s="33"/>
      <c r="DR498" s="33"/>
      <c r="DS498" s="33"/>
      <c r="DT498" s="33"/>
      <c r="DU498" s="33"/>
      <c r="DV498" s="33"/>
      <c r="DW498" s="33"/>
      <c r="DX498" s="33"/>
      <c r="DY498" s="33"/>
      <c r="DZ498" s="33"/>
      <c r="EA498" s="33"/>
      <c r="EB498" s="33"/>
      <c r="EC498" s="33"/>
      <c r="ED498" s="33"/>
      <c r="EE498" s="33"/>
      <c r="EF498" s="33"/>
      <c r="EG498" s="33"/>
      <c r="EH498" s="33"/>
      <c r="EI498" s="33"/>
      <c r="EJ498" s="33"/>
      <c r="EK498" s="33"/>
      <c r="EL498" s="33"/>
      <c r="EM498" s="33"/>
      <c r="EN498" s="33"/>
      <c r="EO498" s="33"/>
      <c r="EP498" s="33"/>
      <c r="EQ498" s="33"/>
      <c r="ER498" s="33"/>
      <c r="ES498" s="33"/>
    </row>
    <row r="499">
      <c r="A499" s="33"/>
      <c r="B499" s="33"/>
      <c r="C499" s="33"/>
      <c r="D499" s="33"/>
      <c r="E499" s="33"/>
      <c r="F499" s="33"/>
      <c r="G499" s="85"/>
      <c r="H499" s="85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3"/>
      <c r="AC499" s="33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3"/>
      <c r="AP499" s="33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3"/>
      <c r="BC499" s="33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3"/>
      <c r="CC499" s="33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3"/>
      <c r="CP499" s="33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3"/>
      <c r="DC499" s="33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3"/>
      <c r="DP499" s="33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3"/>
      <c r="EC499" s="33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3"/>
      <c r="EP499" s="33"/>
      <c r="EQ499" s="33"/>
      <c r="ER499" s="33"/>
      <c r="ES499" s="33"/>
    </row>
    <row r="500">
      <c r="A500" s="33"/>
      <c r="B500" s="33"/>
      <c r="C500" s="33"/>
      <c r="D500" s="33"/>
      <c r="E500" s="33"/>
      <c r="F500" s="33"/>
      <c r="G500" s="85"/>
      <c r="H500" s="85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33"/>
      <c r="Y500" s="33"/>
      <c r="Z500" s="33"/>
      <c r="AA500" s="33"/>
      <c r="AB500" s="33"/>
      <c r="AC500" s="33"/>
      <c r="AD500" s="33"/>
      <c r="AE500" s="33"/>
      <c r="AF500" s="33"/>
      <c r="AG500" s="33"/>
      <c r="AH500" s="33"/>
      <c r="AI500" s="33"/>
      <c r="AJ500" s="33"/>
      <c r="AK500" s="33"/>
      <c r="AL500" s="33"/>
      <c r="AM500" s="33"/>
      <c r="AN500" s="33"/>
      <c r="AO500" s="33"/>
      <c r="AP500" s="33"/>
      <c r="AQ500" s="33"/>
      <c r="AR500" s="33"/>
      <c r="AS500" s="33"/>
      <c r="AT500" s="33"/>
      <c r="AU500" s="33"/>
      <c r="AV500" s="33"/>
      <c r="AW500" s="33"/>
      <c r="AX500" s="33"/>
      <c r="AY500" s="33"/>
      <c r="AZ500" s="33"/>
      <c r="BA500" s="33"/>
      <c r="BB500" s="33"/>
      <c r="BC500" s="33"/>
      <c r="BD500" s="33"/>
      <c r="BE500" s="33"/>
      <c r="BF500" s="33"/>
      <c r="BG500" s="33"/>
      <c r="BH500" s="33"/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  <c r="BU500" s="33"/>
      <c r="BV500" s="33"/>
      <c r="BW500" s="33"/>
      <c r="BX500" s="33"/>
      <c r="BY500" s="33"/>
      <c r="BZ500" s="33"/>
      <c r="CA500" s="33"/>
      <c r="CB500" s="33"/>
      <c r="CC500" s="33"/>
      <c r="CD500" s="33"/>
      <c r="CE500" s="33"/>
      <c r="CF500" s="33"/>
      <c r="CG500" s="33"/>
      <c r="CH500" s="33"/>
      <c r="CI500" s="33"/>
      <c r="CJ500" s="33"/>
      <c r="CK500" s="33"/>
      <c r="CL500" s="33"/>
      <c r="CM500" s="33"/>
      <c r="CN500" s="33"/>
      <c r="CO500" s="33"/>
      <c r="CP500" s="33"/>
      <c r="CQ500" s="33"/>
      <c r="CR500" s="33"/>
      <c r="CS500" s="33"/>
      <c r="CT500" s="33"/>
      <c r="CU500" s="33"/>
      <c r="CV500" s="33"/>
      <c r="CW500" s="33"/>
      <c r="CX500" s="33"/>
      <c r="CY500" s="33"/>
      <c r="CZ500" s="33"/>
      <c r="DA500" s="33"/>
      <c r="DB500" s="33"/>
      <c r="DC500" s="33"/>
      <c r="DD500" s="33"/>
      <c r="DE500" s="33"/>
      <c r="DF500" s="33"/>
      <c r="DG500" s="33"/>
      <c r="DH500" s="33"/>
      <c r="DI500" s="33"/>
      <c r="DJ500" s="33"/>
      <c r="DK500" s="33"/>
      <c r="DL500" s="33"/>
      <c r="DM500" s="33"/>
      <c r="DN500" s="33"/>
      <c r="DO500" s="33"/>
      <c r="DP500" s="33"/>
      <c r="DQ500" s="33"/>
      <c r="DR500" s="33"/>
      <c r="DS500" s="33"/>
      <c r="DT500" s="33"/>
      <c r="DU500" s="33"/>
      <c r="DV500" s="33"/>
      <c r="DW500" s="33"/>
      <c r="DX500" s="33"/>
      <c r="DY500" s="33"/>
      <c r="DZ500" s="33"/>
      <c r="EA500" s="33"/>
      <c r="EB500" s="33"/>
      <c r="EC500" s="33"/>
      <c r="ED500" s="33"/>
      <c r="EE500" s="33"/>
      <c r="EF500" s="33"/>
      <c r="EG500" s="33"/>
      <c r="EH500" s="33"/>
      <c r="EI500" s="33"/>
      <c r="EJ500" s="33"/>
      <c r="EK500" s="33"/>
      <c r="EL500" s="33"/>
      <c r="EM500" s="33"/>
      <c r="EN500" s="33"/>
      <c r="EO500" s="33"/>
      <c r="EP500" s="33"/>
      <c r="EQ500" s="33"/>
      <c r="ER500" s="33"/>
      <c r="ES500" s="33"/>
    </row>
    <row r="501">
      <c r="A501" s="33"/>
      <c r="B501" s="33"/>
      <c r="C501" s="33"/>
      <c r="D501" s="33"/>
      <c r="E501" s="33"/>
      <c r="F501" s="33"/>
      <c r="G501" s="85"/>
      <c r="H501" s="85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3"/>
      <c r="AC501" s="33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3"/>
      <c r="AP501" s="33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3"/>
      <c r="BC501" s="33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3"/>
      <c r="CC501" s="33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3"/>
      <c r="CP501" s="33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3"/>
      <c r="DC501" s="33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3"/>
      <c r="DP501" s="33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3"/>
      <c r="EC501" s="33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3"/>
      <c r="EP501" s="33"/>
      <c r="EQ501" s="33"/>
      <c r="ER501" s="33"/>
      <c r="ES501" s="33"/>
    </row>
    <row r="502">
      <c r="A502" s="33"/>
      <c r="B502" s="33"/>
      <c r="C502" s="33"/>
      <c r="D502" s="33"/>
      <c r="E502" s="33"/>
      <c r="F502" s="33"/>
      <c r="G502" s="85"/>
      <c r="H502" s="85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33"/>
      <c r="Y502" s="33"/>
      <c r="Z502" s="33"/>
      <c r="AA502" s="33"/>
      <c r="AB502" s="33"/>
      <c r="AC502" s="33"/>
      <c r="AD502" s="33"/>
      <c r="AE502" s="33"/>
      <c r="AF502" s="33"/>
      <c r="AG502" s="33"/>
      <c r="AH502" s="33"/>
      <c r="AI502" s="33"/>
      <c r="AJ502" s="33"/>
      <c r="AK502" s="33"/>
      <c r="AL502" s="33"/>
      <c r="AM502" s="33"/>
      <c r="AN502" s="33"/>
      <c r="AO502" s="33"/>
      <c r="AP502" s="33"/>
      <c r="AQ502" s="33"/>
      <c r="AR502" s="33"/>
      <c r="AS502" s="33"/>
      <c r="AT502" s="33"/>
      <c r="AU502" s="33"/>
      <c r="AV502" s="33"/>
      <c r="AW502" s="33"/>
      <c r="AX502" s="33"/>
      <c r="AY502" s="33"/>
      <c r="AZ502" s="33"/>
      <c r="BA502" s="33"/>
      <c r="BB502" s="33"/>
      <c r="BC502" s="33"/>
      <c r="BD502" s="33"/>
      <c r="BE502" s="33"/>
      <c r="BF502" s="33"/>
      <c r="BG502" s="33"/>
      <c r="BH502" s="33"/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  <c r="BU502" s="33"/>
      <c r="BV502" s="33"/>
      <c r="BW502" s="33"/>
      <c r="BX502" s="33"/>
      <c r="BY502" s="33"/>
      <c r="BZ502" s="33"/>
      <c r="CA502" s="33"/>
      <c r="CB502" s="33"/>
      <c r="CC502" s="33"/>
      <c r="CD502" s="33"/>
      <c r="CE502" s="33"/>
      <c r="CF502" s="33"/>
      <c r="CG502" s="33"/>
      <c r="CH502" s="33"/>
      <c r="CI502" s="33"/>
      <c r="CJ502" s="33"/>
      <c r="CK502" s="33"/>
      <c r="CL502" s="33"/>
      <c r="CM502" s="33"/>
      <c r="CN502" s="33"/>
      <c r="CO502" s="33"/>
      <c r="CP502" s="33"/>
      <c r="CQ502" s="33"/>
      <c r="CR502" s="33"/>
      <c r="CS502" s="33"/>
      <c r="CT502" s="33"/>
      <c r="CU502" s="33"/>
      <c r="CV502" s="33"/>
      <c r="CW502" s="33"/>
      <c r="CX502" s="33"/>
      <c r="CY502" s="33"/>
      <c r="CZ502" s="33"/>
      <c r="DA502" s="33"/>
      <c r="DB502" s="33"/>
      <c r="DC502" s="33"/>
      <c r="DD502" s="33"/>
      <c r="DE502" s="33"/>
      <c r="DF502" s="33"/>
      <c r="DG502" s="33"/>
      <c r="DH502" s="33"/>
      <c r="DI502" s="33"/>
      <c r="DJ502" s="33"/>
      <c r="DK502" s="33"/>
      <c r="DL502" s="33"/>
      <c r="DM502" s="33"/>
      <c r="DN502" s="33"/>
      <c r="DO502" s="33"/>
      <c r="DP502" s="33"/>
      <c r="DQ502" s="33"/>
      <c r="DR502" s="33"/>
      <c r="DS502" s="33"/>
      <c r="DT502" s="33"/>
      <c r="DU502" s="33"/>
      <c r="DV502" s="33"/>
      <c r="DW502" s="33"/>
      <c r="DX502" s="33"/>
      <c r="DY502" s="33"/>
      <c r="DZ502" s="33"/>
      <c r="EA502" s="33"/>
      <c r="EB502" s="33"/>
      <c r="EC502" s="33"/>
      <c r="ED502" s="33"/>
      <c r="EE502" s="33"/>
      <c r="EF502" s="33"/>
      <c r="EG502" s="33"/>
      <c r="EH502" s="33"/>
      <c r="EI502" s="33"/>
      <c r="EJ502" s="33"/>
      <c r="EK502" s="33"/>
      <c r="EL502" s="33"/>
      <c r="EM502" s="33"/>
      <c r="EN502" s="33"/>
      <c r="EO502" s="33"/>
      <c r="EP502" s="33"/>
      <c r="EQ502" s="33"/>
      <c r="ER502" s="33"/>
      <c r="ES502" s="33"/>
    </row>
    <row r="503">
      <c r="A503" s="33"/>
      <c r="B503" s="33"/>
      <c r="C503" s="33"/>
      <c r="D503" s="33"/>
      <c r="E503" s="33"/>
      <c r="F503" s="33"/>
      <c r="G503" s="85"/>
      <c r="H503" s="85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3"/>
      <c r="AC503" s="33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3"/>
      <c r="AP503" s="33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3"/>
      <c r="BC503" s="33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3"/>
      <c r="CC503" s="33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3"/>
      <c r="CP503" s="33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3"/>
      <c r="DC503" s="33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3"/>
      <c r="DP503" s="33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3"/>
      <c r="EC503" s="33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3"/>
      <c r="EP503" s="33"/>
      <c r="EQ503" s="33"/>
      <c r="ER503" s="33"/>
      <c r="ES503" s="33"/>
    </row>
    <row r="504">
      <c r="A504" s="33"/>
      <c r="B504" s="33"/>
      <c r="C504" s="33"/>
      <c r="D504" s="33"/>
      <c r="E504" s="33"/>
      <c r="F504" s="33"/>
      <c r="G504" s="85"/>
      <c r="H504" s="85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33"/>
      <c r="Y504" s="33"/>
      <c r="Z504" s="33"/>
      <c r="AA504" s="33"/>
      <c r="AB504" s="33"/>
      <c r="AC504" s="33"/>
      <c r="AD504" s="33"/>
      <c r="AE504" s="33"/>
      <c r="AF504" s="33"/>
      <c r="AG504" s="33"/>
      <c r="AH504" s="33"/>
      <c r="AI504" s="33"/>
      <c r="AJ504" s="33"/>
      <c r="AK504" s="33"/>
      <c r="AL504" s="33"/>
      <c r="AM504" s="33"/>
      <c r="AN504" s="33"/>
      <c r="AO504" s="33"/>
      <c r="AP504" s="33"/>
      <c r="AQ504" s="33"/>
      <c r="AR504" s="33"/>
      <c r="AS504" s="33"/>
      <c r="AT504" s="33"/>
      <c r="AU504" s="33"/>
      <c r="AV504" s="33"/>
      <c r="AW504" s="33"/>
      <c r="AX504" s="33"/>
      <c r="AY504" s="33"/>
      <c r="AZ504" s="33"/>
      <c r="BA504" s="33"/>
      <c r="BB504" s="33"/>
      <c r="BC504" s="33"/>
      <c r="BD504" s="33"/>
      <c r="BE504" s="33"/>
      <c r="BF504" s="33"/>
      <c r="BG504" s="33"/>
      <c r="BH504" s="33"/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  <c r="BU504" s="33"/>
      <c r="BV504" s="33"/>
      <c r="BW504" s="33"/>
      <c r="BX504" s="33"/>
      <c r="BY504" s="33"/>
      <c r="BZ504" s="33"/>
      <c r="CA504" s="33"/>
      <c r="CB504" s="33"/>
      <c r="CC504" s="33"/>
      <c r="CD504" s="33"/>
      <c r="CE504" s="33"/>
      <c r="CF504" s="33"/>
      <c r="CG504" s="33"/>
      <c r="CH504" s="33"/>
      <c r="CI504" s="33"/>
      <c r="CJ504" s="33"/>
      <c r="CK504" s="33"/>
      <c r="CL504" s="33"/>
      <c r="CM504" s="33"/>
      <c r="CN504" s="33"/>
      <c r="CO504" s="33"/>
      <c r="CP504" s="33"/>
      <c r="CQ504" s="33"/>
      <c r="CR504" s="33"/>
      <c r="CS504" s="33"/>
      <c r="CT504" s="33"/>
      <c r="CU504" s="33"/>
      <c r="CV504" s="33"/>
      <c r="CW504" s="33"/>
      <c r="CX504" s="33"/>
      <c r="CY504" s="33"/>
      <c r="CZ504" s="33"/>
      <c r="DA504" s="33"/>
      <c r="DB504" s="33"/>
      <c r="DC504" s="33"/>
      <c r="DD504" s="33"/>
      <c r="DE504" s="33"/>
      <c r="DF504" s="33"/>
      <c r="DG504" s="33"/>
      <c r="DH504" s="33"/>
      <c r="DI504" s="33"/>
      <c r="DJ504" s="33"/>
      <c r="DK504" s="33"/>
      <c r="DL504" s="33"/>
      <c r="DM504" s="33"/>
      <c r="DN504" s="33"/>
      <c r="DO504" s="33"/>
      <c r="DP504" s="33"/>
      <c r="DQ504" s="33"/>
      <c r="DR504" s="33"/>
      <c r="DS504" s="33"/>
      <c r="DT504" s="33"/>
      <c r="DU504" s="33"/>
      <c r="DV504" s="33"/>
      <c r="DW504" s="33"/>
      <c r="DX504" s="33"/>
      <c r="DY504" s="33"/>
      <c r="DZ504" s="33"/>
      <c r="EA504" s="33"/>
      <c r="EB504" s="33"/>
      <c r="EC504" s="33"/>
      <c r="ED504" s="33"/>
      <c r="EE504" s="33"/>
      <c r="EF504" s="33"/>
      <c r="EG504" s="33"/>
      <c r="EH504" s="33"/>
      <c r="EI504" s="33"/>
      <c r="EJ504" s="33"/>
      <c r="EK504" s="33"/>
      <c r="EL504" s="33"/>
      <c r="EM504" s="33"/>
      <c r="EN504" s="33"/>
      <c r="EO504" s="33"/>
      <c r="EP504" s="33"/>
      <c r="EQ504" s="33"/>
      <c r="ER504" s="33"/>
      <c r="ES504" s="33"/>
    </row>
    <row r="505">
      <c r="A505" s="33"/>
      <c r="B505" s="33"/>
      <c r="C505" s="33"/>
      <c r="D505" s="33"/>
      <c r="E505" s="33"/>
      <c r="F505" s="33"/>
      <c r="G505" s="85"/>
      <c r="H505" s="85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3"/>
      <c r="AC505" s="33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3"/>
      <c r="AP505" s="33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3"/>
      <c r="BC505" s="33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3"/>
      <c r="CC505" s="33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3"/>
      <c r="CP505" s="33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3"/>
      <c r="DC505" s="33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3"/>
      <c r="DP505" s="33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3"/>
      <c r="EC505" s="33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3"/>
      <c r="EP505" s="33"/>
      <c r="EQ505" s="33"/>
      <c r="ER505" s="33"/>
      <c r="ES505" s="33"/>
    </row>
    <row r="506">
      <c r="A506" s="33"/>
      <c r="B506" s="33"/>
      <c r="C506" s="33"/>
      <c r="D506" s="33"/>
      <c r="E506" s="33"/>
      <c r="F506" s="33"/>
      <c r="G506" s="85"/>
      <c r="H506" s="85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33"/>
      <c r="Y506" s="33"/>
      <c r="Z506" s="33"/>
      <c r="AA506" s="33"/>
      <c r="AB506" s="33"/>
      <c r="AC506" s="33"/>
      <c r="AD506" s="33"/>
      <c r="AE506" s="33"/>
      <c r="AF506" s="33"/>
      <c r="AG506" s="33"/>
      <c r="AH506" s="33"/>
      <c r="AI506" s="33"/>
      <c r="AJ506" s="33"/>
      <c r="AK506" s="33"/>
      <c r="AL506" s="33"/>
      <c r="AM506" s="33"/>
      <c r="AN506" s="33"/>
      <c r="AO506" s="33"/>
      <c r="AP506" s="33"/>
      <c r="AQ506" s="33"/>
      <c r="AR506" s="33"/>
      <c r="AS506" s="33"/>
      <c r="AT506" s="33"/>
      <c r="AU506" s="33"/>
      <c r="AV506" s="33"/>
      <c r="AW506" s="33"/>
      <c r="AX506" s="33"/>
      <c r="AY506" s="33"/>
      <c r="AZ506" s="33"/>
      <c r="BA506" s="33"/>
      <c r="BB506" s="33"/>
      <c r="BC506" s="33"/>
      <c r="BD506" s="33"/>
      <c r="BE506" s="33"/>
      <c r="BF506" s="33"/>
      <c r="BG506" s="33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  <c r="BU506" s="33"/>
      <c r="BV506" s="33"/>
      <c r="BW506" s="33"/>
      <c r="BX506" s="33"/>
      <c r="BY506" s="33"/>
      <c r="BZ506" s="33"/>
      <c r="CA506" s="33"/>
      <c r="CB506" s="33"/>
      <c r="CC506" s="33"/>
      <c r="CD506" s="33"/>
      <c r="CE506" s="33"/>
      <c r="CF506" s="33"/>
      <c r="CG506" s="33"/>
      <c r="CH506" s="33"/>
      <c r="CI506" s="33"/>
      <c r="CJ506" s="33"/>
      <c r="CK506" s="33"/>
      <c r="CL506" s="33"/>
      <c r="CM506" s="33"/>
      <c r="CN506" s="33"/>
      <c r="CO506" s="33"/>
      <c r="CP506" s="33"/>
      <c r="CQ506" s="33"/>
      <c r="CR506" s="33"/>
      <c r="CS506" s="33"/>
      <c r="CT506" s="33"/>
      <c r="CU506" s="33"/>
      <c r="CV506" s="33"/>
      <c r="CW506" s="33"/>
      <c r="CX506" s="33"/>
      <c r="CY506" s="33"/>
      <c r="CZ506" s="33"/>
      <c r="DA506" s="33"/>
      <c r="DB506" s="33"/>
      <c r="DC506" s="33"/>
      <c r="DD506" s="33"/>
      <c r="DE506" s="33"/>
      <c r="DF506" s="33"/>
      <c r="DG506" s="33"/>
      <c r="DH506" s="33"/>
      <c r="DI506" s="33"/>
      <c r="DJ506" s="33"/>
      <c r="DK506" s="33"/>
      <c r="DL506" s="33"/>
      <c r="DM506" s="33"/>
      <c r="DN506" s="33"/>
      <c r="DO506" s="33"/>
      <c r="DP506" s="33"/>
      <c r="DQ506" s="33"/>
      <c r="DR506" s="33"/>
      <c r="DS506" s="33"/>
      <c r="DT506" s="33"/>
      <c r="DU506" s="33"/>
      <c r="DV506" s="33"/>
      <c r="DW506" s="33"/>
      <c r="DX506" s="33"/>
      <c r="DY506" s="33"/>
      <c r="DZ506" s="33"/>
      <c r="EA506" s="33"/>
      <c r="EB506" s="33"/>
      <c r="EC506" s="33"/>
      <c r="ED506" s="33"/>
      <c r="EE506" s="33"/>
      <c r="EF506" s="33"/>
      <c r="EG506" s="33"/>
      <c r="EH506" s="33"/>
      <c r="EI506" s="33"/>
      <c r="EJ506" s="33"/>
      <c r="EK506" s="33"/>
      <c r="EL506" s="33"/>
      <c r="EM506" s="33"/>
      <c r="EN506" s="33"/>
      <c r="EO506" s="33"/>
      <c r="EP506" s="33"/>
      <c r="EQ506" s="33"/>
      <c r="ER506" s="33"/>
      <c r="ES506" s="33"/>
    </row>
    <row r="507">
      <c r="A507" s="33"/>
      <c r="B507" s="33"/>
      <c r="C507" s="33"/>
      <c r="D507" s="33"/>
      <c r="E507" s="33"/>
      <c r="F507" s="33"/>
      <c r="G507" s="85"/>
      <c r="H507" s="85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3"/>
      <c r="AC507" s="33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3"/>
      <c r="AP507" s="33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3"/>
      <c r="CC507" s="33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3"/>
      <c r="CP507" s="33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3"/>
      <c r="DC507" s="33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3"/>
      <c r="DP507" s="33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3"/>
      <c r="EC507" s="33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3"/>
      <c r="EP507" s="33"/>
      <c r="EQ507" s="33"/>
      <c r="ER507" s="33"/>
      <c r="ES507" s="33"/>
    </row>
    <row r="508">
      <c r="A508" s="33"/>
      <c r="B508" s="33"/>
      <c r="C508" s="33"/>
      <c r="D508" s="33"/>
      <c r="E508" s="33"/>
      <c r="F508" s="33"/>
      <c r="G508" s="85"/>
      <c r="H508" s="85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33"/>
      <c r="Y508" s="33"/>
      <c r="Z508" s="33"/>
      <c r="AA508" s="33"/>
      <c r="AB508" s="33"/>
      <c r="AC508" s="33"/>
      <c r="AD508" s="33"/>
      <c r="AE508" s="33"/>
      <c r="AF508" s="33"/>
      <c r="AG508" s="33"/>
      <c r="AH508" s="33"/>
      <c r="AI508" s="33"/>
      <c r="AJ508" s="33"/>
      <c r="AK508" s="33"/>
      <c r="AL508" s="33"/>
      <c r="AM508" s="33"/>
      <c r="AN508" s="33"/>
      <c r="AO508" s="33"/>
      <c r="AP508" s="33"/>
      <c r="AQ508" s="33"/>
      <c r="AR508" s="33"/>
      <c r="AS508" s="33"/>
      <c r="AT508" s="33"/>
      <c r="AU508" s="33"/>
      <c r="AV508" s="33"/>
      <c r="AW508" s="33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  <c r="BI508" s="33"/>
      <c r="BJ508" s="33"/>
      <c r="BK508" s="33"/>
      <c r="BL508" s="33"/>
      <c r="BM508" s="33"/>
      <c r="BN508" s="33"/>
      <c r="BO508" s="33"/>
      <c r="BP508" s="33"/>
      <c r="BQ508" s="33"/>
      <c r="BR508" s="33"/>
      <c r="BS508" s="33"/>
      <c r="BT508" s="33"/>
      <c r="BU508" s="33"/>
      <c r="BV508" s="33"/>
      <c r="BW508" s="33"/>
      <c r="BX508" s="33"/>
      <c r="BY508" s="33"/>
      <c r="BZ508" s="33"/>
      <c r="CA508" s="33"/>
      <c r="CB508" s="33"/>
      <c r="CC508" s="33"/>
      <c r="CD508" s="33"/>
      <c r="CE508" s="33"/>
      <c r="CF508" s="33"/>
      <c r="CG508" s="33"/>
      <c r="CH508" s="33"/>
      <c r="CI508" s="33"/>
      <c r="CJ508" s="33"/>
      <c r="CK508" s="33"/>
      <c r="CL508" s="33"/>
      <c r="CM508" s="33"/>
      <c r="CN508" s="33"/>
      <c r="CO508" s="33"/>
      <c r="CP508" s="33"/>
      <c r="CQ508" s="33"/>
      <c r="CR508" s="33"/>
      <c r="CS508" s="33"/>
      <c r="CT508" s="33"/>
      <c r="CU508" s="33"/>
      <c r="CV508" s="33"/>
      <c r="CW508" s="33"/>
      <c r="CX508" s="33"/>
      <c r="CY508" s="33"/>
      <c r="CZ508" s="33"/>
      <c r="DA508" s="33"/>
      <c r="DB508" s="33"/>
      <c r="DC508" s="33"/>
      <c r="DD508" s="33"/>
      <c r="DE508" s="33"/>
      <c r="DF508" s="33"/>
      <c r="DG508" s="33"/>
      <c r="DH508" s="33"/>
      <c r="DI508" s="33"/>
      <c r="DJ508" s="33"/>
      <c r="DK508" s="33"/>
      <c r="DL508" s="33"/>
      <c r="DM508" s="33"/>
      <c r="DN508" s="33"/>
      <c r="DO508" s="33"/>
      <c r="DP508" s="33"/>
      <c r="DQ508" s="33"/>
      <c r="DR508" s="33"/>
      <c r="DS508" s="33"/>
      <c r="DT508" s="33"/>
      <c r="DU508" s="33"/>
      <c r="DV508" s="33"/>
      <c r="DW508" s="33"/>
      <c r="DX508" s="33"/>
      <c r="DY508" s="33"/>
      <c r="DZ508" s="33"/>
      <c r="EA508" s="33"/>
      <c r="EB508" s="33"/>
      <c r="EC508" s="33"/>
      <c r="ED508" s="33"/>
      <c r="EE508" s="33"/>
      <c r="EF508" s="33"/>
      <c r="EG508" s="33"/>
      <c r="EH508" s="33"/>
      <c r="EI508" s="33"/>
      <c r="EJ508" s="33"/>
      <c r="EK508" s="33"/>
      <c r="EL508" s="33"/>
      <c r="EM508" s="33"/>
      <c r="EN508" s="33"/>
      <c r="EO508" s="33"/>
      <c r="EP508" s="33"/>
      <c r="EQ508" s="33"/>
      <c r="ER508" s="33"/>
      <c r="ES508" s="33"/>
    </row>
    <row r="509">
      <c r="A509" s="33"/>
      <c r="B509" s="33"/>
      <c r="C509" s="33"/>
      <c r="D509" s="33"/>
      <c r="E509" s="33"/>
      <c r="F509" s="33"/>
      <c r="G509" s="85"/>
      <c r="H509" s="85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3"/>
      <c r="AC509" s="33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3"/>
      <c r="AP509" s="33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3"/>
      <c r="BP509" s="33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3"/>
      <c r="CC509" s="33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3"/>
      <c r="CP509" s="33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3"/>
      <c r="DC509" s="33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3"/>
      <c r="DP509" s="33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3"/>
      <c r="EC509" s="33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3"/>
      <c r="EP509" s="33"/>
      <c r="EQ509" s="33"/>
      <c r="ER509" s="33"/>
      <c r="ES509" s="33"/>
    </row>
    <row r="510">
      <c r="A510" s="33"/>
      <c r="B510" s="33"/>
      <c r="C510" s="33"/>
      <c r="D510" s="33"/>
      <c r="E510" s="33"/>
      <c r="F510" s="33"/>
      <c r="G510" s="85"/>
      <c r="H510" s="85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33"/>
      <c r="Y510" s="33"/>
      <c r="Z510" s="33"/>
      <c r="AA510" s="33"/>
      <c r="AB510" s="33"/>
      <c r="AC510" s="33"/>
      <c r="AD510" s="33"/>
      <c r="AE510" s="33"/>
      <c r="AF510" s="33"/>
      <c r="AG510" s="33"/>
      <c r="AH510" s="33"/>
      <c r="AI510" s="33"/>
      <c r="AJ510" s="33"/>
      <c r="AK510" s="33"/>
      <c r="AL510" s="33"/>
      <c r="AM510" s="33"/>
      <c r="AN510" s="33"/>
      <c r="AO510" s="33"/>
      <c r="AP510" s="33"/>
      <c r="AQ510" s="33"/>
      <c r="AR510" s="33"/>
      <c r="AS510" s="33"/>
      <c r="AT510" s="33"/>
      <c r="AU510" s="33"/>
      <c r="AV510" s="33"/>
      <c r="AW510" s="33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  <c r="BI510" s="33"/>
      <c r="BJ510" s="33"/>
      <c r="BK510" s="33"/>
      <c r="BL510" s="33"/>
      <c r="BM510" s="33"/>
      <c r="BN510" s="33"/>
      <c r="BO510" s="33"/>
      <c r="BP510" s="33"/>
      <c r="BQ510" s="33"/>
      <c r="BR510" s="33"/>
      <c r="BS510" s="33"/>
      <c r="BT510" s="33"/>
      <c r="BU510" s="33"/>
      <c r="BV510" s="33"/>
      <c r="BW510" s="33"/>
      <c r="BX510" s="33"/>
      <c r="BY510" s="33"/>
      <c r="BZ510" s="33"/>
      <c r="CA510" s="33"/>
      <c r="CB510" s="33"/>
      <c r="CC510" s="33"/>
      <c r="CD510" s="33"/>
      <c r="CE510" s="33"/>
      <c r="CF510" s="33"/>
      <c r="CG510" s="33"/>
      <c r="CH510" s="33"/>
      <c r="CI510" s="33"/>
      <c r="CJ510" s="33"/>
      <c r="CK510" s="33"/>
      <c r="CL510" s="33"/>
      <c r="CM510" s="33"/>
      <c r="CN510" s="33"/>
      <c r="CO510" s="33"/>
      <c r="CP510" s="33"/>
      <c r="CQ510" s="33"/>
      <c r="CR510" s="33"/>
      <c r="CS510" s="33"/>
      <c r="CT510" s="33"/>
      <c r="CU510" s="33"/>
      <c r="CV510" s="33"/>
      <c r="CW510" s="33"/>
      <c r="CX510" s="33"/>
      <c r="CY510" s="33"/>
      <c r="CZ510" s="33"/>
      <c r="DA510" s="33"/>
      <c r="DB510" s="33"/>
      <c r="DC510" s="33"/>
      <c r="DD510" s="33"/>
      <c r="DE510" s="33"/>
      <c r="DF510" s="33"/>
      <c r="DG510" s="33"/>
      <c r="DH510" s="33"/>
      <c r="DI510" s="33"/>
      <c r="DJ510" s="33"/>
      <c r="DK510" s="33"/>
      <c r="DL510" s="33"/>
      <c r="DM510" s="33"/>
      <c r="DN510" s="33"/>
      <c r="DO510" s="33"/>
      <c r="DP510" s="33"/>
      <c r="DQ510" s="33"/>
      <c r="DR510" s="33"/>
      <c r="DS510" s="33"/>
      <c r="DT510" s="33"/>
      <c r="DU510" s="33"/>
      <c r="DV510" s="33"/>
      <c r="DW510" s="33"/>
      <c r="DX510" s="33"/>
      <c r="DY510" s="33"/>
      <c r="DZ510" s="33"/>
      <c r="EA510" s="33"/>
      <c r="EB510" s="33"/>
      <c r="EC510" s="33"/>
      <c r="ED510" s="33"/>
      <c r="EE510" s="33"/>
      <c r="EF510" s="33"/>
      <c r="EG510" s="33"/>
      <c r="EH510" s="33"/>
      <c r="EI510" s="33"/>
      <c r="EJ510" s="33"/>
      <c r="EK510" s="33"/>
      <c r="EL510" s="33"/>
      <c r="EM510" s="33"/>
      <c r="EN510" s="33"/>
      <c r="EO510" s="33"/>
      <c r="EP510" s="33"/>
      <c r="EQ510" s="33"/>
      <c r="ER510" s="33"/>
      <c r="ES510" s="33"/>
    </row>
    <row r="511">
      <c r="A511" s="33"/>
      <c r="B511" s="33"/>
      <c r="C511" s="33"/>
      <c r="D511" s="33"/>
      <c r="E511" s="33"/>
      <c r="F511" s="33"/>
      <c r="G511" s="85"/>
      <c r="H511" s="85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3"/>
      <c r="AC511" s="33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3"/>
      <c r="AP511" s="33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3"/>
      <c r="BP511" s="33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3"/>
      <c r="CC511" s="33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3"/>
      <c r="CP511" s="33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3"/>
      <c r="DC511" s="33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3"/>
      <c r="DP511" s="33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3"/>
      <c r="EC511" s="33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3"/>
      <c r="EP511" s="33"/>
      <c r="EQ511" s="33"/>
      <c r="ER511" s="33"/>
      <c r="ES511" s="33"/>
    </row>
    <row r="512">
      <c r="A512" s="33"/>
      <c r="B512" s="33"/>
      <c r="C512" s="33"/>
      <c r="D512" s="33"/>
      <c r="E512" s="33"/>
      <c r="F512" s="33"/>
      <c r="G512" s="85"/>
      <c r="H512" s="85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33"/>
      <c r="Y512" s="33"/>
      <c r="Z512" s="33"/>
      <c r="AA512" s="33"/>
      <c r="AB512" s="33"/>
      <c r="AC512" s="33"/>
      <c r="AD512" s="33"/>
      <c r="AE512" s="33"/>
      <c r="AF512" s="33"/>
      <c r="AG512" s="33"/>
      <c r="AH512" s="33"/>
      <c r="AI512" s="33"/>
      <c r="AJ512" s="33"/>
      <c r="AK512" s="33"/>
      <c r="AL512" s="33"/>
      <c r="AM512" s="33"/>
      <c r="AN512" s="33"/>
      <c r="AO512" s="33"/>
      <c r="AP512" s="33"/>
      <c r="AQ512" s="33"/>
      <c r="AR512" s="33"/>
      <c r="AS512" s="33"/>
      <c r="AT512" s="33"/>
      <c r="AU512" s="33"/>
      <c r="AV512" s="33"/>
      <c r="AW512" s="33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  <c r="BI512" s="33"/>
      <c r="BJ512" s="33"/>
      <c r="BK512" s="33"/>
      <c r="BL512" s="33"/>
      <c r="BM512" s="33"/>
      <c r="BN512" s="33"/>
      <c r="BO512" s="33"/>
      <c r="BP512" s="33"/>
      <c r="BQ512" s="33"/>
      <c r="BR512" s="33"/>
      <c r="BS512" s="33"/>
      <c r="BT512" s="33"/>
      <c r="BU512" s="33"/>
      <c r="BV512" s="33"/>
      <c r="BW512" s="33"/>
      <c r="BX512" s="33"/>
      <c r="BY512" s="33"/>
      <c r="BZ512" s="33"/>
      <c r="CA512" s="33"/>
      <c r="CB512" s="33"/>
      <c r="CC512" s="33"/>
      <c r="CD512" s="33"/>
      <c r="CE512" s="33"/>
      <c r="CF512" s="33"/>
      <c r="CG512" s="33"/>
      <c r="CH512" s="33"/>
      <c r="CI512" s="33"/>
      <c r="CJ512" s="33"/>
      <c r="CK512" s="33"/>
      <c r="CL512" s="33"/>
      <c r="CM512" s="33"/>
      <c r="CN512" s="33"/>
      <c r="CO512" s="33"/>
      <c r="CP512" s="33"/>
      <c r="CQ512" s="33"/>
      <c r="CR512" s="33"/>
      <c r="CS512" s="33"/>
      <c r="CT512" s="33"/>
      <c r="CU512" s="33"/>
      <c r="CV512" s="33"/>
      <c r="CW512" s="33"/>
      <c r="CX512" s="33"/>
      <c r="CY512" s="33"/>
      <c r="CZ512" s="33"/>
      <c r="DA512" s="33"/>
      <c r="DB512" s="33"/>
      <c r="DC512" s="33"/>
      <c r="DD512" s="33"/>
      <c r="DE512" s="33"/>
      <c r="DF512" s="33"/>
      <c r="DG512" s="33"/>
      <c r="DH512" s="33"/>
      <c r="DI512" s="33"/>
      <c r="DJ512" s="33"/>
      <c r="DK512" s="33"/>
      <c r="DL512" s="33"/>
      <c r="DM512" s="33"/>
      <c r="DN512" s="33"/>
      <c r="DO512" s="33"/>
      <c r="DP512" s="33"/>
      <c r="DQ512" s="33"/>
      <c r="DR512" s="33"/>
      <c r="DS512" s="33"/>
      <c r="DT512" s="33"/>
      <c r="DU512" s="33"/>
      <c r="DV512" s="33"/>
      <c r="DW512" s="33"/>
      <c r="DX512" s="33"/>
      <c r="DY512" s="33"/>
      <c r="DZ512" s="33"/>
      <c r="EA512" s="33"/>
      <c r="EB512" s="33"/>
      <c r="EC512" s="33"/>
      <c r="ED512" s="33"/>
      <c r="EE512" s="33"/>
      <c r="EF512" s="33"/>
      <c r="EG512" s="33"/>
      <c r="EH512" s="33"/>
      <c r="EI512" s="33"/>
      <c r="EJ512" s="33"/>
      <c r="EK512" s="33"/>
      <c r="EL512" s="33"/>
      <c r="EM512" s="33"/>
      <c r="EN512" s="33"/>
      <c r="EO512" s="33"/>
      <c r="EP512" s="33"/>
      <c r="EQ512" s="33"/>
      <c r="ER512" s="33"/>
      <c r="ES512" s="33"/>
    </row>
    <row r="513">
      <c r="A513" s="33"/>
      <c r="B513" s="33"/>
      <c r="C513" s="33"/>
      <c r="D513" s="33"/>
      <c r="E513" s="33"/>
      <c r="F513" s="33"/>
      <c r="G513" s="85"/>
      <c r="H513" s="85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3"/>
      <c r="AC513" s="33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3"/>
      <c r="AP513" s="33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3"/>
      <c r="BP513" s="33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3"/>
      <c r="CC513" s="33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3"/>
      <c r="CP513" s="33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3"/>
      <c r="DC513" s="33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3"/>
      <c r="DP513" s="33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3"/>
      <c r="EC513" s="33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3"/>
      <c r="EP513" s="33"/>
      <c r="EQ513" s="33"/>
      <c r="ER513" s="33"/>
      <c r="ES513" s="33"/>
    </row>
    <row r="514">
      <c r="A514" s="33"/>
      <c r="B514" s="33"/>
      <c r="C514" s="33"/>
      <c r="D514" s="33"/>
      <c r="E514" s="33"/>
      <c r="F514" s="33"/>
      <c r="G514" s="85"/>
      <c r="H514" s="85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33"/>
      <c r="Y514" s="33"/>
      <c r="Z514" s="33"/>
      <c r="AA514" s="33"/>
      <c r="AB514" s="33"/>
      <c r="AC514" s="33"/>
      <c r="AD514" s="33"/>
      <c r="AE514" s="33"/>
      <c r="AF514" s="33"/>
      <c r="AG514" s="33"/>
      <c r="AH514" s="33"/>
      <c r="AI514" s="33"/>
      <c r="AJ514" s="33"/>
      <c r="AK514" s="33"/>
      <c r="AL514" s="33"/>
      <c r="AM514" s="33"/>
      <c r="AN514" s="33"/>
      <c r="AO514" s="33"/>
      <c r="AP514" s="33"/>
      <c r="AQ514" s="33"/>
      <c r="AR514" s="33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  <c r="BI514" s="33"/>
      <c r="BJ514" s="33"/>
      <c r="BK514" s="33"/>
      <c r="BL514" s="33"/>
      <c r="BM514" s="33"/>
      <c r="BN514" s="33"/>
      <c r="BO514" s="33"/>
      <c r="BP514" s="33"/>
      <c r="BQ514" s="33"/>
      <c r="BR514" s="33"/>
      <c r="BS514" s="33"/>
      <c r="BT514" s="33"/>
      <c r="BU514" s="33"/>
      <c r="BV514" s="33"/>
      <c r="BW514" s="33"/>
      <c r="BX514" s="33"/>
      <c r="BY514" s="33"/>
      <c r="BZ514" s="33"/>
      <c r="CA514" s="33"/>
      <c r="CB514" s="33"/>
      <c r="CC514" s="33"/>
      <c r="CD514" s="33"/>
      <c r="CE514" s="33"/>
      <c r="CF514" s="33"/>
      <c r="CG514" s="33"/>
      <c r="CH514" s="33"/>
      <c r="CI514" s="33"/>
      <c r="CJ514" s="33"/>
      <c r="CK514" s="33"/>
      <c r="CL514" s="33"/>
      <c r="CM514" s="33"/>
      <c r="CN514" s="33"/>
      <c r="CO514" s="33"/>
      <c r="CP514" s="33"/>
      <c r="CQ514" s="33"/>
      <c r="CR514" s="33"/>
      <c r="CS514" s="33"/>
      <c r="CT514" s="33"/>
      <c r="CU514" s="33"/>
      <c r="CV514" s="33"/>
      <c r="CW514" s="33"/>
      <c r="CX514" s="33"/>
      <c r="CY514" s="33"/>
      <c r="CZ514" s="33"/>
      <c r="DA514" s="33"/>
      <c r="DB514" s="33"/>
      <c r="DC514" s="33"/>
      <c r="DD514" s="33"/>
      <c r="DE514" s="33"/>
      <c r="DF514" s="33"/>
      <c r="DG514" s="33"/>
      <c r="DH514" s="33"/>
      <c r="DI514" s="33"/>
      <c r="DJ514" s="33"/>
      <c r="DK514" s="33"/>
      <c r="DL514" s="33"/>
      <c r="DM514" s="33"/>
      <c r="DN514" s="33"/>
      <c r="DO514" s="33"/>
      <c r="DP514" s="33"/>
      <c r="DQ514" s="33"/>
      <c r="DR514" s="33"/>
      <c r="DS514" s="33"/>
      <c r="DT514" s="33"/>
      <c r="DU514" s="33"/>
      <c r="DV514" s="33"/>
      <c r="DW514" s="33"/>
      <c r="DX514" s="33"/>
      <c r="DY514" s="33"/>
      <c r="DZ514" s="33"/>
      <c r="EA514" s="33"/>
      <c r="EB514" s="33"/>
      <c r="EC514" s="33"/>
      <c r="ED514" s="33"/>
      <c r="EE514" s="33"/>
      <c r="EF514" s="33"/>
      <c r="EG514" s="33"/>
      <c r="EH514" s="33"/>
      <c r="EI514" s="33"/>
      <c r="EJ514" s="33"/>
      <c r="EK514" s="33"/>
      <c r="EL514" s="33"/>
      <c r="EM514" s="33"/>
      <c r="EN514" s="33"/>
      <c r="EO514" s="33"/>
      <c r="EP514" s="33"/>
      <c r="EQ514" s="33"/>
      <c r="ER514" s="33"/>
      <c r="ES514" s="33"/>
    </row>
    <row r="515">
      <c r="A515" s="33"/>
      <c r="B515" s="33"/>
      <c r="C515" s="33"/>
      <c r="D515" s="33"/>
      <c r="E515" s="33"/>
      <c r="F515" s="33"/>
      <c r="G515" s="85"/>
      <c r="H515" s="85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3"/>
      <c r="AC515" s="33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3"/>
      <c r="AP515" s="33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3"/>
      <c r="BP515" s="33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3"/>
      <c r="CC515" s="33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3"/>
      <c r="CP515" s="33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3"/>
      <c r="DC515" s="33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3"/>
      <c r="DP515" s="33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3"/>
      <c r="EC515" s="33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3"/>
      <c r="EP515" s="33"/>
      <c r="EQ515" s="33"/>
      <c r="ER515" s="33"/>
      <c r="ES515" s="33"/>
    </row>
    <row r="516">
      <c r="A516" s="33"/>
      <c r="B516" s="33"/>
      <c r="C516" s="33"/>
      <c r="D516" s="33"/>
      <c r="E516" s="33"/>
      <c r="F516" s="33"/>
      <c r="G516" s="85"/>
      <c r="H516" s="85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33"/>
      <c r="Y516" s="33"/>
      <c r="Z516" s="33"/>
      <c r="AA516" s="33"/>
      <c r="AB516" s="33"/>
      <c r="AC516" s="33"/>
      <c r="AD516" s="33"/>
      <c r="AE516" s="33"/>
      <c r="AF516" s="33"/>
      <c r="AG516" s="33"/>
      <c r="AH516" s="33"/>
      <c r="AI516" s="33"/>
      <c r="AJ516" s="33"/>
      <c r="AK516" s="33"/>
      <c r="AL516" s="33"/>
      <c r="AM516" s="33"/>
      <c r="AN516" s="33"/>
      <c r="AO516" s="33"/>
      <c r="AP516" s="33"/>
      <c r="AQ516" s="33"/>
      <c r="AR516" s="33"/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  <c r="BI516" s="33"/>
      <c r="BJ516" s="33"/>
      <c r="BK516" s="33"/>
      <c r="BL516" s="33"/>
      <c r="BM516" s="33"/>
      <c r="BN516" s="33"/>
      <c r="BO516" s="33"/>
      <c r="BP516" s="33"/>
      <c r="BQ516" s="33"/>
      <c r="BR516" s="33"/>
      <c r="BS516" s="33"/>
      <c r="BT516" s="33"/>
      <c r="BU516" s="33"/>
      <c r="BV516" s="33"/>
      <c r="BW516" s="33"/>
      <c r="BX516" s="33"/>
      <c r="BY516" s="33"/>
      <c r="BZ516" s="33"/>
      <c r="CA516" s="33"/>
      <c r="CB516" s="33"/>
      <c r="CC516" s="33"/>
      <c r="CD516" s="33"/>
      <c r="CE516" s="33"/>
      <c r="CF516" s="33"/>
      <c r="CG516" s="33"/>
      <c r="CH516" s="33"/>
      <c r="CI516" s="33"/>
      <c r="CJ516" s="33"/>
      <c r="CK516" s="33"/>
      <c r="CL516" s="33"/>
      <c r="CM516" s="33"/>
      <c r="CN516" s="33"/>
      <c r="CO516" s="33"/>
      <c r="CP516" s="33"/>
      <c r="CQ516" s="33"/>
      <c r="CR516" s="33"/>
      <c r="CS516" s="33"/>
      <c r="CT516" s="33"/>
      <c r="CU516" s="33"/>
      <c r="CV516" s="33"/>
      <c r="CW516" s="33"/>
      <c r="CX516" s="33"/>
      <c r="CY516" s="33"/>
      <c r="CZ516" s="33"/>
      <c r="DA516" s="33"/>
      <c r="DB516" s="33"/>
      <c r="DC516" s="33"/>
      <c r="DD516" s="33"/>
      <c r="DE516" s="33"/>
      <c r="DF516" s="33"/>
      <c r="DG516" s="33"/>
      <c r="DH516" s="33"/>
      <c r="DI516" s="33"/>
      <c r="DJ516" s="33"/>
      <c r="DK516" s="33"/>
      <c r="DL516" s="33"/>
      <c r="DM516" s="33"/>
      <c r="DN516" s="33"/>
      <c r="DO516" s="33"/>
      <c r="DP516" s="33"/>
      <c r="DQ516" s="33"/>
      <c r="DR516" s="33"/>
      <c r="DS516" s="33"/>
      <c r="DT516" s="33"/>
      <c r="DU516" s="33"/>
      <c r="DV516" s="33"/>
      <c r="DW516" s="33"/>
      <c r="DX516" s="33"/>
      <c r="DY516" s="33"/>
      <c r="DZ516" s="33"/>
      <c r="EA516" s="33"/>
      <c r="EB516" s="33"/>
      <c r="EC516" s="33"/>
      <c r="ED516" s="33"/>
      <c r="EE516" s="33"/>
      <c r="EF516" s="33"/>
      <c r="EG516" s="33"/>
      <c r="EH516" s="33"/>
      <c r="EI516" s="33"/>
      <c r="EJ516" s="33"/>
      <c r="EK516" s="33"/>
      <c r="EL516" s="33"/>
      <c r="EM516" s="33"/>
      <c r="EN516" s="33"/>
      <c r="EO516" s="33"/>
      <c r="EP516" s="33"/>
      <c r="EQ516" s="33"/>
      <c r="ER516" s="33"/>
      <c r="ES516" s="33"/>
    </row>
    <row r="517">
      <c r="A517" s="33"/>
      <c r="B517" s="33"/>
      <c r="C517" s="33"/>
      <c r="D517" s="33"/>
      <c r="E517" s="33"/>
      <c r="F517" s="33"/>
      <c r="G517" s="85"/>
      <c r="H517" s="85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3"/>
      <c r="AC517" s="33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3"/>
      <c r="AP517" s="33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3"/>
      <c r="BP517" s="33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3"/>
      <c r="CC517" s="33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3"/>
      <c r="CP517" s="33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3"/>
      <c r="DC517" s="33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3"/>
      <c r="DP517" s="33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3"/>
      <c r="EC517" s="33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3"/>
      <c r="EP517" s="33"/>
      <c r="EQ517" s="33"/>
      <c r="ER517" s="33"/>
      <c r="ES517" s="33"/>
    </row>
    <row r="518">
      <c r="A518" s="33"/>
      <c r="B518" s="33"/>
      <c r="C518" s="33"/>
      <c r="D518" s="33"/>
      <c r="E518" s="33"/>
      <c r="F518" s="33"/>
      <c r="G518" s="85"/>
      <c r="H518" s="85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33"/>
      <c r="Y518" s="33"/>
      <c r="Z518" s="33"/>
      <c r="AA518" s="33"/>
      <c r="AB518" s="33"/>
      <c r="AC518" s="33"/>
      <c r="AD518" s="33"/>
      <c r="AE518" s="33"/>
      <c r="AF518" s="33"/>
      <c r="AG518" s="33"/>
      <c r="AH518" s="33"/>
      <c r="AI518" s="33"/>
      <c r="AJ518" s="33"/>
      <c r="AK518" s="33"/>
      <c r="AL518" s="33"/>
      <c r="AM518" s="33"/>
      <c r="AN518" s="33"/>
      <c r="AO518" s="33"/>
      <c r="AP518" s="33"/>
      <c r="AQ518" s="33"/>
      <c r="AR518" s="33"/>
      <c r="AS518" s="33"/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  <c r="BI518" s="33"/>
      <c r="BJ518" s="33"/>
      <c r="BK518" s="33"/>
      <c r="BL518" s="33"/>
      <c r="BM518" s="33"/>
      <c r="BN518" s="33"/>
      <c r="BO518" s="33"/>
      <c r="BP518" s="33"/>
      <c r="BQ518" s="33"/>
      <c r="BR518" s="33"/>
      <c r="BS518" s="33"/>
      <c r="BT518" s="33"/>
      <c r="BU518" s="33"/>
      <c r="BV518" s="33"/>
      <c r="BW518" s="33"/>
      <c r="BX518" s="33"/>
      <c r="BY518" s="33"/>
      <c r="BZ518" s="33"/>
      <c r="CA518" s="33"/>
      <c r="CB518" s="33"/>
      <c r="CC518" s="33"/>
      <c r="CD518" s="33"/>
      <c r="CE518" s="33"/>
      <c r="CF518" s="33"/>
      <c r="CG518" s="33"/>
      <c r="CH518" s="33"/>
      <c r="CI518" s="33"/>
      <c r="CJ518" s="33"/>
      <c r="CK518" s="33"/>
      <c r="CL518" s="33"/>
      <c r="CM518" s="33"/>
      <c r="CN518" s="33"/>
      <c r="CO518" s="33"/>
      <c r="CP518" s="33"/>
      <c r="CQ518" s="33"/>
      <c r="CR518" s="33"/>
      <c r="CS518" s="33"/>
      <c r="CT518" s="33"/>
      <c r="CU518" s="33"/>
      <c r="CV518" s="33"/>
      <c r="CW518" s="33"/>
      <c r="CX518" s="33"/>
      <c r="CY518" s="33"/>
      <c r="CZ518" s="33"/>
      <c r="DA518" s="33"/>
      <c r="DB518" s="33"/>
      <c r="DC518" s="33"/>
      <c r="DD518" s="33"/>
      <c r="DE518" s="33"/>
      <c r="DF518" s="33"/>
      <c r="DG518" s="33"/>
      <c r="DH518" s="33"/>
      <c r="DI518" s="33"/>
      <c r="DJ518" s="33"/>
      <c r="DK518" s="33"/>
      <c r="DL518" s="33"/>
      <c r="DM518" s="33"/>
      <c r="DN518" s="33"/>
      <c r="DO518" s="33"/>
      <c r="DP518" s="33"/>
      <c r="DQ518" s="33"/>
      <c r="DR518" s="33"/>
      <c r="DS518" s="33"/>
      <c r="DT518" s="33"/>
      <c r="DU518" s="33"/>
      <c r="DV518" s="33"/>
      <c r="DW518" s="33"/>
      <c r="DX518" s="33"/>
      <c r="DY518" s="33"/>
      <c r="DZ518" s="33"/>
      <c r="EA518" s="33"/>
      <c r="EB518" s="33"/>
      <c r="EC518" s="33"/>
      <c r="ED518" s="33"/>
      <c r="EE518" s="33"/>
      <c r="EF518" s="33"/>
      <c r="EG518" s="33"/>
      <c r="EH518" s="33"/>
      <c r="EI518" s="33"/>
      <c r="EJ518" s="33"/>
      <c r="EK518" s="33"/>
      <c r="EL518" s="33"/>
      <c r="EM518" s="33"/>
      <c r="EN518" s="33"/>
      <c r="EO518" s="33"/>
      <c r="EP518" s="33"/>
      <c r="EQ518" s="33"/>
      <c r="ER518" s="33"/>
      <c r="ES518" s="33"/>
    </row>
    <row r="519">
      <c r="A519" s="33"/>
      <c r="B519" s="33"/>
      <c r="C519" s="33"/>
      <c r="D519" s="33"/>
      <c r="E519" s="33"/>
      <c r="F519" s="33"/>
      <c r="G519" s="85"/>
      <c r="H519" s="85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3"/>
      <c r="AC519" s="33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3"/>
      <c r="AP519" s="33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3"/>
      <c r="BP519" s="33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3"/>
      <c r="CC519" s="33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3"/>
      <c r="CP519" s="33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3"/>
      <c r="DC519" s="33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3"/>
      <c r="DP519" s="33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3"/>
      <c r="EC519" s="33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3"/>
      <c r="EP519" s="33"/>
      <c r="EQ519" s="33"/>
      <c r="ER519" s="33"/>
      <c r="ES519" s="33"/>
    </row>
    <row r="520">
      <c r="A520" s="33"/>
      <c r="B520" s="33"/>
      <c r="C520" s="33"/>
      <c r="D520" s="33"/>
      <c r="E520" s="33"/>
      <c r="F520" s="33"/>
      <c r="G520" s="85"/>
      <c r="H520" s="85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33"/>
      <c r="Y520" s="33"/>
      <c r="Z520" s="33"/>
      <c r="AA520" s="33"/>
      <c r="AB520" s="33"/>
      <c r="AC520" s="33"/>
      <c r="AD520" s="33"/>
      <c r="AE520" s="33"/>
      <c r="AF520" s="33"/>
      <c r="AG520" s="33"/>
      <c r="AH520" s="33"/>
      <c r="AI520" s="33"/>
      <c r="AJ520" s="33"/>
      <c r="AK520" s="33"/>
      <c r="AL520" s="33"/>
      <c r="AM520" s="33"/>
      <c r="AN520" s="33"/>
      <c r="AO520" s="33"/>
      <c r="AP520" s="33"/>
      <c r="AQ520" s="33"/>
      <c r="AR520" s="33"/>
      <c r="AS520" s="33"/>
      <c r="AT520" s="33"/>
      <c r="AU520" s="33"/>
      <c r="AV520" s="33"/>
      <c r="AW520" s="33"/>
      <c r="AX520" s="33"/>
      <c r="AY520" s="33"/>
      <c r="AZ520" s="33"/>
      <c r="BA520" s="33"/>
      <c r="BB520" s="33"/>
      <c r="BC520" s="33"/>
      <c r="BD520" s="33"/>
      <c r="BE520" s="33"/>
      <c r="BF520" s="33"/>
      <c r="BG520" s="33"/>
      <c r="BH520" s="33"/>
      <c r="BI520" s="33"/>
      <c r="BJ520" s="33"/>
      <c r="BK520" s="33"/>
      <c r="BL520" s="33"/>
      <c r="BM520" s="33"/>
      <c r="BN520" s="33"/>
      <c r="BO520" s="33"/>
      <c r="BP520" s="33"/>
      <c r="BQ520" s="33"/>
      <c r="BR520" s="33"/>
      <c r="BS520" s="33"/>
      <c r="BT520" s="33"/>
      <c r="BU520" s="33"/>
      <c r="BV520" s="33"/>
      <c r="BW520" s="33"/>
      <c r="BX520" s="33"/>
      <c r="BY520" s="33"/>
      <c r="BZ520" s="33"/>
      <c r="CA520" s="33"/>
      <c r="CB520" s="33"/>
      <c r="CC520" s="33"/>
      <c r="CD520" s="33"/>
      <c r="CE520" s="33"/>
      <c r="CF520" s="33"/>
      <c r="CG520" s="33"/>
      <c r="CH520" s="33"/>
      <c r="CI520" s="33"/>
      <c r="CJ520" s="33"/>
      <c r="CK520" s="33"/>
      <c r="CL520" s="33"/>
      <c r="CM520" s="33"/>
      <c r="CN520" s="33"/>
      <c r="CO520" s="33"/>
      <c r="CP520" s="33"/>
      <c r="CQ520" s="33"/>
      <c r="CR520" s="33"/>
      <c r="CS520" s="33"/>
      <c r="CT520" s="33"/>
      <c r="CU520" s="33"/>
      <c r="CV520" s="33"/>
      <c r="CW520" s="33"/>
      <c r="CX520" s="33"/>
      <c r="CY520" s="33"/>
      <c r="CZ520" s="33"/>
      <c r="DA520" s="33"/>
      <c r="DB520" s="33"/>
      <c r="DC520" s="33"/>
      <c r="DD520" s="33"/>
      <c r="DE520" s="33"/>
      <c r="DF520" s="33"/>
      <c r="DG520" s="33"/>
      <c r="DH520" s="33"/>
      <c r="DI520" s="33"/>
      <c r="DJ520" s="33"/>
      <c r="DK520" s="33"/>
      <c r="DL520" s="33"/>
      <c r="DM520" s="33"/>
      <c r="DN520" s="33"/>
      <c r="DO520" s="33"/>
      <c r="DP520" s="33"/>
      <c r="DQ520" s="33"/>
      <c r="DR520" s="33"/>
      <c r="DS520" s="33"/>
      <c r="DT520" s="33"/>
      <c r="DU520" s="33"/>
      <c r="DV520" s="33"/>
      <c r="DW520" s="33"/>
      <c r="DX520" s="33"/>
      <c r="DY520" s="33"/>
      <c r="DZ520" s="33"/>
      <c r="EA520" s="33"/>
      <c r="EB520" s="33"/>
      <c r="EC520" s="33"/>
      <c r="ED520" s="33"/>
      <c r="EE520" s="33"/>
      <c r="EF520" s="33"/>
      <c r="EG520" s="33"/>
      <c r="EH520" s="33"/>
      <c r="EI520" s="33"/>
      <c r="EJ520" s="33"/>
      <c r="EK520" s="33"/>
      <c r="EL520" s="33"/>
      <c r="EM520" s="33"/>
      <c r="EN520" s="33"/>
      <c r="EO520" s="33"/>
      <c r="EP520" s="33"/>
      <c r="EQ520" s="33"/>
      <c r="ER520" s="33"/>
      <c r="ES520" s="33"/>
    </row>
    <row r="521">
      <c r="A521" s="33"/>
      <c r="B521" s="33"/>
      <c r="C521" s="33"/>
      <c r="D521" s="33"/>
      <c r="E521" s="33"/>
      <c r="F521" s="33"/>
      <c r="G521" s="85"/>
      <c r="H521" s="85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3"/>
      <c r="AC521" s="33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3"/>
      <c r="AP521" s="33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3"/>
      <c r="BP521" s="33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3"/>
      <c r="CC521" s="33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3"/>
      <c r="CP521" s="33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3"/>
      <c r="DC521" s="33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3"/>
      <c r="DP521" s="33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3"/>
      <c r="EC521" s="33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3"/>
      <c r="EP521" s="33"/>
      <c r="EQ521" s="33"/>
      <c r="ER521" s="33"/>
      <c r="ES521" s="33"/>
    </row>
    <row r="522">
      <c r="A522" s="33"/>
      <c r="B522" s="33"/>
      <c r="C522" s="33"/>
      <c r="D522" s="33"/>
      <c r="E522" s="33"/>
      <c r="F522" s="33"/>
      <c r="G522" s="85"/>
      <c r="H522" s="85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33"/>
      <c r="Y522" s="33"/>
      <c r="Z522" s="33"/>
      <c r="AA522" s="33"/>
      <c r="AB522" s="33"/>
      <c r="AC522" s="33"/>
      <c r="AD522" s="33"/>
      <c r="AE522" s="33"/>
      <c r="AF522" s="33"/>
      <c r="AG522" s="33"/>
      <c r="AH522" s="33"/>
      <c r="AI522" s="33"/>
      <c r="AJ522" s="33"/>
      <c r="AK522" s="33"/>
      <c r="AL522" s="33"/>
      <c r="AM522" s="33"/>
      <c r="AN522" s="33"/>
      <c r="AO522" s="33"/>
      <c r="AP522" s="33"/>
      <c r="AQ522" s="33"/>
      <c r="AR522" s="33"/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  <c r="BG522" s="33"/>
      <c r="BH522" s="33"/>
      <c r="BI522" s="33"/>
      <c r="BJ522" s="33"/>
      <c r="BK522" s="33"/>
      <c r="BL522" s="33"/>
      <c r="BM522" s="33"/>
      <c r="BN522" s="33"/>
      <c r="BO522" s="33"/>
      <c r="BP522" s="33"/>
      <c r="BQ522" s="33"/>
      <c r="BR522" s="33"/>
      <c r="BS522" s="33"/>
      <c r="BT522" s="33"/>
      <c r="BU522" s="33"/>
      <c r="BV522" s="33"/>
      <c r="BW522" s="33"/>
      <c r="BX522" s="33"/>
      <c r="BY522" s="33"/>
      <c r="BZ522" s="33"/>
      <c r="CA522" s="33"/>
      <c r="CB522" s="33"/>
      <c r="CC522" s="33"/>
      <c r="CD522" s="33"/>
      <c r="CE522" s="33"/>
      <c r="CF522" s="33"/>
      <c r="CG522" s="33"/>
      <c r="CH522" s="33"/>
      <c r="CI522" s="33"/>
      <c r="CJ522" s="33"/>
      <c r="CK522" s="33"/>
      <c r="CL522" s="33"/>
      <c r="CM522" s="33"/>
      <c r="CN522" s="33"/>
      <c r="CO522" s="33"/>
      <c r="CP522" s="33"/>
      <c r="CQ522" s="33"/>
      <c r="CR522" s="33"/>
      <c r="CS522" s="33"/>
      <c r="CT522" s="33"/>
      <c r="CU522" s="33"/>
      <c r="CV522" s="33"/>
      <c r="CW522" s="33"/>
      <c r="CX522" s="33"/>
      <c r="CY522" s="33"/>
      <c r="CZ522" s="33"/>
      <c r="DA522" s="33"/>
      <c r="DB522" s="33"/>
      <c r="DC522" s="33"/>
      <c r="DD522" s="33"/>
      <c r="DE522" s="33"/>
      <c r="DF522" s="33"/>
      <c r="DG522" s="33"/>
      <c r="DH522" s="33"/>
      <c r="DI522" s="33"/>
      <c r="DJ522" s="33"/>
      <c r="DK522" s="33"/>
      <c r="DL522" s="33"/>
      <c r="DM522" s="33"/>
      <c r="DN522" s="33"/>
      <c r="DO522" s="33"/>
      <c r="DP522" s="33"/>
      <c r="DQ522" s="33"/>
      <c r="DR522" s="33"/>
      <c r="DS522" s="33"/>
      <c r="DT522" s="33"/>
      <c r="DU522" s="33"/>
      <c r="DV522" s="33"/>
      <c r="DW522" s="33"/>
      <c r="DX522" s="33"/>
      <c r="DY522" s="33"/>
      <c r="DZ522" s="33"/>
      <c r="EA522" s="33"/>
      <c r="EB522" s="33"/>
      <c r="EC522" s="33"/>
      <c r="ED522" s="33"/>
      <c r="EE522" s="33"/>
      <c r="EF522" s="33"/>
      <c r="EG522" s="33"/>
      <c r="EH522" s="33"/>
      <c r="EI522" s="33"/>
      <c r="EJ522" s="33"/>
      <c r="EK522" s="33"/>
      <c r="EL522" s="33"/>
      <c r="EM522" s="33"/>
      <c r="EN522" s="33"/>
      <c r="EO522" s="33"/>
      <c r="EP522" s="33"/>
      <c r="EQ522" s="33"/>
      <c r="ER522" s="33"/>
      <c r="ES522" s="33"/>
    </row>
    <row r="523">
      <c r="A523" s="33"/>
      <c r="B523" s="33"/>
      <c r="C523" s="33"/>
      <c r="D523" s="33"/>
      <c r="E523" s="33"/>
      <c r="F523" s="33"/>
      <c r="G523" s="85"/>
      <c r="H523" s="85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3"/>
      <c r="AC523" s="33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3"/>
      <c r="AP523" s="33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3"/>
      <c r="BP523" s="33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3"/>
      <c r="CC523" s="33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3"/>
      <c r="CP523" s="33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3"/>
      <c r="DC523" s="33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3"/>
      <c r="DP523" s="33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3"/>
      <c r="EC523" s="33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3"/>
      <c r="EP523" s="33"/>
      <c r="EQ523" s="33"/>
      <c r="ER523" s="33"/>
      <c r="ES523" s="33"/>
    </row>
    <row r="524">
      <c r="A524" s="33"/>
      <c r="B524" s="33"/>
      <c r="C524" s="33"/>
      <c r="D524" s="33"/>
      <c r="E524" s="33"/>
      <c r="F524" s="33"/>
      <c r="G524" s="85"/>
      <c r="H524" s="85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33"/>
      <c r="Y524" s="33"/>
      <c r="Z524" s="33"/>
      <c r="AA524" s="33"/>
      <c r="AB524" s="33"/>
      <c r="AC524" s="33"/>
      <c r="AD524" s="33"/>
      <c r="AE524" s="33"/>
      <c r="AF524" s="33"/>
      <c r="AG524" s="33"/>
      <c r="AH524" s="33"/>
      <c r="AI524" s="33"/>
      <c r="AJ524" s="33"/>
      <c r="AK524" s="33"/>
      <c r="AL524" s="33"/>
      <c r="AM524" s="33"/>
      <c r="AN524" s="33"/>
      <c r="AO524" s="33"/>
      <c r="AP524" s="33"/>
      <c r="AQ524" s="33"/>
      <c r="AR524" s="33"/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  <c r="BG524" s="33"/>
      <c r="BH524" s="33"/>
      <c r="BI524" s="33"/>
      <c r="BJ524" s="33"/>
      <c r="BK524" s="33"/>
      <c r="BL524" s="33"/>
      <c r="BM524" s="33"/>
      <c r="BN524" s="33"/>
      <c r="BO524" s="33"/>
      <c r="BP524" s="33"/>
      <c r="BQ524" s="33"/>
      <c r="BR524" s="33"/>
      <c r="BS524" s="33"/>
      <c r="BT524" s="33"/>
      <c r="BU524" s="33"/>
      <c r="BV524" s="33"/>
      <c r="BW524" s="33"/>
      <c r="BX524" s="33"/>
      <c r="BY524" s="33"/>
      <c r="BZ524" s="33"/>
      <c r="CA524" s="33"/>
      <c r="CB524" s="33"/>
      <c r="CC524" s="33"/>
      <c r="CD524" s="33"/>
      <c r="CE524" s="33"/>
      <c r="CF524" s="33"/>
      <c r="CG524" s="33"/>
      <c r="CH524" s="33"/>
      <c r="CI524" s="33"/>
      <c r="CJ524" s="33"/>
      <c r="CK524" s="33"/>
      <c r="CL524" s="33"/>
      <c r="CM524" s="33"/>
      <c r="CN524" s="33"/>
      <c r="CO524" s="33"/>
      <c r="CP524" s="33"/>
      <c r="CQ524" s="33"/>
      <c r="CR524" s="33"/>
      <c r="CS524" s="33"/>
      <c r="CT524" s="33"/>
      <c r="CU524" s="33"/>
      <c r="CV524" s="33"/>
      <c r="CW524" s="33"/>
      <c r="CX524" s="33"/>
      <c r="CY524" s="33"/>
      <c r="CZ524" s="33"/>
      <c r="DA524" s="33"/>
      <c r="DB524" s="33"/>
      <c r="DC524" s="33"/>
      <c r="DD524" s="33"/>
      <c r="DE524" s="33"/>
      <c r="DF524" s="33"/>
      <c r="DG524" s="33"/>
      <c r="DH524" s="33"/>
      <c r="DI524" s="33"/>
      <c r="DJ524" s="33"/>
      <c r="DK524" s="33"/>
      <c r="DL524" s="33"/>
      <c r="DM524" s="33"/>
      <c r="DN524" s="33"/>
      <c r="DO524" s="33"/>
      <c r="DP524" s="33"/>
      <c r="DQ524" s="33"/>
      <c r="DR524" s="33"/>
      <c r="DS524" s="33"/>
      <c r="DT524" s="33"/>
      <c r="DU524" s="33"/>
      <c r="DV524" s="33"/>
      <c r="DW524" s="33"/>
      <c r="DX524" s="33"/>
      <c r="DY524" s="33"/>
      <c r="DZ524" s="33"/>
      <c r="EA524" s="33"/>
      <c r="EB524" s="33"/>
      <c r="EC524" s="33"/>
      <c r="ED524" s="33"/>
      <c r="EE524" s="33"/>
      <c r="EF524" s="33"/>
      <c r="EG524" s="33"/>
      <c r="EH524" s="33"/>
      <c r="EI524" s="33"/>
      <c r="EJ524" s="33"/>
      <c r="EK524" s="33"/>
      <c r="EL524" s="33"/>
      <c r="EM524" s="33"/>
      <c r="EN524" s="33"/>
      <c r="EO524" s="33"/>
      <c r="EP524" s="33"/>
      <c r="EQ524" s="33"/>
      <c r="ER524" s="33"/>
      <c r="ES524" s="33"/>
    </row>
    <row r="525">
      <c r="A525" s="33"/>
      <c r="B525" s="33"/>
      <c r="C525" s="33"/>
      <c r="D525" s="33"/>
      <c r="E525" s="33"/>
      <c r="F525" s="33"/>
      <c r="G525" s="85"/>
      <c r="H525" s="85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3"/>
      <c r="AC525" s="33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3"/>
      <c r="AP525" s="33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3"/>
      <c r="BC525" s="33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3"/>
      <c r="BP525" s="33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3"/>
      <c r="CC525" s="33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3"/>
      <c r="CP525" s="33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3"/>
      <c r="DC525" s="33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3"/>
      <c r="DP525" s="33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3"/>
      <c r="EC525" s="33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3"/>
      <c r="EP525" s="33"/>
      <c r="EQ525" s="33"/>
      <c r="ER525" s="33"/>
      <c r="ES525" s="33"/>
    </row>
    <row r="526">
      <c r="A526" s="33"/>
      <c r="B526" s="33"/>
      <c r="C526" s="33"/>
      <c r="D526" s="33"/>
      <c r="E526" s="33"/>
      <c r="F526" s="33"/>
      <c r="G526" s="85"/>
      <c r="H526" s="85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33"/>
      <c r="Y526" s="33"/>
      <c r="Z526" s="33"/>
      <c r="AA526" s="33"/>
      <c r="AB526" s="33"/>
      <c r="AC526" s="33"/>
      <c r="AD526" s="33"/>
      <c r="AE526" s="33"/>
      <c r="AF526" s="33"/>
      <c r="AG526" s="33"/>
      <c r="AH526" s="33"/>
      <c r="AI526" s="33"/>
      <c r="AJ526" s="33"/>
      <c r="AK526" s="33"/>
      <c r="AL526" s="33"/>
      <c r="AM526" s="33"/>
      <c r="AN526" s="33"/>
      <c r="AO526" s="33"/>
      <c r="AP526" s="33"/>
      <c r="AQ526" s="33"/>
      <c r="AR526" s="33"/>
      <c r="AS526" s="33"/>
      <c r="AT526" s="33"/>
      <c r="AU526" s="33"/>
      <c r="AV526" s="33"/>
      <c r="AW526" s="33"/>
      <c r="AX526" s="33"/>
      <c r="AY526" s="33"/>
      <c r="AZ526" s="33"/>
      <c r="BA526" s="33"/>
      <c r="BB526" s="33"/>
      <c r="BC526" s="33"/>
      <c r="BD526" s="33"/>
      <c r="BE526" s="33"/>
      <c r="BF526" s="33"/>
      <c r="BG526" s="33"/>
      <c r="BH526" s="33"/>
      <c r="BI526" s="33"/>
      <c r="BJ526" s="33"/>
      <c r="BK526" s="33"/>
      <c r="BL526" s="33"/>
      <c r="BM526" s="33"/>
      <c r="BN526" s="33"/>
      <c r="BO526" s="33"/>
      <c r="BP526" s="33"/>
      <c r="BQ526" s="33"/>
      <c r="BR526" s="33"/>
      <c r="BS526" s="33"/>
      <c r="BT526" s="33"/>
      <c r="BU526" s="33"/>
      <c r="BV526" s="33"/>
      <c r="BW526" s="33"/>
      <c r="BX526" s="33"/>
      <c r="BY526" s="33"/>
      <c r="BZ526" s="33"/>
      <c r="CA526" s="33"/>
      <c r="CB526" s="33"/>
      <c r="CC526" s="33"/>
      <c r="CD526" s="33"/>
      <c r="CE526" s="33"/>
      <c r="CF526" s="33"/>
      <c r="CG526" s="33"/>
      <c r="CH526" s="33"/>
      <c r="CI526" s="33"/>
      <c r="CJ526" s="33"/>
      <c r="CK526" s="33"/>
      <c r="CL526" s="33"/>
      <c r="CM526" s="33"/>
      <c r="CN526" s="33"/>
      <c r="CO526" s="33"/>
      <c r="CP526" s="33"/>
      <c r="CQ526" s="33"/>
      <c r="CR526" s="33"/>
      <c r="CS526" s="33"/>
      <c r="CT526" s="33"/>
      <c r="CU526" s="33"/>
      <c r="CV526" s="33"/>
      <c r="CW526" s="33"/>
      <c r="CX526" s="33"/>
      <c r="CY526" s="33"/>
      <c r="CZ526" s="33"/>
      <c r="DA526" s="33"/>
      <c r="DB526" s="33"/>
      <c r="DC526" s="33"/>
      <c r="DD526" s="33"/>
      <c r="DE526" s="33"/>
      <c r="DF526" s="33"/>
      <c r="DG526" s="33"/>
      <c r="DH526" s="33"/>
      <c r="DI526" s="33"/>
      <c r="DJ526" s="33"/>
      <c r="DK526" s="33"/>
      <c r="DL526" s="33"/>
      <c r="DM526" s="33"/>
      <c r="DN526" s="33"/>
      <c r="DO526" s="33"/>
      <c r="DP526" s="33"/>
      <c r="DQ526" s="33"/>
      <c r="DR526" s="33"/>
      <c r="DS526" s="33"/>
      <c r="DT526" s="33"/>
      <c r="DU526" s="33"/>
      <c r="DV526" s="33"/>
      <c r="DW526" s="33"/>
      <c r="DX526" s="33"/>
      <c r="DY526" s="33"/>
      <c r="DZ526" s="33"/>
      <c r="EA526" s="33"/>
      <c r="EB526" s="33"/>
      <c r="EC526" s="33"/>
      <c r="ED526" s="33"/>
      <c r="EE526" s="33"/>
      <c r="EF526" s="33"/>
      <c r="EG526" s="33"/>
      <c r="EH526" s="33"/>
      <c r="EI526" s="33"/>
      <c r="EJ526" s="33"/>
      <c r="EK526" s="33"/>
      <c r="EL526" s="33"/>
      <c r="EM526" s="33"/>
      <c r="EN526" s="33"/>
      <c r="EO526" s="33"/>
      <c r="EP526" s="33"/>
      <c r="EQ526" s="33"/>
      <c r="ER526" s="33"/>
      <c r="ES526" s="33"/>
    </row>
    <row r="527">
      <c r="A527" s="33"/>
      <c r="B527" s="33"/>
      <c r="C527" s="33"/>
      <c r="D527" s="33"/>
      <c r="E527" s="33"/>
      <c r="F527" s="33"/>
      <c r="G527" s="85"/>
      <c r="H527" s="85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3"/>
      <c r="AC527" s="33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3"/>
      <c r="AP527" s="33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3"/>
      <c r="BC527" s="33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3"/>
      <c r="BP527" s="33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3"/>
      <c r="CC527" s="33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3"/>
      <c r="CP527" s="33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3"/>
      <c r="DC527" s="33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3"/>
      <c r="DP527" s="33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3"/>
      <c r="EC527" s="33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3"/>
      <c r="EP527" s="33"/>
      <c r="EQ527" s="33"/>
      <c r="ER527" s="33"/>
      <c r="ES527" s="33"/>
    </row>
    <row r="528">
      <c r="A528" s="33"/>
      <c r="B528" s="33"/>
      <c r="C528" s="33"/>
      <c r="D528" s="33"/>
      <c r="E528" s="33"/>
      <c r="F528" s="33"/>
      <c r="G528" s="85"/>
      <c r="H528" s="85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33"/>
      <c r="Y528" s="33"/>
      <c r="Z528" s="33"/>
      <c r="AA528" s="33"/>
      <c r="AB528" s="33"/>
      <c r="AC528" s="33"/>
      <c r="AD528" s="33"/>
      <c r="AE528" s="33"/>
      <c r="AF528" s="33"/>
      <c r="AG528" s="33"/>
      <c r="AH528" s="33"/>
      <c r="AI528" s="33"/>
      <c r="AJ528" s="33"/>
      <c r="AK528" s="33"/>
      <c r="AL528" s="33"/>
      <c r="AM528" s="33"/>
      <c r="AN528" s="33"/>
      <c r="AO528" s="33"/>
      <c r="AP528" s="33"/>
      <c r="AQ528" s="33"/>
      <c r="AR528" s="33"/>
      <c r="AS528" s="33"/>
      <c r="AT528" s="33"/>
      <c r="AU528" s="33"/>
      <c r="AV528" s="33"/>
      <c r="AW528" s="33"/>
      <c r="AX528" s="33"/>
      <c r="AY528" s="33"/>
      <c r="AZ528" s="33"/>
      <c r="BA528" s="33"/>
      <c r="BB528" s="33"/>
      <c r="BC528" s="33"/>
      <c r="BD528" s="33"/>
      <c r="BE528" s="33"/>
      <c r="BF528" s="33"/>
      <c r="BG528" s="33"/>
      <c r="BH528" s="33"/>
      <c r="BI528" s="33"/>
      <c r="BJ528" s="33"/>
      <c r="BK528" s="33"/>
      <c r="BL528" s="33"/>
      <c r="BM528" s="33"/>
      <c r="BN528" s="33"/>
      <c r="BO528" s="33"/>
      <c r="BP528" s="33"/>
      <c r="BQ528" s="33"/>
      <c r="BR528" s="33"/>
      <c r="BS528" s="33"/>
      <c r="BT528" s="33"/>
      <c r="BU528" s="33"/>
      <c r="BV528" s="33"/>
      <c r="BW528" s="33"/>
      <c r="BX528" s="33"/>
      <c r="BY528" s="33"/>
      <c r="BZ528" s="33"/>
      <c r="CA528" s="33"/>
      <c r="CB528" s="33"/>
      <c r="CC528" s="33"/>
      <c r="CD528" s="33"/>
      <c r="CE528" s="33"/>
      <c r="CF528" s="33"/>
      <c r="CG528" s="33"/>
      <c r="CH528" s="33"/>
      <c r="CI528" s="33"/>
      <c r="CJ528" s="33"/>
      <c r="CK528" s="33"/>
      <c r="CL528" s="33"/>
      <c r="CM528" s="33"/>
      <c r="CN528" s="33"/>
      <c r="CO528" s="33"/>
      <c r="CP528" s="33"/>
      <c r="CQ528" s="33"/>
      <c r="CR528" s="33"/>
      <c r="CS528" s="33"/>
      <c r="CT528" s="33"/>
      <c r="CU528" s="33"/>
      <c r="CV528" s="33"/>
      <c r="CW528" s="33"/>
      <c r="CX528" s="33"/>
      <c r="CY528" s="33"/>
      <c r="CZ528" s="33"/>
      <c r="DA528" s="33"/>
      <c r="DB528" s="33"/>
      <c r="DC528" s="33"/>
      <c r="DD528" s="33"/>
      <c r="DE528" s="33"/>
      <c r="DF528" s="33"/>
      <c r="DG528" s="33"/>
      <c r="DH528" s="33"/>
      <c r="DI528" s="33"/>
      <c r="DJ528" s="33"/>
      <c r="DK528" s="33"/>
      <c r="DL528" s="33"/>
      <c r="DM528" s="33"/>
      <c r="DN528" s="33"/>
      <c r="DO528" s="33"/>
      <c r="DP528" s="33"/>
      <c r="DQ528" s="33"/>
      <c r="DR528" s="33"/>
      <c r="DS528" s="33"/>
      <c r="DT528" s="33"/>
      <c r="DU528" s="33"/>
      <c r="DV528" s="33"/>
      <c r="DW528" s="33"/>
      <c r="DX528" s="33"/>
      <c r="DY528" s="33"/>
      <c r="DZ528" s="33"/>
      <c r="EA528" s="33"/>
      <c r="EB528" s="33"/>
      <c r="EC528" s="33"/>
      <c r="ED528" s="33"/>
      <c r="EE528" s="33"/>
      <c r="EF528" s="33"/>
      <c r="EG528" s="33"/>
      <c r="EH528" s="33"/>
      <c r="EI528" s="33"/>
      <c r="EJ528" s="33"/>
      <c r="EK528" s="33"/>
      <c r="EL528" s="33"/>
      <c r="EM528" s="33"/>
      <c r="EN528" s="33"/>
      <c r="EO528" s="33"/>
      <c r="EP528" s="33"/>
      <c r="EQ528" s="33"/>
      <c r="ER528" s="33"/>
      <c r="ES528" s="33"/>
    </row>
    <row r="529">
      <c r="A529" s="33"/>
      <c r="B529" s="33"/>
      <c r="C529" s="33"/>
      <c r="D529" s="33"/>
      <c r="E529" s="33"/>
      <c r="F529" s="33"/>
      <c r="G529" s="85"/>
      <c r="H529" s="85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3"/>
      <c r="AC529" s="33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3"/>
      <c r="AP529" s="33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3"/>
      <c r="BC529" s="33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3"/>
      <c r="BP529" s="33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3"/>
      <c r="CC529" s="33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3"/>
      <c r="CP529" s="33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3"/>
      <c r="DC529" s="33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3"/>
      <c r="DP529" s="33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3"/>
      <c r="EC529" s="33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3"/>
      <c r="EP529" s="33"/>
      <c r="EQ529" s="33"/>
      <c r="ER529" s="33"/>
      <c r="ES529" s="33"/>
    </row>
    <row r="530">
      <c r="A530" s="33"/>
      <c r="B530" s="33"/>
      <c r="C530" s="33"/>
      <c r="D530" s="33"/>
      <c r="E530" s="33"/>
      <c r="F530" s="33"/>
      <c r="G530" s="85"/>
      <c r="H530" s="85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33"/>
      <c r="Y530" s="33"/>
      <c r="Z530" s="33"/>
      <c r="AA530" s="33"/>
      <c r="AB530" s="33"/>
      <c r="AC530" s="33"/>
      <c r="AD530" s="33"/>
      <c r="AE530" s="33"/>
      <c r="AF530" s="33"/>
      <c r="AG530" s="33"/>
      <c r="AH530" s="33"/>
      <c r="AI530" s="33"/>
      <c r="AJ530" s="33"/>
      <c r="AK530" s="33"/>
      <c r="AL530" s="33"/>
      <c r="AM530" s="33"/>
      <c r="AN530" s="33"/>
      <c r="AO530" s="33"/>
      <c r="AP530" s="33"/>
      <c r="AQ530" s="33"/>
      <c r="AR530" s="33"/>
      <c r="AS530" s="33"/>
      <c r="AT530" s="33"/>
      <c r="AU530" s="33"/>
      <c r="AV530" s="33"/>
      <c r="AW530" s="33"/>
      <c r="AX530" s="33"/>
      <c r="AY530" s="33"/>
      <c r="AZ530" s="33"/>
      <c r="BA530" s="33"/>
      <c r="BB530" s="33"/>
      <c r="BC530" s="33"/>
      <c r="BD530" s="33"/>
      <c r="BE530" s="33"/>
      <c r="BF530" s="33"/>
      <c r="BG530" s="33"/>
      <c r="BH530" s="33"/>
      <c r="BI530" s="33"/>
      <c r="BJ530" s="33"/>
      <c r="BK530" s="33"/>
      <c r="BL530" s="33"/>
      <c r="BM530" s="33"/>
      <c r="BN530" s="33"/>
      <c r="BO530" s="33"/>
      <c r="BP530" s="33"/>
      <c r="BQ530" s="33"/>
      <c r="BR530" s="33"/>
      <c r="BS530" s="33"/>
      <c r="BT530" s="33"/>
      <c r="BU530" s="33"/>
      <c r="BV530" s="33"/>
      <c r="BW530" s="33"/>
      <c r="BX530" s="33"/>
      <c r="BY530" s="33"/>
      <c r="BZ530" s="33"/>
      <c r="CA530" s="33"/>
      <c r="CB530" s="33"/>
      <c r="CC530" s="33"/>
      <c r="CD530" s="33"/>
      <c r="CE530" s="33"/>
      <c r="CF530" s="33"/>
      <c r="CG530" s="33"/>
      <c r="CH530" s="33"/>
      <c r="CI530" s="33"/>
      <c r="CJ530" s="33"/>
      <c r="CK530" s="33"/>
      <c r="CL530" s="33"/>
      <c r="CM530" s="33"/>
      <c r="CN530" s="33"/>
      <c r="CO530" s="33"/>
      <c r="CP530" s="33"/>
      <c r="CQ530" s="33"/>
      <c r="CR530" s="33"/>
      <c r="CS530" s="33"/>
      <c r="CT530" s="33"/>
      <c r="CU530" s="33"/>
      <c r="CV530" s="33"/>
      <c r="CW530" s="33"/>
      <c r="CX530" s="33"/>
      <c r="CY530" s="33"/>
      <c r="CZ530" s="33"/>
      <c r="DA530" s="33"/>
      <c r="DB530" s="33"/>
      <c r="DC530" s="33"/>
      <c r="DD530" s="33"/>
      <c r="DE530" s="33"/>
      <c r="DF530" s="33"/>
      <c r="DG530" s="33"/>
      <c r="DH530" s="33"/>
      <c r="DI530" s="33"/>
      <c r="DJ530" s="33"/>
      <c r="DK530" s="33"/>
      <c r="DL530" s="33"/>
      <c r="DM530" s="33"/>
      <c r="DN530" s="33"/>
      <c r="DO530" s="33"/>
      <c r="DP530" s="33"/>
      <c r="DQ530" s="33"/>
      <c r="DR530" s="33"/>
      <c r="DS530" s="33"/>
      <c r="DT530" s="33"/>
      <c r="DU530" s="33"/>
      <c r="DV530" s="33"/>
      <c r="DW530" s="33"/>
      <c r="DX530" s="33"/>
      <c r="DY530" s="33"/>
      <c r="DZ530" s="33"/>
      <c r="EA530" s="33"/>
      <c r="EB530" s="33"/>
      <c r="EC530" s="33"/>
      <c r="ED530" s="33"/>
      <c r="EE530" s="33"/>
      <c r="EF530" s="33"/>
      <c r="EG530" s="33"/>
      <c r="EH530" s="33"/>
      <c r="EI530" s="33"/>
      <c r="EJ530" s="33"/>
      <c r="EK530" s="33"/>
      <c r="EL530" s="33"/>
      <c r="EM530" s="33"/>
      <c r="EN530" s="33"/>
      <c r="EO530" s="33"/>
      <c r="EP530" s="33"/>
      <c r="EQ530" s="33"/>
      <c r="ER530" s="33"/>
      <c r="ES530" s="33"/>
    </row>
    <row r="531">
      <c r="A531" s="33"/>
      <c r="B531" s="33"/>
      <c r="C531" s="33"/>
      <c r="D531" s="33"/>
      <c r="E531" s="33"/>
      <c r="F531" s="33"/>
      <c r="G531" s="85"/>
      <c r="H531" s="85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3"/>
      <c r="AC531" s="33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3"/>
      <c r="AP531" s="33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3"/>
      <c r="BP531" s="33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3"/>
      <c r="CC531" s="33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3"/>
      <c r="CP531" s="33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3"/>
      <c r="DC531" s="33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3"/>
      <c r="DP531" s="33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3"/>
      <c r="EC531" s="33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3"/>
      <c r="EP531" s="33"/>
      <c r="EQ531" s="33"/>
      <c r="ER531" s="33"/>
      <c r="ES531" s="33"/>
    </row>
    <row r="532">
      <c r="A532" s="33"/>
      <c r="B532" s="33"/>
      <c r="C532" s="33"/>
      <c r="D532" s="33"/>
      <c r="E532" s="33"/>
      <c r="F532" s="33"/>
      <c r="G532" s="85"/>
      <c r="H532" s="85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33"/>
      <c r="Y532" s="33"/>
      <c r="Z532" s="33"/>
      <c r="AA532" s="33"/>
      <c r="AB532" s="33"/>
      <c r="AC532" s="33"/>
      <c r="AD532" s="33"/>
      <c r="AE532" s="33"/>
      <c r="AF532" s="33"/>
      <c r="AG532" s="33"/>
      <c r="AH532" s="33"/>
      <c r="AI532" s="33"/>
      <c r="AJ532" s="33"/>
      <c r="AK532" s="33"/>
      <c r="AL532" s="33"/>
      <c r="AM532" s="33"/>
      <c r="AN532" s="33"/>
      <c r="AO532" s="33"/>
      <c r="AP532" s="33"/>
      <c r="AQ532" s="33"/>
      <c r="AR532" s="33"/>
      <c r="AS532" s="33"/>
      <c r="AT532" s="33"/>
      <c r="AU532" s="33"/>
      <c r="AV532" s="33"/>
      <c r="AW532" s="33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  <c r="BI532" s="33"/>
      <c r="BJ532" s="33"/>
      <c r="BK532" s="33"/>
      <c r="BL532" s="33"/>
      <c r="BM532" s="33"/>
      <c r="BN532" s="33"/>
      <c r="BO532" s="33"/>
      <c r="BP532" s="33"/>
      <c r="BQ532" s="33"/>
      <c r="BR532" s="33"/>
      <c r="BS532" s="33"/>
      <c r="BT532" s="33"/>
      <c r="BU532" s="33"/>
      <c r="BV532" s="33"/>
      <c r="BW532" s="33"/>
      <c r="BX532" s="33"/>
      <c r="BY532" s="33"/>
      <c r="BZ532" s="33"/>
      <c r="CA532" s="33"/>
      <c r="CB532" s="33"/>
      <c r="CC532" s="33"/>
      <c r="CD532" s="33"/>
      <c r="CE532" s="33"/>
      <c r="CF532" s="33"/>
      <c r="CG532" s="33"/>
      <c r="CH532" s="33"/>
      <c r="CI532" s="33"/>
      <c r="CJ532" s="33"/>
      <c r="CK532" s="33"/>
      <c r="CL532" s="33"/>
      <c r="CM532" s="33"/>
      <c r="CN532" s="33"/>
      <c r="CO532" s="33"/>
      <c r="CP532" s="33"/>
      <c r="CQ532" s="33"/>
      <c r="CR532" s="33"/>
      <c r="CS532" s="33"/>
      <c r="CT532" s="33"/>
      <c r="CU532" s="33"/>
      <c r="CV532" s="33"/>
      <c r="CW532" s="33"/>
      <c r="CX532" s="33"/>
      <c r="CY532" s="33"/>
      <c r="CZ532" s="33"/>
      <c r="DA532" s="33"/>
      <c r="DB532" s="33"/>
      <c r="DC532" s="33"/>
      <c r="DD532" s="33"/>
      <c r="DE532" s="33"/>
      <c r="DF532" s="33"/>
      <c r="DG532" s="33"/>
      <c r="DH532" s="33"/>
      <c r="DI532" s="33"/>
      <c r="DJ532" s="33"/>
      <c r="DK532" s="33"/>
      <c r="DL532" s="33"/>
      <c r="DM532" s="33"/>
      <c r="DN532" s="33"/>
      <c r="DO532" s="33"/>
      <c r="DP532" s="33"/>
      <c r="DQ532" s="33"/>
      <c r="DR532" s="33"/>
      <c r="DS532" s="33"/>
      <c r="DT532" s="33"/>
      <c r="DU532" s="33"/>
      <c r="DV532" s="33"/>
      <c r="DW532" s="33"/>
      <c r="DX532" s="33"/>
      <c r="DY532" s="33"/>
      <c r="DZ532" s="33"/>
      <c r="EA532" s="33"/>
      <c r="EB532" s="33"/>
      <c r="EC532" s="33"/>
      <c r="ED532" s="33"/>
      <c r="EE532" s="33"/>
      <c r="EF532" s="33"/>
      <c r="EG532" s="33"/>
      <c r="EH532" s="33"/>
      <c r="EI532" s="33"/>
      <c r="EJ532" s="33"/>
      <c r="EK532" s="33"/>
      <c r="EL532" s="33"/>
      <c r="EM532" s="33"/>
      <c r="EN532" s="33"/>
      <c r="EO532" s="33"/>
      <c r="EP532" s="33"/>
      <c r="EQ532" s="33"/>
      <c r="ER532" s="33"/>
      <c r="ES532" s="33"/>
    </row>
    <row r="533">
      <c r="A533" s="33"/>
      <c r="B533" s="33"/>
      <c r="C533" s="33"/>
      <c r="D533" s="33"/>
      <c r="E533" s="33"/>
      <c r="F533" s="33"/>
      <c r="G533" s="85"/>
      <c r="H533" s="85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3"/>
      <c r="AC533" s="33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3"/>
      <c r="AP533" s="33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3"/>
      <c r="BP533" s="33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3"/>
      <c r="CC533" s="33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3"/>
      <c r="CP533" s="33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3"/>
      <c r="DC533" s="33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3"/>
      <c r="DP533" s="33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3"/>
      <c r="EC533" s="33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3"/>
      <c r="EP533" s="33"/>
      <c r="EQ533" s="33"/>
      <c r="ER533" s="33"/>
      <c r="ES533" s="33"/>
    </row>
    <row r="534">
      <c r="A534" s="33"/>
      <c r="B534" s="33"/>
      <c r="C534" s="33"/>
      <c r="D534" s="33"/>
      <c r="E534" s="33"/>
      <c r="F534" s="33"/>
      <c r="G534" s="85"/>
      <c r="H534" s="85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33"/>
      <c r="Y534" s="33"/>
      <c r="Z534" s="33"/>
      <c r="AA534" s="33"/>
      <c r="AB534" s="33"/>
      <c r="AC534" s="33"/>
      <c r="AD534" s="33"/>
      <c r="AE534" s="33"/>
      <c r="AF534" s="33"/>
      <c r="AG534" s="33"/>
      <c r="AH534" s="33"/>
      <c r="AI534" s="33"/>
      <c r="AJ534" s="33"/>
      <c r="AK534" s="33"/>
      <c r="AL534" s="33"/>
      <c r="AM534" s="33"/>
      <c r="AN534" s="33"/>
      <c r="AO534" s="33"/>
      <c r="AP534" s="33"/>
      <c r="AQ534" s="33"/>
      <c r="AR534" s="33"/>
      <c r="AS534" s="33"/>
      <c r="AT534" s="33"/>
      <c r="AU534" s="33"/>
      <c r="AV534" s="33"/>
      <c r="AW534" s="33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  <c r="BI534" s="33"/>
      <c r="BJ534" s="33"/>
      <c r="BK534" s="33"/>
      <c r="BL534" s="33"/>
      <c r="BM534" s="33"/>
      <c r="BN534" s="33"/>
      <c r="BO534" s="33"/>
      <c r="BP534" s="33"/>
      <c r="BQ534" s="33"/>
      <c r="BR534" s="33"/>
      <c r="BS534" s="33"/>
      <c r="BT534" s="33"/>
      <c r="BU534" s="33"/>
      <c r="BV534" s="33"/>
      <c r="BW534" s="33"/>
      <c r="BX534" s="33"/>
      <c r="BY534" s="33"/>
      <c r="BZ534" s="33"/>
      <c r="CA534" s="33"/>
      <c r="CB534" s="33"/>
      <c r="CC534" s="33"/>
      <c r="CD534" s="33"/>
      <c r="CE534" s="33"/>
      <c r="CF534" s="33"/>
      <c r="CG534" s="33"/>
      <c r="CH534" s="33"/>
      <c r="CI534" s="33"/>
      <c r="CJ534" s="33"/>
      <c r="CK534" s="33"/>
      <c r="CL534" s="33"/>
      <c r="CM534" s="33"/>
      <c r="CN534" s="33"/>
      <c r="CO534" s="33"/>
      <c r="CP534" s="33"/>
      <c r="CQ534" s="33"/>
      <c r="CR534" s="33"/>
      <c r="CS534" s="33"/>
      <c r="CT534" s="33"/>
      <c r="CU534" s="33"/>
      <c r="CV534" s="33"/>
      <c r="CW534" s="33"/>
      <c r="CX534" s="33"/>
      <c r="CY534" s="33"/>
      <c r="CZ534" s="33"/>
      <c r="DA534" s="33"/>
      <c r="DB534" s="33"/>
      <c r="DC534" s="33"/>
      <c r="DD534" s="33"/>
      <c r="DE534" s="33"/>
      <c r="DF534" s="33"/>
      <c r="DG534" s="33"/>
      <c r="DH534" s="33"/>
      <c r="DI534" s="33"/>
      <c r="DJ534" s="33"/>
      <c r="DK534" s="33"/>
      <c r="DL534" s="33"/>
      <c r="DM534" s="33"/>
      <c r="DN534" s="33"/>
      <c r="DO534" s="33"/>
      <c r="DP534" s="33"/>
      <c r="DQ534" s="33"/>
      <c r="DR534" s="33"/>
      <c r="DS534" s="33"/>
      <c r="DT534" s="33"/>
      <c r="DU534" s="33"/>
      <c r="DV534" s="33"/>
      <c r="DW534" s="33"/>
      <c r="DX534" s="33"/>
      <c r="DY534" s="33"/>
      <c r="DZ534" s="33"/>
      <c r="EA534" s="33"/>
      <c r="EB534" s="33"/>
      <c r="EC534" s="33"/>
      <c r="ED534" s="33"/>
      <c r="EE534" s="33"/>
      <c r="EF534" s="33"/>
      <c r="EG534" s="33"/>
      <c r="EH534" s="33"/>
      <c r="EI534" s="33"/>
      <c r="EJ534" s="33"/>
      <c r="EK534" s="33"/>
      <c r="EL534" s="33"/>
      <c r="EM534" s="33"/>
      <c r="EN534" s="33"/>
      <c r="EO534" s="33"/>
      <c r="EP534" s="33"/>
      <c r="EQ534" s="33"/>
      <c r="ER534" s="33"/>
      <c r="ES534" s="33"/>
    </row>
    <row r="535">
      <c r="A535" s="33"/>
      <c r="B535" s="33"/>
      <c r="C535" s="33"/>
      <c r="D535" s="33"/>
      <c r="E535" s="33"/>
      <c r="F535" s="33"/>
      <c r="G535" s="85"/>
      <c r="H535" s="85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3"/>
      <c r="AC535" s="33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3"/>
      <c r="AP535" s="33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3"/>
      <c r="BP535" s="33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3"/>
      <c r="CC535" s="33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3"/>
      <c r="CP535" s="33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3"/>
      <c r="DC535" s="33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3"/>
      <c r="DP535" s="33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3"/>
      <c r="EC535" s="33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3"/>
      <c r="EP535" s="33"/>
      <c r="EQ535" s="33"/>
      <c r="ER535" s="33"/>
      <c r="ES535" s="33"/>
    </row>
    <row r="536">
      <c r="A536" s="33"/>
      <c r="B536" s="33"/>
      <c r="C536" s="33"/>
      <c r="D536" s="33"/>
      <c r="E536" s="33"/>
      <c r="F536" s="33"/>
      <c r="G536" s="85"/>
      <c r="H536" s="85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33"/>
      <c r="Y536" s="33"/>
      <c r="Z536" s="33"/>
      <c r="AA536" s="33"/>
      <c r="AB536" s="33"/>
      <c r="AC536" s="33"/>
      <c r="AD536" s="33"/>
      <c r="AE536" s="33"/>
      <c r="AF536" s="33"/>
      <c r="AG536" s="33"/>
      <c r="AH536" s="33"/>
      <c r="AI536" s="33"/>
      <c r="AJ536" s="33"/>
      <c r="AK536" s="33"/>
      <c r="AL536" s="33"/>
      <c r="AM536" s="33"/>
      <c r="AN536" s="33"/>
      <c r="AO536" s="33"/>
      <c r="AP536" s="33"/>
      <c r="AQ536" s="33"/>
      <c r="AR536" s="33"/>
      <c r="AS536" s="33"/>
      <c r="AT536" s="33"/>
      <c r="AU536" s="33"/>
      <c r="AV536" s="33"/>
      <c r="AW536" s="33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  <c r="BI536" s="33"/>
      <c r="BJ536" s="33"/>
      <c r="BK536" s="33"/>
      <c r="BL536" s="33"/>
      <c r="BM536" s="33"/>
      <c r="BN536" s="33"/>
      <c r="BO536" s="33"/>
      <c r="BP536" s="33"/>
      <c r="BQ536" s="33"/>
      <c r="BR536" s="33"/>
      <c r="BS536" s="33"/>
      <c r="BT536" s="33"/>
      <c r="BU536" s="33"/>
      <c r="BV536" s="33"/>
      <c r="BW536" s="33"/>
      <c r="BX536" s="33"/>
      <c r="BY536" s="33"/>
      <c r="BZ536" s="33"/>
      <c r="CA536" s="33"/>
      <c r="CB536" s="33"/>
      <c r="CC536" s="33"/>
      <c r="CD536" s="33"/>
      <c r="CE536" s="33"/>
      <c r="CF536" s="33"/>
      <c r="CG536" s="33"/>
      <c r="CH536" s="33"/>
      <c r="CI536" s="33"/>
      <c r="CJ536" s="33"/>
      <c r="CK536" s="33"/>
      <c r="CL536" s="33"/>
      <c r="CM536" s="33"/>
      <c r="CN536" s="33"/>
      <c r="CO536" s="33"/>
      <c r="CP536" s="33"/>
      <c r="CQ536" s="33"/>
      <c r="CR536" s="33"/>
      <c r="CS536" s="33"/>
      <c r="CT536" s="33"/>
      <c r="CU536" s="33"/>
      <c r="CV536" s="33"/>
      <c r="CW536" s="33"/>
      <c r="CX536" s="33"/>
      <c r="CY536" s="33"/>
      <c r="CZ536" s="33"/>
      <c r="DA536" s="33"/>
      <c r="DB536" s="33"/>
      <c r="DC536" s="33"/>
      <c r="DD536" s="33"/>
      <c r="DE536" s="33"/>
      <c r="DF536" s="33"/>
      <c r="DG536" s="33"/>
      <c r="DH536" s="33"/>
      <c r="DI536" s="33"/>
      <c r="DJ536" s="33"/>
      <c r="DK536" s="33"/>
      <c r="DL536" s="33"/>
      <c r="DM536" s="33"/>
      <c r="DN536" s="33"/>
      <c r="DO536" s="33"/>
      <c r="DP536" s="33"/>
      <c r="DQ536" s="33"/>
      <c r="DR536" s="33"/>
      <c r="DS536" s="33"/>
      <c r="DT536" s="33"/>
      <c r="DU536" s="33"/>
      <c r="DV536" s="33"/>
      <c r="DW536" s="33"/>
      <c r="DX536" s="33"/>
      <c r="DY536" s="33"/>
      <c r="DZ536" s="33"/>
      <c r="EA536" s="33"/>
      <c r="EB536" s="33"/>
      <c r="EC536" s="33"/>
      <c r="ED536" s="33"/>
      <c r="EE536" s="33"/>
      <c r="EF536" s="33"/>
      <c r="EG536" s="33"/>
      <c r="EH536" s="33"/>
      <c r="EI536" s="33"/>
      <c r="EJ536" s="33"/>
      <c r="EK536" s="33"/>
      <c r="EL536" s="33"/>
      <c r="EM536" s="33"/>
      <c r="EN536" s="33"/>
      <c r="EO536" s="33"/>
      <c r="EP536" s="33"/>
      <c r="EQ536" s="33"/>
      <c r="ER536" s="33"/>
      <c r="ES536" s="33"/>
    </row>
    <row r="537">
      <c r="A537" s="33"/>
      <c r="B537" s="33"/>
      <c r="C537" s="33"/>
      <c r="D537" s="33"/>
      <c r="E537" s="33"/>
      <c r="F537" s="33"/>
      <c r="G537" s="85"/>
      <c r="H537" s="85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3"/>
      <c r="AC537" s="33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3"/>
      <c r="AP537" s="33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3"/>
      <c r="BP537" s="33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3"/>
      <c r="CC537" s="33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3"/>
      <c r="CP537" s="33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3"/>
      <c r="DC537" s="33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3"/>
      <c r="DP537" s="33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3"/>
      <c r="EC537" s="33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3"/>
      <c r="EP537" s="33"/>
      <c r="EQ537" s="33"/>
      <c r="ER537" s="33"/>
      <c r="ES537" s="33"/>
    </row>
    <row r="538">
      <c r="A538" s="33"/>
      <c r="B538" s="33"/>
      <c r="C538" s="33"/>
      <c r="D538" s="33"/>
      <c r="E538" s="33"/>
      <c r="F538" s="33"/>
      <c r="G538" s="85"/>
      <c r="H538" s="85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33"/>
      <c r="Y538" s="33"/>
      <c r="Z538" s="33"/>
      <c r="AA538" s="33"/>
      <c r="AB538" s="33"/>
      <c r="AC538" s="33"/>
      <c r="AD538" s="33"/>
      <c r="AE538" s="33"/>
      <c r="AF538" s="33"/>
      <c r="AG538" s="33"/>
      <c r="AH538" s="33"/>
      <c r="AI538" s="33"/>
      <c r="AJ538" s="33"/>
      <c r="AK538" s="33"/>
      <c r="AL538" s="33"/>
      <c r="AM538" s="33"/>
      <c r="AN538" s="33"/>
      <c r="AO538" s="33"/>
      <c r="AP538" s="33"/>
      <c r="AQ538" s="33"/>
      <c r="AR538" s="33"/>
      <c r="AS538" s="33"/>
      <c r="AT538" s="33"/>
      <c r="AU538" s="33"/>
      <c r="AV538" s="33"/>
      <c r="AW538" s="33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  <c r="BI538" s="33"/>
      <c r="BJ538" s="33"/>
      <c r="BK538" s="33"/>
      <c r="BL538" s="33"/>
      <c r="BM538" s="33"/>
      <c r="BN538" s="33"/>
      <c r="BO538" s="33"/>
      <c r="BP538" s="33"/>
      <c r="BQ538" s="33"/>
      <c r="BR538" s="33"/>
      <c r="BS538" s="33"/>
      <c r="BT538" s="33"/>
      <c r="BU538" s="33"/>
      <c r="BV538" s="33"/>
      <c r="BW538" s="33"/>
      <c r="BX538" s="33"/>
      <c r="BY538" s="33"/>
      <c r="BZ538" s="33"/>
      <c r="CA538" s="33"/>
      <c r="CB538" s="33"/>
      <c r="CC538" s="33"/>
      <c r="CD538" s="33"/>
      <c r="CE538" s="33"/>
      <c r="CF538" s="33"/>
      <c r="CG538" s="33"/>
      <c r="CH538" s="33"/>
      <c r="CI538" s="33"/>
      <c r="CJ538" s="33"/>
      <c r="CK538" s="33"/>
      <c r="CL538" s="33"/>
      <c r="CM538" s="33"/>
      <c r="CN538" s="33"/>
      <c r="CO538" s="33"/>
      <c r="CP538" s="33"/>
      <c r="CQ538" s="33"/>
      <c r="CR538" s="33"/>
      <c r="CS538" s="33"/>
      <c r="CT538" s="33"/>
      <c r="CU538" s="33"/>
      <c r="CV538" s="33"/>
      <c r="CW538" s="33"/>
      <c r="CX538" s="33"/>
      <c r="CY538" s="33"/>
      <c r="CZ538" s="33"/>
      <c r="DA538" s="33"/>
      <c r="DB538" s="33"/>
      <c r="DC538" s="33"/>
      <c r="DD538" s="33"/>
      <c r="DE538" s="33"/>
      <c r="DF538" s="33"/>
      <c r="DG538" s="33"/>
      <c r="DH538" s="33"/>
      <c r="DI538" s="33"/>
      <c r="DJ538" s="33"/>
      <c r="DK538" s="33"/>
      <c r="DL538" s="33"/>
      <c r="DM538" s="33"/>
      <c r="DN538" s="33"/>
      <c r="DO538" s="33"/>
      <c r="DP538" s="33"/>
      <c r="DQ538" s="33"/>
      <c r="DR538" s="33"/>
      <c r="DS538" s="33"/>
      <c r="DT538" s="33"/>
      <c r="DU538" s="33"/>
      <c r="DV538" s="33"/>
      <c r="DW538" s="33"/>
      <c r="DX538" s="33"/>
      <c r="DY538" s="33"/>
      <c r="DZ538" s="33"/>
      <c r="EA538" s="33"/>
      <c r="EB538" s="33"/>
      <c r="EC538" s="33"/>
      <c r="ED538" s="33"/>
      <c r="EE538" s="33"/>
      <c r="EF538" s="33"/>
      <c r="EG538" s="33"/>
      <c r="EH538" s="33"/>
      <c r="EI538" s="33"/>
      <c r="EJ538" s="33"/>
      <c r="EK538" s="33"/>
      <c r="EL538" s="33"/>
      <c r="EM538" s="33"/>
      <c r="EN538" s="33"/>
      <c r="EO538" s="33"/>
      <c r="EP538" s="33"/>
      <c r="EQ538" s="33"/>
      <c r="ER538" s="33"/>
      <c r="ES538" s="33"/>
    </row>
    <row r="539">
      <c r="A539" s="33"/>
      <c r="B539" s="33"/>
      <c r="C539" s="33"/>
      <c r="D539" s="33"/>
      <c r="E539" s="33"/>
      <c r="F539" s="33"/>
      <c r="G539" s="85"/>
      <c r="H539" s="85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3"/>
      <c r="AC539" s="33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3"/>
      <c r="AP539" s="33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3"/>
      <c r="BP539" s="33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3"/>
      <c r="CC539" s="33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3"/>
      <c r="CP539" s="33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3"/>
      <c r="DC539" s="33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3"/>
      <c r="DP539" s="33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3"/>
      <c r="EC539" s="33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3"/>
      <c r="EP539" s="33"/>
      <c r="EQ539" s="33"/>
      <c r="ER539" s="33"/>
      <c r="ES539" s="33"/>
    </row>
    <row r="540">
      <c r="A540" s="33"/>
      <c r="B540" s="33"/>
      <c r="C540" s="33"/>
      <c r="D540" s="33"/>
      <c r="E540" s="33"/>
      <c r="F540" s="33"/>
      <c r="G540" s="85"/>
      <c r="H540" s="85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33"/>
      <c r="Y540" s="33"/>
      <c r="Z540" s="33"/>
      <c r="AA540" s="33"/>
      <c r="AB540" s="33"/>
      <c r="AC540" s="33"/>
      <c r="AD540" s="33"/>
      <c r="AE540" s="33"/>
      <c r="AF540" s="33"/>
      <c r="AG540" s="33"/>
      <c r="AH540" s="33"/>
      <c r="AI540" s="33"/>
      <c r="AJ540" s="33"/>
      <c r="AK540" s="33"/>
      <c r="AL540" s="33"/>
      <c r="AM540" s="33"/>
      <c r="AN540" s="33"/>
      <c r="AO540" s="33"/>
      <c r="AP540" s="33"/>
      <c r="AQ540" s="33"/>
      <c r="AR540" s="33"/>
      <c r="AS540" s="33"/>
      <c r="AT540" s="33"/>
      <c r="AU540" s="33"/>
      <c r="AV540" s="33"/>
      <c r="AW540" s="33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  <c r="BI540" s="33"/>
      <c r="BJ540" s="33"/>
      <c r="BK540" s="33"/>
      <c r="BL540" s="33"/>
      <c r="BM540" s="33"/>
      <c r="BN540" s="33"/>
      <c r="BO540" s="33"/>
      <c r="BP540" s="33"/>
      <c r="BQ540" s="33"/>
      <c r="BR540" s="33"/>
      <c r="BS540" s="33"/>
      <c r="BT540" s="33"/>
      <c r="BU540" s="33"/>
      <c r="BV540" s="33"/>
      <c r="BW540" s="33"/>
      <c r="BX540" s="33"/>
      <c r="BY540" s="33"/>
      <c r="BZ540" s="33"/>
      <c r="CA540" s="33"/>
      <c r="CB540" s="33"/>
      <c r="CC540" s="33"/>
      <c r="CD540" s="33"/>
      <c r="CE540" s="33"/>
      <c r="CF540" s="33"/>
      <c r="CG540" s="33"/>
      <c r="CH540" s="33"/>
      <c r="CI540" s="33"/>
      <c r="CJ540" s="33"/>
      <c r="CK540" s="33"/>
      <c r="CL540" s="33"/>
      <c r="CM540" s="33"/>
      <c r="CN540" s="33"/>
      <c r="CO540" s="33"/>
      <c r="CP540" s="33"/>
      <c r="CQ540" s="33"/>
      <c r="CR540" s="33"/>
      <c r="CS540" s="33"/>
      <c r="CT540" s="33"/>
      <c r="CU540" s="33"/>
      <c r="CV540" s="33"/>
      <c r="CW540" s="33"/>
      <c r="CX540" s="33"/>
      <c r="CY540" s="33"/>
      <c r="CZ540" s="33"/>
      <c r="DA540" s="33"/>
      <c r="DB540" s="33"/>
      <c r="DC540" s="33"/>
      <c r="DD540" s="33"/>
      <c r="DE540" s="33"/>
      <c r="DF540" s="33"/>
      <c r="DG540" s="33"/>
      <c r="DH540" s="33"/>
      <c r="DI540" s="33"/>
      <c r="DJ540" s="33"/>
      <c r="DK540" s="33"/>
      <c r="DL540" s="33"/>
      <c r="DM540" s="33"/>
      <c r="DN540" s="33"/>
      <c r="DO540" s="33"/>
      <c r="DP540" s="33"/>
      <c r="DQ540" s="33"/>
      <c r="DR540" s="33"/>
      <c r="DS540" s="33"/>
      <c r="DT540" s="33"/>
      <c r="DU540" s="33"/>
      <c r="DV540" s="33"/>
      <c r="DW540" s="33"/>
      <c r="DX540" s="33"/>
      <c r="DY540" s="33"/>
      <c r="DZ540" s="33"/>
      <c r="EA540" s="33"/>
      <c r="EB540" s="33"/>
      <c r="EC540" s="33"/>
      <c r="ED540" s="33"/>
      <c r="EE540" s="33"/>
      <c r="EF540" s="33"/>
      <c r="EG540" s="33"/>
      <c r="EH540" s="33"/>
      <c r="EI540" s="33"/>
      <c r="EJ540" s="33"/>
      <c r="EK540" s="33"/>
      <c r="EL540" s="33"/>
      <c r="EM540" s="33"/>
      <c r="EN540" s="33"/>
      <c r="EO540" s="33"/>
      <c r="EP540" s="33"/>
      <c r="EQ540" s="33"/>
      <c r="ER540" s="33"/>
      <c r="ES540" s="33"/>
    </row>
    <row r="541">
      <c r="A541" s="33"/>
      <c r="B541" s="33"/>
      <c r="C541" s="33"/>
      <c r="D541" s="33"/>
      <c r="E541" s="33"/>
      <c r="F541" s="33"/>
      <c r="G541" s="85"/>
      <c r="H541" s="85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3"/>
      <c r="AC541" s="33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3"/>
      <c r="AP541" s="33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3"/>
      <c r="BP541" s="33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3"/>
      <c r="CC541" s="33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3"/>
      <c r="CP541" s="33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3"/>
      <c r="DC541" s="33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3"/>
      <c r="DP541" s="33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3"/>
      <c r="EC541" s="33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3"/>
      <c r="EP541" s="33"/>
      <c r="EQ541" s="33"/>
      <c r="ER541" s="33"/>
      <c r="ES541" s="33"/>
    </row>
    <row r="542">
      <c r="A542" s="33"/>
      <c r="B542" s="33"/>
      <c r="C542" s="33"/>
      <c r="D542" s="33"/>
      <c r="E542" s="33"/>
      <c r="F542" s="33"/>
      <c r="G542" s="85"/>
      <c r="H542" s="85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33"/>
      <c r="Y542" s="33"/>
      <c r="Z542" s="33"/>
      <c r="AA542" s="33"/>
      <c r="AB542" s="33"/>
      <c r="AC542" s="33"/>
      <c r="AD542" s="33"/>
      <c r="AE542" s="33"/>
      <c r="AF542" s="33"/>
      <c r="AG542" s="33"/>
      <c r="AH542" s="33"/>
      <c r="AI542" s="33"/>
      <c r="AJ542" s="33"/>
      <c r="AK542" s="33"/>
      <c r="AL542" s="33"/>
      <c r="AM542" s="33"/>
      <c r="AN542" s="33"/>
      <c r="AO542" s="33"/>
      <c r="AP542" s="33"/>
      <c r="AQ542" s="33"/>
      <c r="AR542" s="33"/>
      <c r="AS542" s="33"/>
      <c r="AT542" s="33"/>
      <c r="AU542" s="33"/>
      <c r="AV542" s="33"/>
      <c r="AW542" s="33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  <c r="BI542" s="33"/>
      <c r="BJ542" s="33"/>
      <c r="BK542" s="33"/>
      <c r="BL542" s="33"/>
      <c r="BM542" s="33"/>
      <c r="BN542" s="33"/>
      <c r="BO542" s="33"/>
      <c r="BP542" s="33"/>
      <c r="BQ542" s="33"/>
      <c r="BR542" s="33"/>
      <c r="BS542" s="33"/>
      <c r="BT542" s="33"/>
      <c r="BU542" s="33"/>
      <c r="BV542" s="33"/>
      <c r="BW542" s="33"/>
      <c r="BX542" s="33"/>
      <c r="BY542" s="33"/>
      <c r="BZ542" s="33"/>
      <c r="CA542" s="33"/>
      <c r="CB542" s="33"/>
      <c r="CC542" s="33"/>
      <c r="CD542" s="33"/>
      <c r="CE542" s="33"/>
      <c r="CF542" s="33"/>
      <c r="CG542" s="33"/>
      <c r="CH542" s="33"/>
      <c r="CI542" s="33"/>
      <c r="CJ542" s="33"/>
      <c r="CK542" s="33"/>
      <c r="CL542" s="33"/>
      <c r="CM542" s="33"/>
      <c r="CN542" s="33"/>
      <c r="CO542" s="33"/>
      <c r="CP542" s="33"/>
      <c r="CQ542" s="33"/>
      <c r="CR542" s="33"/>
      <c r="CS542" s="33"/>
      <c r="CT542" s="33"/>
      <c r="CU542" s="33"/>
      <c r="CV542" s="33"/>
      <c r="CW542" s="33"/>
      <c r="CX542" s="33"/>
      <c r="CY542" s="33"/>
      <c r="CZ542" s="33"/>
      <c r="DA542" s="33"/>
      <c r="DB542" s="33"/>
      <c r="DC542" s="33"/>
      <c r="DD542" s="33"/>
      <c r="DE542" s="33"/>
      <c r="DF542" s="33"/>
      <c r="DG542" s="33"/>
      <c r="DH542" s="33"/>
      <c r="DI542" s="33"/>
      <c r="DJ542" s="33"/>
      <c r="DK542" s="33"/>
      <c r="DL542" s="33"/>
      <c r="DM542" s="33"/>
      <c r="DN542" s="33"/>
      <c r="DO542" s="33"/>
      <c r="DP542" s="33"/>
      <c r="DQ542" s="33"/>
      <c r="DR542" s="33"/>
      <c r="DS542" s="33"/>
      <c r="DT542" s="33"/>
      <c r="DU542" s="33"/>
      <c r="DV542" s="33"/>
      <c r="DW542" s="33"/>
      <c r="DX542" s="33"/>
      <c r="DY542" s="33"/>
      <c r="DZ542" s="33"/>
      <c r="EA542" s="33"/>
      <c r="EB542" s="33"/>
      <c r="EC542" s="33"/>
      <c r="ED542" s="33"/>
      <c r="EE542" s="33"/>
      <c r="EF542" s="33"/>
      <c r="EG542" s="33"/>
      <c r="EH542" s="33"/>
      <c r="EI542" s="33"/>
      <c r="EJ542" s="33"/>
      <c r="EK542" s="33"/>
      <c r="EL542" s="33"/>
      <c r="EM542" s="33"/>
      <c r="EN542" s="33"/>
      <c r="EO542" s="33"/>
      <c r="EP542" s="33"/>
      <c r="EQ542" s="33"/>
      <c r="ER542" s="33"/>
      <c r="ES542" s="33"/>
    </row>
    <row r="543">
      <c r="A543" s="33"/>
      <c r="B543" s="33"/>
      <c r="C543" s="33"/>
      <c r="D543" s="33"/>
      <c r="E543" s="33"/>
      <c r="F543" s="33"/>
      <c r="G543" s="85"/>
      <c r="H543" s="85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3"/>
      <c r="AC543" s="33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3"/>
      <c r="AP543" s="33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3"/>
      <c r="BP543" s="33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3"/>
      <c r="CC543" s="33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3"/>
      <c r="CP543" s="33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3"/>
      <c r="DC543" s="33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3"/>
      <c r="DP543" s="33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3"/>
      <c r="EC543" s="33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3"/>
      <c r="EP543" s="33"/>
      <c r="EQ543" s="33"/>
      <c r="ER543" s="33"/>
      <c r="ES543" s="33"/>
    </row>
    <row r="544">
      <c r="A544" s="33"/>
      <c r="B544" s="33"/>
      <c r="C544" s="33"/>
      <c r="D544" s="33"/>
      <c r="E544" s="33"/>
      <c r="F544" s="33"/>
      <c r="G544" s="85"/>
      <c r="H544" s="85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33"/>
      <c r="Y544" s="33"/>
      <c r="Z544" s="33"/>
      <c r="AA544" s="33"/>
      <c r="AB544" s="33"/>
      <c r="AC544" s="33"/>
      <c r="AD544" s="33"/>
      <c r="AE544" s="33"/>
      <c r="AF544" s="33"/>
      <c r="AG544" s="33"/>
      <c r="AH544" s="33"/>
      <c r="AI544" s="33"/>
      <c r="AJ544" s="33"/>
      <c r="AK544" s="33"/>
      <c r="AL544" s="33"/>
      <c r="AM544" s="33"/>
      <c r="AN544" s="33"/>
      <c r="AO544" s="33"/>
      <c r="AP544" s="33"/>
      <c r="AQ544" s="33"/>
      <c r="AR544" s="33"/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  <c r="BG544" s="33"/>
      <c r="BH544" s="33"/>
      <c r="BI544" s="33"/>
      <c r="BJ544" s="33"/>
      <c r="BK544" s="33"/>
      <c r="BL544" s="33"/>
      <c r="BM544" s="33"/>
      <c r="BN544" s="33"/>
      <c r="BO544" s="33"/>
      <c r="BP544" s="33"/>
      <c r="BQ544" s="33"/>
      <c r="BR544" s="33"/>
      <c r="BS544" s="33"/>
      <c r="BT544" s="33"/>
      <c r="BU544" s="33"/>
      <c r="BV544" s="33"/>
      <c r="BW544" s="33"/>
      <c r="BX544" s="33"/>
      <c r="BY544" s="33"/>
      <c r="BZ544" s="33"/>
      <c r="CA544" s="33"/>
      <c r="CB544" s="33"/>
      <c r="CC544" s="33"/>
      <c r="CD544" s="33"/>
      <c r="CE544" s="33"/>
      <c r="CF544" s="33"/>
      <c r="CG544" s="33"/>
      <c r="CH544" s="33"/>
      <c r="CI544" s="33"/>
      <c r="CJ544" s="33"/>
      <c r="CK544" s="33"/>
      <c r="CL544" s="33"/>
      <c r="CM544" s="33"/>
      <c r="CN544" s="33"/>
      <c r="CO544" s="33"/>
      <c r="CP544" s="33"/>
      <c r="CQ544" s="33"/>
      <c r="CR544" s="33"/>
      <c r="CS544" s="33"/>
      <c r="CT544" s="33"/>
      <c r="CU544" s="33"/>
      <c r="CV544" s="33"/>
      <c r="CW544" s="33"/>
      <c r="CX544" s="33"/>
      <c r="CY544" s="33"/>
      <c r="CZ544" s="33"/>
      <c r="DA544" s="33"/>
      <c r="DB544" s="33"/>
      <c r="DC544" s="33"/>
      <c r="DD544" s="33"/>
      <c r="DE544" s="33"/>
      <c r="DF544" s="33"/>
      <c r="DG544" s="33"/>
      <c r="DH544" s="33"/>
      <c r="DI544" s="33"/>
      <c r="DJ544" s="33"/>
      <c r="DK544" s="33"/>
      <c r="DL544" s="33"/>
      <c r="DM544" s="33"/>
      <c r="DN544" s="33"/>
      <c r="DO544" s="33"/>
      <c r="DP544" s="33"/>
      <c r="DQ544" s="33"/>
      <c r="DR544" s="33"/>
      <c r="DS544" s="33"/>
      <c r="DT544" s="33"/>
      <c r="DU544" s="33"/>
      <c r="DV544" s="33"/>
      <c r="DW544" s="33"/>
      <c r="DX544" s="33"/>
      <c r="DY544" s="33"/>
      <c r="DZ544" s="33"/>
      <c r="EA544" s="33"/>
      <c r="EB544" s="33"/>
      <c r="EC544" s="33"/>
      <c r="ED544" s="33"/>
      <c r="EE544" s="33"/>
      <c r="EF544" s="33"/>
      <c r="EG544" s="33"/>
      <c r="EH544" s="33"/>
      <c r="EI544" s="33"/>
      <c r="EJ544" s="33"/>
      <c r="EK544" s="33"/>
      <c r="EL544" s="33"/>
      <c r="EM544" s="33"/>
      <c r="EN544" s="33"/>
      <c r="EO544" s="33"/>
      <c r="EP544" s="33"/>
      <c r="EQ544" s="33"/>
      <c r="ER544" s="33"/>
      <c r="ES544" s="33"/>
    </row>
    <row r="545">
      <c r="A545" s="33"/>
      <c r="B545" s="33"/>
      <c r="C545" s="33"/>
      <c r="D545" s="33"/>
      <c r="E545" s="33"/>
      <c r="F545" s="33"/>
      <c r="G545" s="85"/>
      <c r="H545" s="85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3"/>
      <c r="AC545" s="33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3"/>
      <c r="AP545" s="33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3"/>
      <c r="BP545" s="33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3"/>
      <c r="CC545" s="33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3"/>
      <c r="CP545" s="33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3"/>
      <c r="DC545" s="33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3"/>
      <c r="DP545" s="33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3"/>
      <c r="EC545" s="33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3"/>
      <c r="EP545" s="33"/>
      <c r="EQ545" s="33"/>
      <c r="ER545" s="33"/>
      <c r="ES545" s="33"/>
    </row>
    <row r="546">
      <c r="A546" s="33"/>
      <c r="B546" s="33"/>
      <c r="C546" s="33"/>
      <c r="D546" s="33"/>
      <c r="E546" s="33"/>
      <c r="F546" s="33"/>
      <c r="G546" s="85"/>
      <c r="H546" s="85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33"/>
      <c r="Y546" s="33"/>
      <c r="Z546" s="33"/>
      <c r="AA546" s="33"/>
      <c r="AB546" s="33"/>
      <c r="AC546" s="33"/>
      <c r="AD546" s="33"/>
      <c r="AE546" s="33"/>
      <c r="AF546" s="33"/>
      <c r="AG546" s="33"/>
      <c r="AH546" s="33"/>
      <c r="AI546" s="33"/>
      <c r="AJ546" s="33"/>
      <c r="AK546" s="33"/>
      <c r="AL546" s="33"/>
      <c r="AM546" s="33"/>
      <c r="AN546" s="33"/>
      <c r="AO546" s="33"/>
      <c r="AP546" s="33"/>
      <c r="AQ546" s="33"/>
      <c r="AR546" s="33"/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  <c r="BG546" s="33"/>
      <c r="BH546" s="33"/>
      <c r="BI546" s="33"/>
      <c r="BJ546" s="33"/>
      <c r="BK546" s="33"/>
      <c r="BL546" s="33"/>
      <c r="BM546" s="33"/>
      <c r="BN546" s="33"/>
      <c r="BO546" s="33"/>
      <c r="BP546" s="33"/>
      <c r="BQ546" s="33"/>
      <c r="BR546" s="33"/>
      <c r="BS546" s="33"/>
      <c r="BT546" s="33"/>
      <c r="BU546" s="33"/>
      <c r="BV546" s="33"/>
      <c r="BW546" s="33"/>
      <c r="BX546" s="33"/>
      <c r="BY546" s="33"/>
      <c r="BZ546" s="33"/>
      <c r="CA546" s="33"/>
      <c r="CB546" s="33"/>
      <c r="CC546" s="33"/>
      <c r="CD546" s="33"/>
      <c r="CE546" s="33"/>
      <c r="CF546" s="33"/>
      <c r="CG546" s="33"/>
      <c r="CH546" s="33"/>
      <c r="CI546" s="33"/>
      <c r="CJ546" s="33"/>
      <c r="CK546" s="33"/>
      <c r="CL546" s="33"/>
      <c r="CM546" s="33"/>
      <c r="CN546" s="33"/>
      <c r="CO546" s="33"/>
      <c r="CP546" s="33"/>
      <c r="CQ546" s="33"/>
      <c r="CR546" s="33"/>
      <c r="CS546" s="33"/>
      <c r="CT546" s="33"/>
      <c r="CU546" s="33"/>
      <c r="CV546" s="33"/>
      <c r="CW546" s="33"/>
      <c r="CX546" s="33"/>
      <c r="CY546" s="33"/>
      <c r="CZ546" s="33"/>
      <c r="DA546" s="33"/>
      <c r="DB546" s="33"/>
      <c r="DC546" s="33"/>
      <c r="DD546" s="33"/>
      <c r="DE546" s="33"/>
      <c r="DF546" s="33"/>
      <c r="DG546" s="33"/>
      <c r="DH546" s="33"/>
      <c r="DI546" s="33"/>
      <c r="DJ546" s="33"/>
      <c r="DK546" s="33"/>
      <c r="DL546" s="33"/>
      <c r="DM546" s="33"/>
      <c r="DN546" s="33"/>
      <c r="DO546" s="33"/>
      <c r="DP546" s="33"/>
      <c r="DQ546" s="33"/>
      <c r="DR546" s="33"/>
      <c r="DS546" s="33"/>
      <c r="DT546" s="33"/>
      <c r="DU546" s="33"/>
      <c r="DV546" s="33"/>
      <c r="DW546" s="33"/>
      <c r="DX546" s="33"/>
      <c r="DY546" s="33"/>
      <c r="DZ546" s="33"/>
      <c r="EA546" s="33"/>
      <c r="EB546" s="33"/>
      <c r="EC546" s="33"/>
      <c r="ED546" s="33"/>
      <c r="EE546" s="33"/>
      <c r="EF546" s="33"/>
      <c r="EG546" s="33"/>
      <c r="EH546" s="33"/>
      <c r="EI546" s="33"/>
      <c r="EJ546" s="33"/>
      <c r="EK546" s="33"/>
      <c r="EL546" s="33"/>
      <c r="EM546" s="33"/>
      <c r="EN546" s="33"/>
      <c r="EO546" s="33"/>
      <c r="EP546" s="33"/>
      <c r="EQ546" s="33"/>
      <c r="ER546" s="33"/>
      <c r="ES546" s="33"/>
    </row>
    <row r="547">
      <c r="A547" s="33"/>
      <c r="B547" s="33"/>
      <c r="C547" s="33"/>
      <c r="D547" s="33"/>
      <c r="E547" s="33"/>
      <c r="F547" s="33"/>
      <c r="G547" s="85"/>
      <c r="H547" s="85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3"/>
      <c r="AC547" s="33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3"/>
      <c r="AP547" s="33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3"/>
      <c r="BP547" s="33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3"/>
      <c r="CC547" s="33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3"/>
      <c r="CP547" s="33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3"/>
      <c r="DC547" s="33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3"/>
      <c r="DP547" s="33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3"/>
      <c r="EC547" s="33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3"/>
      <c r="EP547" s="33"/>
      <c r="EQ547" s="33"/>
      <c r="ER547" s="33"/>
      <c r="ES547" s="33"/>
    </row>
    <row r="548">
      <c r="A548" s="33"/>
      <c r="B548" s="33"/>
      <c r="C548" s="33"/>
      <c r="D548" s="33"/>
      <c r="E548" s="33"/>
      <c r="F548" s="33"/>
      <c r="G548" s="85"/>
      <c r="H548" s="85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33"/>
      <c r="Y548" s="33"/>
      <c r="Z548" s="33"/>
      <c r="AA548" s="33"/>
      <c r="AB548" s="33"/>
      <c r="AC548" s="33"/>
      <c r="AD548" s="33"/>
      <c r="AE548" s="33"/>
      <c r="AF548" s="33"/>
      <c r="AG548" s="33"/>
      <c r="AH548" s="33"/>
      <c r="AI548" s="33"/>
      <c r="AJ548" s="33"/>
      <c r="AK548" s="33"/>
      <c r="AL548" s="33"/>
      <c r="AM548" s="33"/>
      <c r="AN548" s="33"/>
      <c r="AO548" s="33"/>
      <c r="AP548" s="33"/>
      <c r="AQ548" s="33"/>
      <c r="AR548" s="33"/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  <c r="BG548" s="33"/>
      <c r="BH548" s="33"/>
      <c r="BI548" s="33"/>
      <c r="BJ548" s="33"/>
      <c r="BK548" s="33"/>
      <c r="BL548" s="33"/>
      <c r="BM548" s="33"/>
      <c r="BN548" s="33"/>
      <c r="BO548" s="33"/>
      <c r="BP548" s="33"/>
      <c r="BQ548" s="33"/>
      <c r="BR548" s="33"/>
      <c r="BS548" s="33"/>
      <c r="BT548" s="33"/>
      <c r="BU548" s="33"/>
      <c r="BV548" s="33"/>
      <c r="BW548" s="33"/>
      <c r="BX548" s="33"/>
      <c r="BY548" s="33"/>
      <c r="BZ548" s="33"/>
      <c r="CA548" s="33"/>
      <c r="CB548" s="33"/>
      <c r="CC548" s="33"/>
      <c r="CD548" s="33"/>
      <c r="CE548" s="33"/>
      <c r="CF548" s="33"/>
      <c r="CG548" s="33"/>
      <c r="CH548" s="33"/>
      <c r="CI548" s="33"/>
      <c r="CJ548" s="33"/>
      <c r="CK548" s="33"/>
      <c r="CL548" s="33"/>
      <c r="CM548" s="33"/>
      <c r="CN548" s="33"/>
      <c r="CO548" s="33"/>
      <c r="CP548" s="33"/>
      <c r="CQ548" s="33"/>
      <c r="CR548" s="33"/>
      <c r="CS548" s="33"/>
      <c r="CT548" s="33"/>
      <c r="CU548" s="33"/>
      <c r="CV548" s="33"/>
      <c r="CW548" s="33"/>
      <c r="CX548" s="33"/>
      <c r="CY548" s="33"/>
      <c r="CZ548" s="33"/>
      <c r="DA548" s="33"/>
      <c r="DB548" s="33"/>
      <c r="DC548" s="33"/>
      <c r="DD548" s="33"/>
      <c r="DE548" s="33"/>
      <c r="DF548" s="33"/>
      <c r="DG548" s="33"/>
      <c r="DH548" s="33"/>
      <c r="DI548" s="33"/>
      <c r="DJ548" s="33"/>
      <c r="DK548" s="33"/>
      <c r="DL548" s="33"/>
      <c r="DM548" s="33"/>
      <c r="DN548" s="33"/>
      <c r="DO548" s="33"/>
      <c r="DP548" s="33"/>
      <c r="DQ548" s="33"/>
      <c r="DR548" s="33"/>
      <c r="DS548" s="33"/>
      <c r="DT548" s="33"/>
      <c r="DU548" s="33"/>
      <c r="DV548" s="33"/>
      <c r="DW548" s="33"/>
      <c r="DX548" s="33"/>
      <c r="DY548" s="33"/>
      <c r="DZ548" s="33"/>
      <c r="EA548" s="33"/>
      <c r="EB548" s="33"/>
      <c r="EC548" s="33"/>
      <c r="ED548" s="33"/>
      <c r="EE548" s="33"/>
      <c r="EF548" s="33"/>
      <c r="EG548" s="33"/>
      <c r="EH548" s="33"/>
      <c r="EI548" s="33"/>
      <c r="EJ548" s="33"/>
      <c r="EK548" s="33"/>
      <c r="EL548" s="33"/>
      <c r="EM548" s="33"/>
      <c r="EN548" s="33"/>
      <c r="EO548" s="33"/>
      <c r="EP548" s="33"/>
      <c r="EQ548" s="33"/>
      <c r="ER548" s="33"/>
      <c r="ES548" s="33"/>
    </row>
    <row r="549">
      <c r="A549" s="33"/>
      <c r="B549" s="33"/>
      <c r="C549" s="33"/>
      <c r="D549" s="33"/>
      <c r="E549" s="33"/>
      <c r="F549" s="33"/>
      <c r="G549" s="85"/>
      <c r="H549" s="85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3"/>
      <c r="AC549" s="33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3"/>
      <c r="AP549" s="33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3"/>
      <c r="BP549" s="33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3"/>
      <c r="CC549" s="33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3"/>
      <c r="CP549" s="33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3"/>
      <c r="DC549" s="33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3"/>
      <c r="DP549" s="33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3"/>
      <c r="EC549" s="33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3"/>
      <c r="EP549" s="33"/>
      <c r="EQ549" s="33"/>
      <c r="ER549" s="33"/>
      <c r="ES549" s="33"/>
    </row>
    <row r="550">
      <c r="A550" s="33"/>
      <c r="B550" s="33"/>
      <c r="C550" s="33"/>
      <c r="D550" s="33"/>
      <c r="E550" s="33"/>
      <c r="F550" s="33"/>
      <c r="G550" s="85"/>
      <c r="H550" s="85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33"/>
      <c r="Y550" s="33"/>
      <c r="Z550" s="33"/>
      <c r="AA550" s="33"/>
      <c r="AB550" s="33"/>
      <c r="AC550" s="33"/>
      <c r="AD550" s="33"/>
      <c r="AE550" s="33"/>
      <c r="AF550" s="33"/>
      <c r="AG550" s="33"/>
      <c r="AH550" s="33"/>
      <c r="AI550" s="33"/>
      <c r="AJ550" s="33"/>
      <c r="AK550" s="33"/>
      <c r="AL550" s="33"/>
      <c r="AM550" s="33"/>
      <c r="AN550" s="33"/>
      <c r="AO550" s="33"/>
      <c r="AP550" s="33"/>
      <c r="AQ550" s="33"/>
      <c r="AR550" s="33"/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  <c r="BG550" s="33"/>
      <c r="BH550" s="33"/>
      <c r="BI550" s="33"/>
      <c r="BJ550" s="33"/>
      <c r="BK550" s="33"/>
      <c r="BL550" s="33"/>
      <c r="BM550" s="33"/>
      <c r="BN550" s="33"/>
      <c r="BO550" s="33"/>
      <c r="BP550" s="33"/>
      <c r="BQ550" s="33"/>
      <c r="BR550" s="33"/>
      <c r="BS550" s="33"/>
      <c r="BT550" s="33"/>
      <c r="BU550" s="33"/>
      <c r="BV550" s="33"/>
      <c r="BW550" s="33"/>
      <c r="BX550" s="33"/>
      <c r="BY550" s="33"/>
      <c r="BZ550" s="33"/>
      <c r="CA550" s="33"/>
      <c r="CB550" s="33"/>
      <c r="CC550" s="33"/>
      <c r="CD550" s="33"/>
      <c r="CE550" s="33"/>
      <c r="CF550" s="33"/>
      <c r="CG550" s="33"/>
      <c r="CH550" s="33"/>
      <c r="CI550" s="33"/>
      <c r="CJ550" s="33"/>
      <c r="CK550" s="33"/>
      <c r="CL550" s="33"/>
      <c r="CM550" s="33"/>
      <c r="CN550" s="33"/>
      <c r="CO550" s="33"/>
      <c r="CP550" s="33"/>
      <c r="CQ550" s="33"/>
      <c r="CR550" s="33"/>
      <c r="CS550" s="33"/>
      <c r="CT550" s="33"/>
      <c r="CU550" s="33"/>
      <c r="CV550" s="33"/>
      <c r="CW550" s="33"/>
      <c r="CX550" s="33"/>
      <c r="CY550" s="33"/>
      <c r="CZ550" s="33"/>
      <c r="DA550" s="33"/>
      <c r="DB550" s="33"/>
      <c r="DC550" s="33"/>
      <c r="DD550" s="33"/>
      <c r="DE550" s="33"/>
      <c r="DF550" s="33"/>
      <c r="DG550" s="33"/>
      <c r="DH550" s="33"/>
      <c r="DI550" s="33"/>
      <c r="DJ550" s="33"/>
      <c r="DK550" s="33"/>
      <c r="DL550" s="33"/>
      <c r="DM550" s="33"/>
      <c r="DN550" s="33"/>
      <c r="DO550" s="33"/>
      <c r="DP550" s="33"/>
      <c r="DQ550" s="33"/>
      <c r="DR550" s="33"/>
      <c r="DS550" s="33"/>
      <c r="DT550" s="33"/>
      <c r="DU550" s="33"/>
      <c r="DV550" s="33"/>
      <c r="DW550" s="33"/>
      <c r="DX550" s="33"/>
      <c r="DY550" s="33"/>
      <c r="DZ550" s="33"/>
      <c r="EA550" s="33"/>
      <c r="EB550" s="33"/>
      <c r="EC550" s="33"/>
      <c r="ED550" s="33"/>
      <c r="EE550" s="33"/>
      <c r="EF550" s="33"/>
      <c r="EG550" s="33"/>
      <c r="EH550" s="33"/>
      <c r="EI550" s="33"/>
      <c r="EJ550" s="33"/>
      <c r="EK550" s="33"/>
      <c r="EL550" s="33"/>
      <c r="EM550" s="33"/>
      <c r="EN550" s="33"/>
      <c r="EO550" s="33"/>
      <c r="EP550" s="33"/>
      <c r="EQ550" s="33"/>
      <c r="ER550" s="33"/>
      <c r="ES550" s="33"/>
    </row>
    <row r="551">
      <c r="A551" s="33"/>
      <c r="B551" s="33"/>
      <c r="C551" s="33"/>
      <c r="D551" s="33"/>
      <c r="E551" s="33"/>
      <c r="F551" s="33"/>
      <c r="G551" s="85"/>
      <c r="H551" s="85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3"/>
      <c r="AC551" s="33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3"/>
      <c r="AP551" s="33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3"/>
      <c r="BP551" s="33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3"/>
      <c r="CC551" s="33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3"/>
      <c r="CP551" s="33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3"/>
      <c r="DC551" s="33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3"/>
      <c r="DP551" s="33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3"/>
      <c r="EC551" s="33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3"/>
      <c r="EP551" s="33"/>
      <c r="EQ551" s="33"/>
      <c r="ER551" s="33"/>
      <c r="ES551" s="33"/>
    </row>
    <row r="552">
      <c r="A552" s="33"/>
      <c r="B552" s="33"/>
      <c r="C552" s="33"/>
      <c r="D552" s="33"/>
      <c r="E552" s="33"/>
      <c r="F552" s="33"/>
      <c r="G552" s="85"/>
      <c r="H552" s="85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33"/>
      <c r="Y552" s="33"/>
      <c r="Z552" s="33"/>
      <c r="AA552" s="33"/>
      <c r="AB552" s="33"/>
      <c r="AC552" s="33"/>
      <c r="AD552" s="33"/>
      <c r="AE552" s="33"/>
      <c r="AF552" s="33"/>
      <c r="AG552" s="33"/>
      <c r="AH552" s="33"/>
      <c r="AI552" s="33"/>
      <c r="AJ552" s="33"/>
      <c r="AK552" s="33"/>
      <c r="AL552" s="33"/>
      <c r="AM552" s="33"/>
      <c r="AN552" s="33"/>
      <c r="AO552" s="33"/>
      <c r="AP552" s="33"/>
      <c r="AQ552" s="33"/>
      <c r="AR552" s="33"/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  <c r="BG552" s="33"/>
      <c r="BH552" s="33"/>
      <c r="BI552" s="33"/>
      <c r="BJ552" s="33"/>
      <c r="BK552" s="33"/>
      <c r="BL552" s="33"/>
      <c r="BM552" s="33"/>
      <c r="BN552" s="33"/>
      <c r="BO552" s="33"/>
      <c r="BP552" s="33"/>
      <c r="BQ552" s="33"/>
      <c r="BR552" s="33"/>
      <c r="BS552" s="33"/>
      <c r="BT552" s="33"/>
      <c r="BU552" s="33"/>
      <c r="BV552" s="33"/>
      <c r="BW552" s="33"/>
      <c r="BX552" s="33"/>
      <c r="BY552" s="33"/>
      <c r="BZ552" s="33"/>
      <c r="CA552" s="33"/>
      <c r="CB552" s="33"/>
      <c r="CC552" s="33"/>
      <c r="CD552" s="33"/>
      <c r="CE552" s="33"/>
      <c r="CF552" s="33"/>
      <c r="CG552" s="33"/>
      <c r="CH552" s="33"/>
      <c r="CI552" s="33"/>
      <c r="CJ552" s="33"/>
      <c r="CK552" s="33"/>
      <c r="CL552" s="33"/>
      <c r="CM552" s="33"/>
      <c r="CN552" s="33"/>
      <c r="CO552" s="33"/>
      <c r="CP552" s="33"/>
      <c r="CQ552" s="33"/>
      <c r="CR552" s="33"/>
      <c r="CS552" s="33"/>
      <c r="CT552" s="33"/>
      <c r="CU552" s="33"/>
      <c r="CV552" s="33"/>
      <c r="CW552" s="33"/>
      <c r="CX552" s="33"/>
      <c r="CY552" s="33"/>
      <c r="CZ552" s="33"/>
      <c r="DA552" s="33"/>
      <c r="DB552" s="33"/>
      <c r="DC552" s="33"/>
      <c r="DD552" s="33"/>
      <c r="DE552" s="33"/>
      <c r="DF552" s="33"/>
      <c r="DG552" s="33"/>
      <c r="DH552" s="33"/>
      <c r="DI552" s="33"/>
      <c r="DJ552" s="33"/>
      <c r="DK552" s="33"/>
      <c r="DL552" s="33"/>
      <c r="DM552" s="33"/>
      <c r="DN552" s="33"/>
      <c r="DO552" s="33"/>
      <c r="DP552" s="33"/>
      <c r="DQ552" s="33"/>
      <c r="DR552" s="33"/>
      <c r="DS552" s="33"/>
      <c r="DT552" s="33"/>
      <c r="DU552" s="33"/>
      <c r="DV552" s="33"/>
      <c r="DW552" s="33"/>
      <c r="DX552" s="33"/>
      <c r="DY552" s="33"/>
      <c r="DZ552" s="33"/>
      <c r="EA552" s="33"/>
      <c r="EB552" s="33"/>
      <c r="EC552" s="33"/>
      <c r="ED552" s="33"/>
      <c r="EE552" s="33"/>
      <c r="EF552" s="33"/>
      <c r="EG552" s="33"/>
      <c r="EH552" s="33"/>
      <c r="EI552" s="33"/>
      <c r="EJ552" s="33"/>
      <c r="EK552" s="33"/>
      <c r="EL552" s="33"/>
      <c r="EM552" s="33"/>
      <c r="EN552" s="33"/>
      <c r="EO552" s="33"/>
      <c r="EP552" s="33"/>
      <c r="EQ552" s="33"/>
      <c r="ER552" s="33"/>
      <c r="ES552" s="33"/>
    </row>
    <row r="553">
      <c r="A553" s="33"/>
      <c r="B553" s="33"/>
      <c r="C553" s="33"/>
      <c r="D553" s="33"/>
      <c r="E553" s="33"/>
      <c r="F553" s="33"/>
      <c r="G553" s="85"/>
      <c r="H553" s="85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3"/>
      <c r="AC553" s="33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3"/>
      <c r="AP553" s="33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3"/>
      <c r="BP553" s="33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3"/>
      <c r="CC553" s="33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3"/>
      <c r="CP553" s="33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3"/>
      <c r="DC553" s="33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3"/>
      <c r="DP553" s="33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3"/>
      <c r="EC553" s="33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3"/>
      <c r="EP553" s="33"/>
      <c r="EQ553" s="33"/>
      <c r="ER553" s="33"/>
      <c r="ES553" s="33"/>
    </row>
    <row r="554">
      <c r="A554" s="33"/>
      <c r="B554" s="33"/>
      <c r="C554" s="33"/>
      <c r="D554" s="33"/>
      <c r="E554" s="33"/>
      <c r="F554" s="33"/>
      <c r="G554" s="85"/>
      <c r="H554" s="85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33"/>
      <c r="Y554" s="33"/>
      <c r="Z554" s="33"/>
      <c r="AA554" s="33"/>
      <c r="AB554" s="33"/>
      <c r="AC554" s="33"/>
      <c r="AD554" s="33"/>
      <c r="AE554" s="33"/>
      <c r="AF554" s="33"/>
      <c r="AG554" s="33"/>
      <c r="AH554" s="33"/>
      <c r="AI554" s="33"/>
      <c r="AJ554" s="33"/>
      <c r="AK554" s="33"/>
      <c r="AL554" s="33"/>
      <c r="AM554" s="33"/>
      <c r="AN554" s="33"/>
      <c r="AO554" s="33"/>
      <c r="AP554" s="33"/>
      <c r="AQ554" s="33"/>
      <c r="AR554" s="33"/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  <c r="BG554" s="33"/>
      <c r="BH554" s="33"/>
      <c r="BI554" s="33"/>
      <c r="BJ554" s="33"/>
      <c r="BK554" s="33"/>
      <c r="BL554" s="33"/>
      <c r="BM554" s="33"/>
      <c r="BN554" s="33"/>
      <c r="BO554" s="33"/>
      <c r="BP554" s="33"/>
      <c r="BQ554" s="33"/>
      <c r="BR554" s="33"/>
      <c r="BS554" s="33"/>
      <c r="BT554" s="33"/>
      <c r="BU554" s="33"/>
      <c r="BV554" s="33"/>
      <c r="BW554" s="33"/>
      <c r="BX554" s="33"/>
      <c r="BY554" s="33"/>
      <c r="BZ554" s="33"/>
      <c r="CA554" s="33"/>
      <c r="CB554" s="33"/>
      <c r="CC554" s="33"/>
      <c r="CD554" s="33"/>
      <c r="CE554" s="33"/>
      <c r="CF554" s="33"/>
      <c r="CG554" s="33"/>
      <c r="CH554" s="33"/>
      <c r="CI554" s="33"/>
      <c r="CJ554" s="33"/>
      <c r="CK554" s="33"/>
      <c r="CL554" s="33"/>
      <c r="CM554" s="33"/>
      <c r="CN554" s="33"/>
      <c r="CO554" s="33"/>
      <c r="CP554" s="33"/>
      <c r="CQ554" s="33"/>
      <c r="CR554" s="33"/>
      <c r="CS554" s="33"/>
      <c r="CT554" s="33"/>
      <c r="CU554" s="33"/>
      <c r="CV554" s="33"/>
      <c r="CW554" s="33"/>
      <c r="CX554" s="33"/>
      <c r="CY554" s="33"/>
      <c r="CZ554" s="33"/>
      <c r="DA554" s="33"/>
      <c r="DB554" s="33"/>
      <c r="DC554" s="33"/>
      <c r="DD554" s="33"/>
      <c r="DE554" s="33"/>
      <c r="DF554" s="33"/>
      <c r="DG554" s="33"/>
      <c r="DH554" s="33"/>
      <c r="DI554" s="33"/>
      <c r="DJ554" s="33"/>
      <c r="DK554" s="33"/>
      <c r="DL554" s="33"/>
      <c r="DM554" s="33"/>
      <c r="DN554" s="33"/>
      <c r="DO554" s="33"/>
      <c r="DP554" s="33"/>
      <c r="DQ554" s="33"/>
      <c r="DR554" s="33"/>
      <c r="DS554" s="33"/>
      <c r="DT554" s="33"/>
      <c r="DU554" s="33"/>
      <c r="DV554" s="33"/>
      <c r="DW554" s="33"/>
      <c r="DX554" s="33"/>
      <c r="DY554" s="33"/>
      <c r="DZ554" s="33"/>
      <c r="EA554" s="33"/>
      <c r="EB554" s="33"/>
      <c r="EC554" s="33"/>
      <c r="ED554" s="33"/>
      <c r="EE554" s="33"/>
      <c r="EF554" s="33"/>
      <c r="EG554" s="33"/>
      <c r="EH554" s="33"/>
      <c r="EI554" s="33"/>
      <c r="EJ554" s="33"/>
      <c r="EK554" s="33"/>
      <c r="EL554" s="33"/>
      <c r="EM554" s="33"/>
      <c r="EN554" s="33"/>
      <c r="EO554" s="33"/>
      <c r="EP554" s="33"/>
      <c r="EQ554" s="33"/>
      <c r="ER554" s="33"/>
      <c r="ES554" s="33"/>
    </row>
    <row r="555">
      <c r="A555" s="33"/>
      <c r="B555" s="33"/>
      <c r="C555" s="33"/>
      <c r="D555" s="33"/>
      <c r="E555" s="33"/>
      <c r="F555" s="33"/>
      <c r="G555" s="85"/>
      <c r="H555" s="85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3"/>
      <c r="AC555" s="33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3"/>
      <c r="AP555" s="33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3"/>
      <c r="BP555" s="33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3"/>
      <c r="CC555" s="33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3"/>
      <c r="CP555" s="33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3"/>
      <c r="DC555" s="33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3"/>
      <c r="DP555" s="33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3"/>
      <c r="EC555" s="33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3"/>
      <c r="EP555" s="33"/>
      <c r="EQ555" s="33"/>
      <c r="ER555" s="33"/>
      <c r="ES555" s="33"/>
    </row>
    <row r="556">
      <c r="A556" s="33"/>
      <c r="B556" s="33"/>
      <c r="C556" s="33"/>
      <c r="D556" s="33"/>
      <c r="E556" s="33"/>
      <c r="F556" s="33"/>
      <c r="G556" s="85"/>
      <c r="H556" s="85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33"/>
      <c r="Y556" s="33"/>
      <c r="Z556" s="33"/>
      <c r="AA556" s="33"/>
      <c r="AB556" s="33"/>
      <c r="AC556" s="33"/>
      <c r="AD556" s="33"/>
      <c r="AE556" s="33"/>
      <c r="AF556" s="33"/>
      <c r="AG556" s="33"/>
      <c r="AH556" s="33"/>
      <c r="AI556" s="33"/>
      <c r="AJ556" s="33"/>
      <c r="AK556" s="33"/>
      <c r="AL556" s="33"/>
      <c r="AM556" s="33"/>
      <c r="AN556" s="33"/>
      <c r="AO556" s="33"/>
      <c r="AP556" s="33"/>
      <c r="AQ556" s="33"/>
      <c r="AR556" s="33"/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  <c r="BI556" s="33"/>
      <c r="BJ556" s="33"/>
      <c r="BK556" s="33"/>
      <c r="BL556" s="33"/>
      <c r="BM556" s="33"/>
      <c r="BN556" s="33"/>
      <c r="BO556" s="33"/>
      <c r="BP556" s="33"/>
      <c r="BQ556" s="33"/>
      <c r="BR556" s="33"/>
      <c r="BS556" s="33"/>
      <c r="BT556" s="33"/>
      <c r="BU556" s="33"/>
      <c r="BV556" s="33"/>
      <c r="BW556" s="33"/>
      <c r="BX556" s="33"/>
      <c r="BY556" s="33"/>
      <c r="BZ556" s="33"/>
      <c r="CA556" s="33"/>
      <c r="CB556" s="33"/>
      <c r="CC556" s="33"/>
      <c r="CD556" s="33"/>
      <c r="CE556" s="33"/>
      <c r="CF556" s="33"/>
      <c r="CG556" s="33"/>
      <c r="CH556" s="33"/>
      <c r="CI556" s="33"/>
      <c r="CJ556" s="33"/>
      <c r="CK556" s="33"/>
      <c r="CL556" s="33"/>
      <c r="CM556" s="33"/>
      <c r="CN556" s="33"/>
      <c r="CO556" s="33"/>
      <c r="CP556" s="33"/>
      <c r="CQ556" s="33"/>
      <c r="CR556" s="33"/>
      <c r="CS556" s="33"/>
      <c r="CT556" s="33"/>
      <c r="CU556" s="33"/>
      <c r="CV556" s="33"/>
      <c r="CW556" s="33"/>
      <c r="CX556" s="33"/>
      <c r="CY556" s="33"/>
      <c r="CZ556" s="33"/>
      <c r="DA556" s="33"/>
      <c r="DB556" s="33"/>
      <c r="DC556" s="33"/>
      <c r="DD556" s="33"/>
      <c r="DE556" s="33"/>
      <c r="DF556" s="33"/>
      <c r="DG556" s="33"/>
      <c r="DH556" s="33"/>
      <c r="DI556" s="33"/>
      <c r="DJ556" s="33"/>
      <c r="DK556" s="33"/>
      <c r="DL556" s="33"/>
      <c r="DM556" s="33"/>
      <c r="DN556" s="33"/>
      <c r="DO556" s="33"/>
      <c r="DP556" s="33"/>
      <c r="DQ556" s="33"/>
      <c r="DR556" s="33"/>
      <c r="DS556" s="33"/>
      <c r="DT556" s="33"/>
      <c r="DU556" s="33"/>
      <c r="DV556" s="33"/>
      <c r="DW556" s="33"/>
      <c r="DX556" s="33"/>
      <c r="DY556" s="33"/>
      <c r="DZ556" s="33"/>
      <c r="EA556" s="33"/>
      <c r="EB556" s="33"/>
      <c r="EC556" s="33"/>
      <c r="ED556" s="33"/>
      <c r="EE556" s="33"/>
      <c r="EF556" s="33"/>
      <c r="EG556" s="33"/>
      <c r="EH556" s="33"/>
      <c r="EI556" s="33"/>
      <c r="EJ556" s="33"/>
      <c r="EK556" s="33"/>
      <c r="EL556" s="33"/>
      <c r="EM556" s="33"/>
      <c r="EN556" s="33"/>
      <c r="EO556" s="33"/>
      <c r="EP556" s="33"/>
      <c r="EQ556" s="33"/>
      <c r="ER556" s="33"/>
      <c r="ES556" s="33"/>
    </row>
    <row r="557">
      <c r="A557" s="33"/>
      <c r="B557" s="33"/>
      <c r="C557" s="33"/>
      <c r="D557" s="33"/>
      <c r="E557" s="33"/>
      <c r="F557" s="33"/>
      <c r="G557" s="85"/>
      <c r="H557" s="85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3"/>
      <c r="AC557" s="33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3"/>
      <c r="AP557" s="33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3"/>
      <c r="BP557" s="33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3"/>
      <c r="CC557" s="33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3"/>
      <c r="CP557" s="33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3"/>
      <c r="DC557" s="33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3"/>
      <c r="DP557" s="33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3"/>
      <c r="EC557" s="33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3"/>
      <c r="EP557" s="33"/>
      <c r="EQ557" s="33"/>
      <c r="ER557" s="33"/>
      <c r="ES557" s="33"/>
    </row>
    <row r="558">
      <c r="A558" s="33"/>
      <c r="B558" s="33"/>
      <c r="C558" s="33"/>
      <c r="D558" s="33"/>
      <c r="E558" s="33"/>
      <c r="F558" s="33"/>
      <c r="G558" s="85"/>
      <c r="H558" s="85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33"/>
      <c r="Y558" s="33"/>
      <c r="Z558" s="33"/>
      <c r="AA558" s="33"/>
      <c r="AB558" s="33"/>
      <c r="AC558" s="33"/>
      <c r="AD558" s="33"/>
      <c r="AE558" s="33"/>
      <c r="AF558" s="33"/>
      <c r="AG558" s="33"/>
      <c r="AH558" s="33"/>
      <c r="AI558" s="33"/>
      <c r="AJ558" s="33"/>
      <c r="AK558" s="33"/>
      <c r="AL558" s="33"/>
      <c r="AM558" s="33"/>
      <c r="AN558" s="33"/>
      <c r="AO558" s="33"/>
      <c r="AP558" s="33"/>
      <c r="AQ558" s="33"/>
      <c r="AR558" s="33"/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  <c r="BI558" s="33"/>
      <c r="BJ558" s="33"/>
      <c r="BK558" s="33"/>
      <c r="BL558" s="33"/>
      <c r="BM558" s="33"/>
      <c r="BN558" s="33"/>
      <c r="BO558" s="33"/>
      <c r="BP558" s="33"/>
      <c r="BQ558" s="33"/>
      <c r="BR558" s="33"/>
      <c r="BS558" s="33"/>
      <c r="BT558" s="33"/>
      <c r="BU558" s="33"/>
      <c r="BV558" s="33"/>
      <c r="BW558" s="33"/>
      <c r="BX558" s="33"/>
      <c r="BY558" s="33"/>
      <c r="BZ558" s="33"/>
      <c r="CA558" s="33"/>
      <c r="CB558" s="33"/>
      <c r="CC558" s="33"/>
      <c r="CD558" s="33"/>
      <c r="CE558" s="33"/>
      <c r="CF558" s="33"/>
      <c r="CG558" s="33"/>
      <c r="CH558" s="33"/>
      <c r="CI558" s="33"/>
      <c r="CJ558" s="33"/>
      <c r="CK558" s="33"/>
      <c r="CL558" s="33"/>
      <c r="CM558" s="33"/>
      <c r="CN558" s="33"/>
      <c r="CO558" s="33"/>
      <c r="CP558" s="33"/>
      <c r="CQ558" s="33"/>
      <c r="CR558" s="33"/>
      <c r="CS558" s="33"/>
      <c r="CT558" s="33"/>
      <c r="CU558" s="33"/>
      <c r="CV558" s="33"/>
      <c r="CW558" s="33"/>
      <c r="CX558" s="33"/>
      <c r="CY558" s="33"/>
      <c r="CZ558" s="33"/>
      <c r="DA558" s="33"/>
      <c r="DB558" s="33"/>
      <c r="DC558" s="33"/>
      <c r="DD558" s="33"/>
      <c r="DE558" s="33"/>
      <c r="DF558" s="33"/>
      <c r="DG558" s="33"/>
      <c r="DH558" s="33"/>
      <c r="DI558" s="33"/>
      <c r="DJ558" s="33"/>
      <c r="DK558" s="33"/>
      <c r="DL558" s="33"/>
      <c r="DM558" s="33"/>
      <c r="DN558" s="33"/>
      <c r="DO558" s="33"/>
      <c r="DP558" s="33"/>
      <c r="DQ558" s="33"/>
      <c r="DR558" s="33"/>
      <c r="DS558" s="33"/>
      <c r="DT558" s="33"/>
      <c r="DU558" s="33"/>
      <c r="DV558" s="33"/>
      <c r="DW558" s="33"/>
      <c r="DX558" s="33"/>
      <c r="DY558" s="33"/>
      <c r="DZ558" s="33"/>
      <c r="EA558" s="33"/>
      <c r="EB558" s="33"/>
      <c r="EC558" s="33"/>
      <c r="ED558" s="33"/>
      <c r="EE558" s="33"/>
      <c r="EF558" s="33"/>
      <c r="EG558" s="33"/>
      <c r="EH558" s="33"/>
      <c r="EI558" s="33"/>
      <c r="EJ558" s="33"/>
      <c r="EK558" s="33"/>
      <c r="EL558" s="33"/>
      <c r="EM558" s="33"/>
      <c r="EN558" s="33"/>
      <c r="EO558" s="33"/>
      <c r="EP558" s="33"/>
      <c r="EQ558" s="33"/>
      <c r="ER558" s="33"/>
      <c r="ES558" s="33"/>
    </row>
    <row r="559">
      <c r="A559" s="33"/>
      <c r="B559" s="33"/>
      <c r="C559" s="33"/>
      <c r="D559" s="33"/>
      <c r="E559" s="33"/>
      <c r="F559" s="33"/>
      <c r="G559" s="85"/>
      <c r="H559" s="85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3"/>
      <c r="AC559" s="33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3"/>
      <c r="AP559" s="33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3"/>
      <c r="BP559" s="33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3"/>
      <c r="CC559" s="33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3"/>
      <c r="CP559" s="33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3"/>
      <c r="DC559" s="33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3"/>
      <c r="DP559" s="33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3"/>
      <c r="EC559" s="33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3"/>
      <c r="EP559" s="33"/>
      <c r="EQ559" s="33"/>
      <c r="ER559" s="33"/>
      <c r="ES559" s="33"/>
    </row>
    <row r="560">
      <c r="A560" s="33"/>
      <c r="B560" s="33"/>
      <c r="C560" s="33"/>
      <c r="D560" s="33"/>
      <c r="E560" s="33"/>
      <c r="F560" s="33"/>
      <c r="G560" s="85"/>
      <c r="H560" s="85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33"/>
      <c r="Y560" s="33"/>
      <c r="Z560" s="33"/>
      <c r="AA560" s="33"/>
      <c r="AB560" s="33"/>
      <c r="AC560" s="33"/>
      <c r="AD560" s="33"/>
      <c r="AE560" s="33"/>
      <c r="AF560" s="33"/>
      <c r="AG560" s="33"/>
      <c r="AH560" s="33"/>
      <c r="AI560" s="33"/>
      <c r="AJ560" s="33"/>
      <c r="AK560" s="33"/>
      <c r="AL560" s="33"/>
      <c r="AM560" s="33"/>
      <c r="AN560" s="33"/>
      <c r="AO560" s="33"/>
      <c r="AP560" s="33"/>
      <c r="AQ560" s="33"/>
      <c r="AR560" s="33"/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  <c r="BI560" s="33"/>
      <c r="BJ560" s="33"/>
      <c r="BK560" s="33"/>
      <c r="BL560" s="33"/>
      <c r="BM560" s="33"/>
      <c r="BN560" s="33"/>
      <c r="BO560" s="33"/>
      <c r="BP560" s="33"/>
      <c r="BQ560" s="33"/>
      <c r="BR560" s="33"/>
      <c r="BS560" s="33"/>
      <c r="BT560" s="33"/>
      <c r="BU560" s="33"/>
      <c r="BV560" s="33"/>
      <c r="BW560" s="33"/>
      <c r="BX560" s="33"/>
      <c r="BY560" s="33"/>
      <c r="BZ560" s="33"/>
      <c r="CA560" s="33"/>
      <c r="CB560" s="33"/>
      <c r="CC560" s="33"/>
      <c r="CD560" s="33"/>
      <c r="CE560" s="33"/>
      <c r="CF560" s="33"/>
      <c r="CG560" s="33"/>
      <c r="CH560" s="33"/>
      <c r="CI560" s="33"/>
      <c r="CJ560" s="33"/>
      <c r="CK560" s="33"/>
      <c r="CL560" s="33"/>
      <c r="CM560" s="33"/>
      <c r="CN560" s="33"/>
      <c r="CO560" s="33"/>
      <c r="CP560" s="33"/>
      <c r="CQ560" s="33"/>
      <c r="CR560" s="33"/>
      <c r="CS560" s="33"/>
      <c r="CT560" s="33"/>
      <c r="CU560" s="33"/>
      <c r="CV560" s="33"/>
      <c r="CW560" s="33"/>
      <c r="CX560" s="33"/>
      <c r="CY560" s="33"/>
      <c r="CZ560" s="33"/>
      <c r="DA560" s="33"/>
      <c r="DB560" s="33"/>
      <c r="DC560" s="33"/>
      <c r="DD560" s="33"/>
      <c r="DE560" s="33"/>
      <c r="DF560" s="33"/>
      <c r="DG560" s="33"/>
      <c r="DH560" s="33"/>
      <c r="DI560" s="33"/>
      <c r="DJ560" s="33"/>
      <c r="DK560" s="33"/>
      <c r="DL560" s="33"/>
      <c r="DM560" s="33"/>
      <c r="DN560" s="33"/>
      <c r="DO560" s="33"/>
      <c r="DP560" s="33"/>
      <c r="DQ560" s="33"/>
      <c r="DR560" s="33"/>
      <c r="DS560" s="33"/>
      <c r="DT560" s="33"/>
      <c r="DU560" s="33"/>
      <c r="DV560" s="33"/>
      <c r="DW560" s="33"/>
      <c r="DX560" s="33"/>
      <c r="DY560" s="33"/>
      <c r="DZ560" s="33"/>
      <c r="EA560" s="33"/>
      <c r="EB560" s="33"/>
      <c r="EC560" s="33"/>
      <c r="ED560" s="33"/>
      <c r="EE560" s="33"/>
      <c r="EF560" s="33"/>
      <c r="EG560" s="33"/>
      <c r="EH560" s="33"/>
      <c r="EI560" s="33"/>
      <c r="EJ560" s="33"/>
      <c r="EK560" s="33"/>
      <c r="EL560" s="33"/>
      <c r="EM560" s="33"/>
      <c r="EN560" s="33"/>
      <c r="EO560" s="33"/>
      <c r="EP560" s="33"/>
      <c r="EQ560" s="33"/>
      <c r="ER560" s="33"/>
      <c r="ES560" s="33"/>
    </row>
    <row r="561">
      <c r="A561" s="33"/>
      <c r="B561" s="33"/>
      <c r="C561" s="33"/>
      <c r="D561" s="33"/>
      <c r="E561" s="33"/>
      <c r="F561" s="33"/>
      <c r="G561" s="85"/>
      <c r="H561" s="85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3"/>
      <c r="AC561" s="33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3"/>
      <c r="AP561" s="33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3"/>
      <c r="BP561" s="33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3"/>
      <c r="CC561" s="33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3"/>
      <c r="CP561" s="33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3"/>
      <c r="DC561" s="33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3"/>
      <c r="DP561" s="33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3"/>
      <c r="EC561" s="33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3"/>
      <c r="EP561" s="33"/>
      <c r="EQ561" s="33"/>
      <c r="ER561" s="33"/>
      <c r="ES561" s="33"/>
    </row>
    <row r="562">
      <c r="A562" s="33"/>
      <c r="B562" s="33"/>
      <c r="C562" s="33"/>
      <c r="D562" s="33"/>
      <c r="E562" s="33"/>
      <c r="F562" s="33"/>
      <c r="G562" s="85"/>
      <c r="H562" s="85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33"/>
      <c r="Y562" s="33"/>
      <c r="Z562" s="33"/>
      <c r="AA562" s="33"/>
      <c r="AB562" s="33"/>
      <c r="AC562" s="33"/>
      <c r="AD562" s="33"/>
      <c r="AE562" s="33"/>
      <c r="AF562" s="33"/>
      <c r="AG562" s="33"/>
      <c r="AH562" s="33"/>
      <c r="AI562" s="33"/>
      <c r="AJ562" s="33"/>
      <c r="AK562" s="33"/>
      <c r="AL562" s="33"/>
      <c r="AM562" s="33"/>
      <c r="AN562" s="33"/>
      <c r="AO562" s="33"/>
      <c r="AP562" s="33"/>
      <c r="AQ562" s="33"/>
      <c r="AR562" s="33"/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  <c r="BI562" s="33"/>
      <c r="BJ562" s="33"/>
      <c r="BK562" s="33"/>
      <c r="BL562" s="33"/>
      <c r="BM562" s="33"/>
      <c r="BN562" s="33"/>
      <c r="BO562" s="33"/>
      <c r="BP562" s="33"/>
      <c r="BQ562" s="33"/>
      <c r="BR562" s="33"/>
      <c r="BS562" s="33"/>
      <c r="BT562" s="33"/>
      <c r="BU562" s="33"/>
      <c r="BV562" s="33"/>
      <c r="BW562" s="33"/>
      <c r="BX562" s="33"/>
      <c r="BY562" s="33"/>
      <c r="BZ562" s="33"/>
      <c r="CA562" s="33"/>
      <c r="CB562" s="33"/>
      <c r="CC562" s="33"/>
      <c r="CD562" s="33"/>
      <c r="CE562" s="33"/>
      <c r="CF562" s="33"/>
      <c r="CG562" s="33"/>
      <c r="CH562" s="33"/>
      <c r="CI562" s="33"/>
      <c r="CJ562" s="33"/>
      <c r="CK562" s="33"/>
      <c r="CL562" s="33"/>
      <c r="CM562" s="33"/>
      <c r="CN562" s="33"/>
      <c r="CO562" s="33"/>
      <c r="CP562" s="33"/>
      <c r="CQ562" s="33"/>
      <c r="CR562" s="33"/>
      <c r="CS562" s="33"/>
      <c r="CT562" s="33"/>
      <c r="CU562" s="33"/>
      <c r="CV562" s="33"/>
      <c r="CW562" s="33"/>
      <c r="CX562" s="33"/>
      <c r="CY562" s="33"/>
      <c r="CZ562" s="33"/>
      <c r="DA562" s="33"/>
      <c r="DB562" s="33"/>
      <c r="DC562" s="33"/>
      <c r="DD562" s="33"/>
      <c r="DE562" s="33"/>
      <c r="DF562" s="33"/>
      <c r="DG562" s="33"/>
      <c r="DH562" s="33"/>
      <c r="DI562" s="33"/>
      <c r="DJ562" s="33"/>
      <c r="DK562" s="33"/>
      <c r="DL562" s="33"/>
      <c r="DM562" s="33"/>
      <c r="DN562" s="33"/>
      <c r="DO562" s="33"/>
      <c r="DP562" s="33"/>
      <c r="DQ562" s="33"/>
      <c r="DR562" s="33"/>
      <c r="DS562" s="33"/>
      <c r="DT562" s="33"/>
      <c r="DU562" s="33"/>
      <c r="DV562" s="33"/>
      <c r="DW562" s="33"/>
      <c r="DX562" s="33"/>
      <c r="DY562" s="33"/>
      <c r="DZ562" s="33"/>
      <c r="EA562" s="33"/>
      <c r="EB562" s="33"/>
      <c r="EC562" s="33"/>
      <c r="ED562" s="33"/>
      <c r="EE562" s="33"/>
      <c r="EF562" s="33"/>
      <c r="EG562" s="33"/>
      <c r="EH562" s="33"/>
      <c r="EI562" s="33"/>
      <c r="EJ562" s="33"/>
      <c r="EK562" s="33"/>
      <c r="EL562" s="33"/>
      <c r="EM562" s="33"/>
      <c r="EN562" s="33"/>
      <c r="EO562" s="33"/>
      <c r="EP562" s="33"/>
      <c r="EQ562" s="33"/>
      <c r="ER562" s="33"/>
      <c r="ES562" s="33"/>
    </row>
    <row r="563">
      <c r="A563" s="33"/>
      <c r="B563" s="33"/>
      <c r="C563" s="33"/>
      <c r="D563" s="33"/>
      <c r="E563" s="33"/>
      <c r="F563" s="33"/>
      <c r="G563" s="85"/>
      <c r="H563" s="85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3"/>
      <c r="AC563" s="33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3"/>
      <c r="AP563" s="33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3"/>
      <c r="BP563" s="33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3"/>
      <c r="CC563" s="33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3"/>
      <c r="CP563" s="33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3"/>
      <c r="DC563" s="33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3"/>
      <c r="DP563" s="33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3"/>
      <c r="EC563" s="33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3"/>
      <c r="EP563" s="33"/>
      <c r="EQ563" s="33"/>
      <c r="ER563" s="33"/>
      <c r="ES563" s="33"/>
    </row>
    <row r="564">
      <c r="A564" s="33"/>
      <c r="B564" s="33"/>
      <c r="C564" s="33"/>
      <c r="D564" s="33"/>
      <c r="E564" s="33"/>
      <c r="F564" s="33"/>
      <c r="G564" s="85"/>
      <c r="H564" s="85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33"/>
      <c r="Y564" s="33"/>
      <c r="Z564" s="33"/>
      <c r="AA564" s="33"/>
      <c r="AB564" s="33"/>
      <c r="AC564" s="33"/>
      <c r="AD564" s="33"/>
      <c r="AE564" s="33"/>
      <c r="AF564" s="33"/>
      <c r="AG564" s="33"/>
      <c r="AH564" s="33"/>
      <c r="AI564" s="33"/>
      <c r="AJ564" s="33"/>
      <c r="AK564" s="33"/>
      <c r="AL564" s="33"/>
      <c r="AM564" s="33"/>
      <c r="AN564" s="33"/>
      <c r="AO564" s="33"/>
      <c r="AP564" s="33"/>
      <c r="AQ564" s="33"/>
      <c r="AR564" s="33"/>
      <c r="AS564" s="33"/>
      <c r="AT564" s="33"/>
      <c r="AU564" s="33"/>
      <c r="AV564" s="33"/>
      <c r="AW564" s="33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  <c r="BI564" s="33"/>
      <c r="BJ564" s="33"/>
      <c r="BK564" s="33"/>
      <c r="BL564" s="33"/>
      <c r="BM564" s="33"/>
      <c r="BN564" s="33"/>
      <c r="BO564" s="33"/>
      <c r="BP564" s="33"/>
      <c r="BQ564" s="33"/>
      <c r="BR564" s="33"/>
      <c r="BS564" s="33"/>
      <c r="BT564" s="33"/>
      <c r="BU564" s="33"/>
      <c r="BV564" s="33"/>
      <c r="BW564" s="33"/>
      <c r="BX564" s="33"/>
      <c r="BY564" s="33"/>
      <c r="BZ564" s="33"/>
      <c r="CA564" s="33"/>
      <c r="CB564" s="33"/>
      <c r="CC564" s="33"/>
      <c r="CD564" s="33"/>
      <c r="CE564" s="33"/>
      <c r="CF564" s="33"/>
      <c r="CG564" s="33"/>
      <c r="CH564" s="33"/>
      <c r="CI564" s="33"/>
      <c r="CJ564" s="33"/>
      <c r="CK564" s="33"/>
      <c r="CL564" s="33"/>
      <c r="CM564" s="33"/>
      <c r="CN564" s="33"/>
      <c r="CO564" s="33"/>
      <c r="CP564" s="33"/>
      <c r="CQ564" s="33"/>
      <c r="CR564" s="33"/>
      <c r="CS564" s="33"/>
      <c r="CT564" s="33"/>
      <c r="CU564" s="33"/>
      <c r="CV564" s="33"/>
      <c r="CW564" s="33"/>
      <c r="CX564" s="33"/>
      <c r="CY564" s="33"/>
      <c r="CZ564" s="33"/>
      <c r="DA564" s="33"/>
      <c r="DB564" s="33"/>
      <c r="DC564" s="33"/>
      <c r="DD564" s="33"/>
      <c r="DE564" s="33"/>
      <c r="DF564" s="33"/>
      <c r="DG564" s="33"/>
      <c r="DH564" s="33"/>
      <c r="DI564" s="33"/>
      <c r="DJ564" s="33"/>
      <c r="DK564" s="33"/>
      <c r="DL564" s="33"/>
      <c r="DM564" s="33"/>
      <c r="DN564" s="33"/>
      <c r="DO564" s="33"/>
      <c r="DP564" s="33"/>
      <c r="DQ564" s="33"/>
      <c r="DR564" s="33"/>
      <c r="DS564" s="33"/>
      <c r="DT564" s="33"/>
      <c r="DU564" s="33"/>
      <c r="DV564" s="33"/>
      <c r="DW564" s="33"/>
      <c r="DX564" s="33"/>
      <c r="DY564" s="33"/>
      <c r="DZ564" s="33"/>
      <c r="EA564" s="33"/>
      <c r="EB564" s="33"/>
      <c r="EC564" s="33"/>
      <c r="ED564" s="33"/>
      <c r="EE564" s="33"/>
      <c r="EF564" s="33"/>
      <c r="EG564" s="33"/>
      <c r="EH564" s="33"/>
      <c r="EI564" s="33"/>
      <c r="EJ564" s="33"/>
      <c r="EK564" s="33"/>
      <c r="EL564" s="33"/>
      <c r="EM564" s="33"/>
      <c r="EN564" s="33"/>
      <c r="EO564" s="33"/>
      <c r="EP564" s="33"/>
      <c r="EQ564" s="33"/>
      <c r="ER564" s="33"/>
      <c r="ES564" s="33"/>
    </row>
    <row r="565">
      <c r="A565" s="33"/>
      <c r="B565" s="33"/>
      <c r="C565" s="33"/>
      <c r="D565" s="33"/>
      <c r="E565" s="33"/>
      <c r="F565" s="33"/>
      <c r="G565" s="85"/>
      <c r="H565" s="85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3"/>
      <c r="AC565" s="33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3"/>
      <c r="AP565" s="33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3"/>
      <c r="BP565" s="33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3"/>
      <c r="CC565" s="33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3"/>
      <c r="CP565" s="33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3"/>
      <c r="DC565" s="33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3"/>
      <c r="DP565" s="33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3"/>
      <c r="EC565" s="33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3"/>
      <c r="EP565" s="33"/>
      <c r="EQ565" s="33"/>
      <c r="ER565" s="33"/>
      <c r="ES565" s="33"/>
    </row>
    <row r="566">
      <c r="A566" s="33"/>
      <c r="B566" s="33"/>
      <c r="C566" s="33"/>
      <c r="D566" s="33"/>
      <c r="E566" s="33"/>
      <c r="F566" s="33"/>
      <c r="G566" s="85"/>
      <c r="H566" s="85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33"/>
      <c r="Y566" s="33"/>
      <c r="Z566" s="33"/>
      <c r="AA566" s="33"/>
      <c r="AB566" s="33"/>
      <c r="AC566" s="33"/>
      <c r="AD566" s="33"/>
      <c r="AE566" s="33"/>
      <c r="AF566" s="33"/>
      <c r="AG566" s="33"/>
      <c r="AH566" s="33"/>
      <c r="AI566" s="33"/>
      <c r="AJ566" s="33"/>
      <c r="AK566" s="33"/>
      <c r="AL566" s="33"/>
      <c r="AM566" s="33"/>
      <c r="AN566" s="33"/>
      <c r="AO566" s="33"/>
      <c r="AP566" s="33"/>
      <c r="AQ566" s="33"/>
      <c r="AR566" s="33"/>
      <c r="AS566" s="33"/>
      <c r="AT566" s="33"/>
      <c r="AU566" s="33"/>
      <c r="AV566" s="33"/>
      <c r="AW566" s="33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  <c r="BI566" s="33"/>
      <c r="BJ566" s="33"/>
      <c r="BK566" s="33"/>
      <c r="BL566" s="33"/>
      <c r="BM566" s="33"/>
      <c r="BN566" s="33"/>
      <c r="BO566" s="33"/>
      <c r="BP566" s="33"/>
      <c r="BQ566" s="33"/>
      <c r="BR566" s="33"/>
      <c r="BS566" s="33"/>
      <c r="BT566" s="33"/>
      <c r="BU566" s="33"/>
      <c r="BV566" s="33"/>
      <c r="BW566" s="33"/>
      <c r="BX566" s="33"/>
      <c r="BY566" s="33"/>
      <c r="BZ566" s="33"/>
      <c r="CA566" s="33"/>
      <c r="CB566" s="33"/>
      <c r="CC566" s="33"/>
      <c r="CD566" s="33"/>
      <c r="CE566" s="33"/>
      <c r="CF566" s="33"/>
      <c r="CG566" s="33"/>
      <c r="CH566" s="33"/>
      <c r="CI566" s="33"/>
      <c r="CJ566" s="33"/>
      <c r="CK566" s="33"/>
      <c r="CL566" s="33"/>
      <c r="CM566" s="33"/>
      <c r="CN566" s="33"/>
      <c r="CO566" s="33"/>
      <c r="CP566" s="33"/>
      <c r="CQ566" s="33"/>
      <c r="CR566" s="33"/>
      <c r="CS566" s="33"/>
      <c r="CT566" s="33"/>
      <c r="CU566" s="33"/>
      <c r="CV566" s="33"/>
      <c r="CW566" s="33"/>
      <c r="CX566" s="33"/>
      <c r="CY566" s="33"/>
      <c r="CZ566" s="33"/>
      <c r="DA566" s="33"/>
      <c r="DB566" s="33"/>
      <c r="DC566" s="33"/>
      <c r="DD566" s="33"/>
      <c r="DE566" s="33"/>
      <c r="DF566" s="33"/>
      <c r="DG566" s="33"/>
      <c r="DH566" s="33"/>
      <c r="DI566" s="33"/>
      <c r="DJ566" s="33"/>
      <c r="DK566" s="33"/>
      <c r="DL566" s="33"/>
      <c r="DM566" s="33"/>
      <c r="DN566" s="33"/>
      <c r="DO566" s="33"/>
      <c r="DP566" s="33"/>
      <c r="DQ566" s="33"/>
      <c r="DR566" s="33"/>
      <c r="DS566" s="33"/>
      <c r="DT566" s="33"/>
      <c r="DU566" s="33"/>
      <c r="DV566" s="33"/>
      <c r="DW566" s="33"/>
      <c r="DX566" s="33"/>
      <c r="DY566" s="33"/>
      <c r="DZ566" s="33"/>
      <c r="EA566" s="33"/>
      <c r="EB566" s="33"/>
      <c r="EC566" s="33"/>
      <c r="ED566" s="33"/>
      <c r="EE566" s="33"/>
      <c r="EF566" s="33"/>
      <c r="EG566" s="33"/>
      <c r="EH566" s="33"/>
      <c r="EI566" s="33"/>
      <c r="EJ566" s="33"/>
      <c r="EK566" s="33"/>
      <c r="EL566" s="33"/>
      <c r="EM566" s="33"/>
      <c r="EN566" s="33"/>
      <c r="EO566" s="33"/>
      <c r="EP566" s="33"/>
      <c r="EQ566" s="33"/>
      <c r="ER566" s="33"/>
      <c r="ES566" s="33"/>
    </row>
    <row r="567">
      <c r="A567" s="33"/>
      <c r="B567" s="33"/>
      <c r="C567" s="33"/>
      <c r="D567" s="33"/>
      <c r="E567" s="33"/>
      <c r="F567" s="33"/>
      <c r="G567" s="85"/>
      <c r="H567" s="85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3"/>
      <c r="AC567" s="33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3"/>
      <c r="AP567" s="33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3"/>
      <c r="BP567" s="33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3"/>
      <c r="CC567" s="33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3"/>
      <c r="CP567" s="33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3"/>
      <c r="DC567" s="33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3"/>
      <c r="DP567" s="33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3"/>
      <c r="EC567" s="33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3"/>
      <c r="EP567" s="33"/>
      <c r="EQ567" s="33"/>
      <c r="ER567" s="33"/>
      <c r="ES567" s="33"/>
    </row>
    <row r="568">
      <c r="A568" s="33"/>
      <c r="B568" s="33"/>
      <c r="C568" s="33"/>
      <c r="D568" s="33"/>
      <c r="E568" s="33"/>
      <c r="F568" s="33"/>
      <c r="G568" s="85"/>
      <c r="H568" s="85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33"/>
      <c r="Y568" s="33"/>
      <c r="Z568" s="33"/>
      <c r="AA568" s="33"/>
      <c r="AB568" s="33"/>
      <c r="AC568" s="33"/>
      <c r="AD568" s="33"/>
      <c r="AE568" s="33"/>
      <c r="AF568" s="33"/>
      <c r="AG568" s="33"/>
      <c r="AH568" s="33"/>
      <c r="AI568" s="33"/>
      <c r="AJ568" s="33"/>
      <c r="AK568" s="33"/>
      <c r="AL568" s="33"/>
      <c r="AM568" s="33"/>
      <c r="AN568" s="33"/>
      <c r="AO568" s="33"/>
      <c r="AP568" s="33"/>
      <c r="AQ568" s="33"/>
      <c r="AR568" s="33"/>
      <c r="AS568" s="33"/>
      <c r="AT568" s="33"/>
      <c r="AU568" s="33"/>
      <c r="AV568" s="33"/>
      <c r="AW568" s="33"/>
      <c r="AX568" s="33"/>
      <c r="AY568" s="33"/>
      <c r="AZ568" s="33"/>
      <c r="BA568" s="33"/>
      <c r="BB568" s="33"/>
      <c r="BC568" s="33"/>
      <c r="BD568" s="33"/>
      <c r="BE568" s="33"/>
      <c r="BF568" s="33"/>
      <c r="BG568" s="33"/>
      <c r="BH568" s="33"/>
      <c r="BI568" s="33"/>
      <c r="BJ568" s="33"/>
      <c r="BK568" s="33"/>
      <c r="BL568" s="33"/>
      <c r="BM568" s="33"/>
      <c r="BN568" s="33"/>
      <c r="BO568" s="33"/>
      <c r="BP568" s="33"/>
      <c r="BQ568" s="33"/>
      <c r="BR568" s="33"/>
      <c r="BS568" s="33"/>
      <c r="BT568" s="33"/>
      <c r="BU568" s="33"/>
      <c r="BV568" s="33"/>
      <c r="BW568" s="33"/>
      <c r="BX568" s="33"/>
      <c r="BY568" s="33"/>
      <c r="BZ568" s="33"/>
      <c r="CA568" s="33"/>
      <c r="CB568" s="33"/>
      <c r="CC568" s="33"/>
      <c r="CD568" s="33"/>
      <c r="CE568" s="33"/>
      <c r="CF568" s="33"/>
      <c r="CG568" s="33"/>
      <c r="CH568" s="33"/>
      <c r="CI568" s="33"/>
      <c r="CJ568" s="33"/>
      <c r="CK568" s="33"/>
      <c r="CL568" s="33"/>
      <c r="CM568" s="33"/>
      <c r="CN568" s="33"/>
      <c r="CO568" s="33"/>
      <c r="CP568" s="33"/>
      <c r="CQ568" s="33"/>
      <c r="CR568" s="33"/>
      <c r="CS568" s="33"/>
      <c r="CT568" s="33"/>
      <c r="CU568" s="33"/>
      <c r="CV568" s="33"/>
      <c r="CW568" s="33"/>
      <c r="CX568" s="33"/>
      <c r="CY568" s="33"/>
      <c r="CZ568" s="33"/>
      <c r="DA568" s="33"/>
      <c r="DB568" s="33"/>
      <c r="DC568" s="33"/>
      <c r="DD568" s="33"/>
      <c r="DE568" s="33"/>
      <c r="DF568" s="33"/>
      <c r="DG568" s="33"/>
      <c r="DH568" s="33"/>
      <c r="DI568" s="33"/>
      <c r="DJ568" s="33"/>
      <c r="DK568" s="33"/>
      <c r="DL568" s="33"/>
      <c r="DM568" s="33"/>
      <c r="DN568" s="33"/>
      <c r="DO568" s="33"/>
      <c r="DP568" s="33"/>
      <c r="DQ568" s="33"/>
      <c r="DR568" s="33"/>
      <c r="DS568" s="33"/>
      <c r="DT568" s="33"/>
      <c r="DU568" s="33"/>
      <c r="DV568" s="33"/>
      <c r="DW568" s="33"/>
      <c r="DX568" s="33"/>
      <c r="DY568" s="33"/>
      <c r="DZ568" s="33"/>
      <c r="EA568" s="33"/>
      <c r="EB568" s="33"/>
      <c r="EC568" s="33"/>
      <c r="ED568" s="33"/>
      <c r="EE568" s="33"/>
      <c r="EF568" s="33"/>
      <c r="EG568" s="33"/>
      <c r="EH568" s="33"/>
      <c r="EI568" s="33"/>
      <c r="EJ568" s="33"/>
      <c r="EK568" s="33"/>
      <c r="EL568" s="33"/>
      <c r="EM568" s="33"/>
      <c r="EN568" s="33"/>
      <c r="EO568" s="33"/>
      <c r="EP568" s="33"/>
      <c r="EQ568" s="33"/>
      <c r="ER568" s="33"/>
      <c r="ES568" s="33"/>
    </row>
    <row r="569">
      <c r="A569" s="33"/>
      <c r="B569" s="33"/>
      <c r="C569" s="33"/>
      <c r="D569" s="33"/>
      <c r="E569" s="33"/>
      <c r="F569" s="33"/>
      <c r="G569" s="85"/>
      <c r="H569" s="85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3"/>
      <c r="AC569" s="33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3"/>
      <c r="AP569" s="33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3"/>
      <c r="BC569" s="33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3"/>
      <c r="BP569" s="33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3"/>
      <c r="CC569" s="33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3"/>
      <c r="CP569" s="33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3"/>
      <c r="DC569" s="33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3"/>
      <c r="DP569" s="33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3"/>
      <c r="EC569" s="33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3"/>
      <c r="EP569" s="33"/>
      <c r="EQ569" s="33"/>
      <c r="ER569" s="33"/>
      <c r="ES569" s="33"/>
    </row>
    <row r="570">
      <c r="A570" s="33"/>
      <c r="B570" s="33"/>
      <c r="C570" s="33"/>
      <c r="D570" s="33"/>
      <c r="E570" s="33"/>
      <c r="F570" s="33"/>
      <c r="G570" s="85"/>
      <c r="H570" s="85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33"/>
      <c r="Y570" s="33"/>
      <c r="Z570" s="33"/>
      <c r="AA570" s="33"/>
      <c r="AB570" s="33"/>
      <c r="AC570" s="33"/>
      <c r="AD570" s="33"/>
      <c r="AE570" s="33"/>
      <c r="AF570" s="33"/>
      <c r="AG570" s="33"/>
      <c r="AH570" s="33"/>
      <c r="AI570" s="33"/>
      <c r="AJ570" s="33"/>
      <c r="AK570" s="33"/>
      <c r="AL570" s="33"/>
      <c r="AM570" s="33"/>
      <c r="AN570" s="33"/>
      <c r="AO570" s="33"/>
      <c r="AP570" s="33"/>
      <c r="AQ570" s="33"/>
      <c r="AR570" s="33"/>
      <c r="AS570" s="33"/>
      <c r="AT570" s="33"/>
      <c r="AU570" s="33"/>
      <c r="AV570" s="33"/>
      <c r="AW570" s="33"/>
      <c r="AX570" s="33"/>
      <c r="AY570" s="33"/>
      <c r="AZ570" s="33"/>
      <c r="BA570" s="33"/>
      <c r="BB570" s="33"/>
      <c r="BC570" s="33"/>
      <c r="BD570" s="33"/>
      <c r="BE570" s="33"/>
      <c r="BF570" s="33"/>
      <c r="BG570" s="33"/>
      <c r="BH570" s="33"/>
      <c r="BI570" s="33"/>
      <c r="BJ570" s="33"/>
      <c r="BK570" s="33"/>
      <c r="BL570" s="33"/>
      <c r="BM570" s="33"/>
      <c r="BN570" s="33"/>
      <c r="BO570" s="33"/>
      <c r="BP570" s="33"/>
      <c r="BQ570" s="33"/>
      <c r="BR570" s="33"/>
      <c r="BS570" s="33"/>
      <c r="BT570" s="33"/>
      <c r="BU570" s="33"/>
      <c r="BV570" s="33"/>
      <c r="BW570" s="33"/>
      <c r="BX570" s="33"/>
      <c r="BY570" s="33"/>
      <c r="BZ570" s="33"/>
      <c r="CA570" s="33"/>
      <c r="CB570" s="33"/>
      <c r="CC570" s="33"/>
      <c r="CD570" s="33"/>
      <c r="CE570" s="33"/>
      <c r="CF570" s="33"/>
      <c r="CG570" s="33"/>
      <c r="CH570" s="33"/>
      <c r="CI570" s="33"/>
      <c r="CJ570" s="33"/>
      <c r="CK570" s="33"/>
      <c r="CL570" s="33"/>
      <c r="CM570" s="33"/>
      <c r="CN570" s="33"/>
      <c r="CO570" s="33"/>
      <c r="CP570" s="33"/>
      <c r="CQ570" s="33"/>
      <c r="CR570" s="33"/>
      <c r="CS570" s="33"/>
      <c r="CT570" s="33"/>
      <c r="CU570" s="33"/>
      <c r="CV570" s="33"/>
      <c r="CW570" s="33"/>
      <c r="CX570" s="33"/>
      <c r="CY570" s="33"/>
      <c r="CZ570" s="33"/>
      <c r="DA570" s="33"/>
      <c r="DB570" s="33"/>
      <c r="DC570" s="33"/>
      <c r="DD570" s="33"/>
      <c r="DE570" s="33"/>
      <c r="DF570" s="33"/>
      <c r="DG570" s="33"/>
      <c r="DH570" s="33"/>
      <c r="DI570" s="33"/>
      <c r="DJ570" s="33"/>
      <c r="DK570" s="33"/>
      <c r="DL570" s="33"/>
      <c r="DM570" s="33"/>
      <c r="DN570" s="33"/>
      <c r="DO570" s="33"/>
      <c r="DP570" s="33"/>
      <c r="DQ570" s="33"/>
      <c r="DR570" s="33"/>
      <c r="DS570" s="33"/>
      <c r="DT570" s="33"/>
      <c r="DU570" s="33"/>
      <c r="DV570" s="33"/>
      <c r="DW570" s="33"/>
      <c r="DX570" s="33"/>
      <c r="DY570" s="33"/>
      <c r="DZ570" s="33"/>
      <c r="EA570" s="33"/>
      <c r="EB570" s="33"/>
      <c r="EC570" s="33"/>
      <c r="ED570" s="33"/>
      <c r="EE570" s="33"/>
      <c r="EF570" s="33"/>
      <c r="EG570" s="33"/>
      <c r="EH570" s="33"/>
      <c r="EI570" s="33"/>
      <c r="EJ570" s="33"/>
      <c r="EK570" s="33"/>
      <c r="EL570" s="33"/>
      <c r="EM570" s="33"/>
      <c r="EN570" s="33"/>
      <c r="EO570" s="33"/>
      <c r="EP570" s="33"/>
      <c r="EQ570" s="33"/>
      <c r="ER570" s="33"/>
      <c r="ES570" s="33"/>
    </row>
    <row r="571">
      <c r="A571" s="33"/>
      <c r="B571" s="33"/>
      <c r="C571" s="33"/>
      <c r="D571" s="33"/>
      <c r="E571" s="33"/>
      <c r="F571" s="33"/>
      <c r="G571" s="85"/>
      <c r="H571" s="85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3"/>
      <c r="AC571" s="33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3"/>
      <c r="AP571" s="33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3"/>
      <c r="BC571" s="33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3"/>
      <c r="BP571" s="33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3"/>
      <c r="CC571" s="33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3"/>
      <c r="CP571" s="33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3"/>
      <c r="DC571" s="33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3"/>
      <c r="DP571" s="33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3"/>
      <c r="EC571" s="33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3"/>
      <c r="EP571" s="33"/>
      <c r="EQ571" s="33"/>
      <c r="ER571" s="33"/>
      <c r="ES571" s="33"/>
    </row>
    <row r="572">
      <c r="A572" s="33"/>
      <c r="B572" s="33"/>
      <c r="C572" s="33"/>
      <c r="D572" s="33"/>
      <c r="E572" s="33"/>
      <c r="F572" s="33"/>
      <c r="G572" s="85"/>
      <c r="H572" s="85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33"/>
      <c r="Y572" s="33"/>
      <c r="Z572" s="33"/>
      <c r="AA572" s="33"/>
      <c r="AB572" s="33"/>
      <c r="AC572" s="33"/>
      <c r="AD572" s="33"/>
      <c r="AE572" s="33"/>
      <c r="AF572" s="33"/>
      <c r="AG572" s="33"/>
      <c r="AH572" s="33"/>
      <c r="AI572" s="33"/>
      <c r="AJ572" s="33"/>
      <c r="AK572" s="33"/>
      <c r="AL572" s="33"/>
      <c r="AM572" s="33"/>
      <c r="AN572" s="33"/>
      <c r="AO572" s="33"/>
      <c r="AP572" s="33"/>
      <c r="AQ572" s="33"/>
      <c r="AR572" s="33"/>
      <c r="AS572" s="33"/>
      <c r="AT572" s="33"/>
      <c r="AU572" s="33"/>
      <c r="AV572" s="33"/>
      <c r="AW572" s="33"/>
      <c r="AX572" s="33"/>
      <c r="AY572" s="33"/>
      <c r="AZ572" s="33"/>
      <c r="BA572" s="33"/>
      <c r="BB572" s="33"/>
      <c r="BC572" s="33"/>
      <c r="BD572" s="33"/>
      <c r="BE572" s="33"/>
      <c r="BF572" s="33"/>
      <c r="BG572" s="33"/>
      <c r="BH572" s="33"/>
      <c r="BI572" s="33"/>
      <c r="BJ572" s="33"/>
      <c r="BK572" s="33"/>
      <c r="BL572" s="33"/>
      <c r="BM572" s="33"/>
      <c r="BN572" s="33"/>
      <c r="BO572" s="33"/>
      <c r="BP572" s="33"/>
      <c r="BQ572" s="33"/>
      <c r="BR572" s="33"/>
      <c r="BS572" s="33"/>
      <c r="BT572" s="33"/>
      <c r="BU572" s="33"/>
      <c r="BV572" s="33"/>
      <c r="BW572" s="33"/>
      <c r="BX572" s="33"/>
      <c r="BY572" s="33"/>
      <c r="BZ572" s="33"/>
      <c r="CA572" s="33"/>
      <c r="CB572" s="33"/>
      <c r="CC572" s="33"/>
      <c r="CD572" s="33"/>
      <c r="CE572" s="33"/>
      <c r="CF572" s="33"/>
      <c r="CG572" s="33"/>
      <c r="CH572" s="33"/>
      <c r="CI572" s="33"/>
      <c r="CJ572" s="33"/>
      <c r="CK572" s="33"/>
      <c r="CL572" s="33"/>
      <c r="CM572" s="33"/>
      <c r="CN572" s="33"/>
      <c r="CO572" s="33"/>
      <c r="CP572" s="33"/>
      <c r="CQ572" s="33"/>
      <c r="CR572" s="33"/>
      <c r="CS572" s="33"/>
      <c r="CT572" s="33"/>
      <c r="CU572" s="33"/>
      <c r="CV572" s="33"/>
      <c r="CW572" s="33"/>
      <c r="CX572" s="33"/>
      <c r="CY572" s="33"/>
      <c r="CZ572" s="33"/>
      <c r="DA572" s="33"/>
      <c r="DB572" s="33"/>
      <c r="DC572" s="33"/>
      <c r="DD572" s="33"/>
      <c r="DE572" s="33"/>
      <c r="DF572" s="33"/>
      <c r="DG572" s="33"/>
      <c r="DH572" s="33"/>
      <c r="DI572" s="33"/>
      <c r="DJ572" s="33"/>
      <c r="DK572" s="33"/>
      <c r="DL572" s="33"/>
      <c r="DM572" s="33"/>
      <c r="DN572" s="33"/>
      <c r="DO572" s="33"/>
      <c r="DP572" s="33"/>
      <c r="DQ572" s="33"/>
      <c r="DR572" s="33"/>
      <c r="DS572" s="33"/>
      <c r="DT572" s="33"/>
      <c r="DU572" s="33"/>
      <c r="DV572" s="33"/>
      <c r="DW572" s="33"/>
      <c r="DX572" s="33"/>
      <c r="DY572" s="33"/>
      <c r="DZ572" s="33"/>
      <c r="EA572" s="33"/>
      <c r="EB572" s="33"/>
      <c r="EC572" s="33"/>
      <c r="ED572" s="33"/>
      <c r="EE572" s="33"/>
      <c r="EF572" s="33"/>
      <c r="EG572" s="33"/>
      <c r="EH572" s="33"/>
      <c r="EI572" s="33"/>
      <c r="EJ572" s="33"/>
      <c r="EK572" s="33"/>
      <c r="EL572" s="33"/>
      <c r="EM572" s="33"/>
      <c r="EN572" s="33"/>
      <c r="EO572" s="33"/>
      <c r="EP572" s="33"/>
      <c r="EQ572" s="33"/>
      <c r="ER572" s="33"/>
      <c r="ES572" s="33"/>
    </row>
    <row r="573">
      <c r="A573" s="33"/>
      <c r="B573" s="33"/>
      <c r="C573" s="33"/>
      <c r="D573" s="33"/>
      <c r="E573" s="33"/>
      <c r="F573" s="33"/>
      <c r="G573" s="85"/>
      <c r="H573" s="85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3"/>
      <c r="AC573" s="33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3"/>
      <c r="AP573" s="33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3"/>
      <c r="BC573" s="33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3"/>
      <c r="BP573" s="33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3"/>
      <c r="CC573" s="33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3"/>
      <c r="CP573" s="33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3"/>
      <c r="DC573" s="33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3"/>
      <c r="DP573" s="33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3"/>
      <c r="EC573" s="33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3"/>
      <c r="EP573" s="33"/>
      <c r="EQ573" s="33"/>
      <c r="ER573" s="33"/>
      <c r="ES573" s="33"/>
    </row>
    <row r="574">
      <c r="A574" s="33"/>
      <c r="B574" s="33"/>
      <c r="C574" s="33"/>
      <c r="D574" s="33"/>
      <c r="E574" s="33"/>
      <c r="F574" s="33"/>
      <c r="G574" s="85"/>
      <c r="H574" s="85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33"/>
      <c r="Y574" s="33"/>
      <c r="Z574" s="33"/>
      <c r="AA574" s="33"/>
      <c r="AB574" s="33"/>
      <c r="AC574" s="33"/>
      <c r="AD574" s="33"/>
      <c r="AE574" s="33"/>
      <c r="AF574" s="33"/>
      <c r="AG574" s="33"/>
      <c r="AH574" s="33"/>
      <c r="AI574" s="33"/>
      <c r="AJ574" s="33"/>
      <c r="AK574" s="33"/>
      <c r="AL574" s="33"/>
      <c r="AM574" s="33"/>
      <c r="AN574" s="33"/>
      <c r="AO574" s="33"/>
      <c r="AP574" s="33"/>
      <c r="AQ574" s="33"/>
      <c r="AR574" s="33"/>
      <c r="AS574" s="33"/>
      <c r="AT574" s="33"/>
      <c r="AU574" s="33"/>
      <c r="AV574" s="33"/>
      <c r="AW574" s="33"/>
      <c r="AX574" s="33"/>
      <c r="AY574" s="33"/>
      <c r="AZ574" s="33"/>
      <c r="BA574" s="33"/>
      <c r="BB574" s="33"/>
      <c r="BC574" s="33"/>
      <c r="BD574" s="33"/>
      <c r="BE574" s="33"/>
      <c r="BF574" s="33"/>
      <c r="BG574" s="33"/>
      <c r="BH574" s="33"/>
      <c r="BI574" s="33"/>
      <c r="BJ574" s="33"/>
      <c r="BK574" s="33"/>
      <c r="BL574" s="33"/>
      <c r="BM574" s="33"/>
      <c r="BN574" s="33"/>
      <c r="BO574" s="33"/>
      <c r="BP574" s="33"/>
      <c r="BQ574" s="33"/>
      <c r="BR574" s="33"/>
      <c r="BS574" s="33"/>
      <c r="BT574" s="33"/>
      <c r="BU574" s="33"/>
      <c r="BV574" s="33"/>
      <c r="BW574" s="33"/>
      <c r="BX574" s="33"/>
      <c r="BY574" s="33"/>
      <c r="BZ574" s="33"/>
      <c r="CA574" s="33"/>
      <c r="CB574" s="33"/>
      <c r="CC574" s="33"/>
      <c r="CD574" s="33"/>
      <c r="CE574" s="33"/>
      <c r="CF574" s="33"/>
      <c r="CG574" s="33"/>
      <c r="CH574" s="33"/>
      <c r="CI574" s="33"/>
      <c r="CJ574" s="33"/>
      <c r="CK574" s="33"/>
      <c r="CL574" s="33"/>
      <c r="CM574" s="33"/>
      <c r="CN574" s="33"/>
      <c r="CO574" s="33"/>
      <c r="CP574" s="33"/>
      <c r="CQ574" s="33"/>
      <c r="CR574" s="33"/>
      <c r="CS574" s="33"/>
      <c r="CT574" s="33"/>
      <c r="CU574" s="33"/>
      <c r="CV574" s="33"/>
      <c r="CW574" s="33"/>
      <c r="CX574" s="33"/>
      <c r="CY574" s="33"/>
      <c r="CZ574" s="33"/>
      <c r="DA574" s="33"/>
      <c r="DB574" s="33"/>
      <c r="DC574" s="33"/>
      <c r="DD574" s="33"/>
      <c r="DE574" s="33"/>
      <c r="DF574" s="33"/>
      <c r="DG574" s="33"/>
      <c r="DH574" s="33"/>
      <c r="DI574" s="33"/>
      <c r="DJ574" s="33"/>
      <c r="DK574" s="33"/>
      <c r="DL574" s="33"/>
      <c r="DM574" s="33"/>
      <c r="DN574" s="33"/>
      <c r="DO574" s="33"/>
      <c r="DP574" s="33"/>
      <c r="DQ574" s="33"/>
      <c r="DR574" s="33"/>
      <c r="DS574" s="33"/>
      <c r="DT574" s="33"/>
      <c r="DU574" s="33"/>
      <c r="DV574" s="33"/>
      <c r="DW574" s="33"/>
      <c r="DX574" s="33"/>
      <c r="DY574" s="33"/>
      <c r="DZ574" s="33"/>
      <c r="EA574" s="33"/>
      <c r="EB574" s="33"/>
      <c r="EC574" s="33"/>
      <c r="ED574" s="33"/>
      <c r="EE574" s="33"/>
      <c r="EF574" s="33"/>
      <c r="EG574" s="33"/>
      <c r="EH574" s="33"/>
      <c r="EI574" s="33"/>
      <c r="EJ574" s="33"/>
      <c r="EK574" s="33"/>
      <c r="EL574" s="33"/>
      <c r="EM574" s="33"/>
      <c r="EN574" s="33"/>
      <c r="EO574" s="33"/>
      <c r="EP574" s="33"/>
      <c r="EQ574" s="33"/>
      <c r="ER574" s="33"/>
      <c r="ES574" s="33"/>
    </row>
    <row r="575">
      <c r="A575" s="33"/>
      <c r="B575" s="33"/>
      <c r="C575" s="33"/>
      <c r="D575" s="33"/>
      <c r="E575" s="33"/>
      <c r="F575" s="33"/>
      <c r="G575" s="85"/>
      <c r="H575" s="85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3"/>
      <c r="AC575" s="33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3"/>
      <c r="AP575" s="33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3"/>
      <c r="BC575" s="33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3"/>
      <c r="BP575" s="33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3"/>
      <c r="CC575" s="33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3"/>
      <c r="CP575" s="33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3"/>
      <c r="DC575" s="33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3"/>
      <c r="DP575" s="33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3"/>
      <c r="EC575" s="33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3"/>
      <c r="EP575" s="33"/>
      <c r="EQ575" s="33"/>
      <c r="ER575" s="33"/>
      <c r="ES575" s="33"/>
    </row>
    <row r="576">
      <c r="A576" s="33"/>
      <c r="B576" s="33"/>
      <c r="C576" s="33"/>
      <c r="D576" s="33"/>
      <c r="E576" s="33"/>
      <c r="F576" s="33"/>
      <c r="G576" s="85"/>
      <c r="H576" s="85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33"/>
      <c r="Y576" s="33"/>
      <c r="Z576" s="33"/>
      <c r="AA576" s="33"/>
      <c r="AB576" s="33"/>
      <c r="AC576" s="33"/>
      <c r="AD576" s="33"/>
      <c r="AE576" s="33"/>
      <c r="AF576" s="33"/>
      <c r="AG576" s="33"/>
      <c r="AH576" s="33"/>
      <c r="AI576" s="33"/>
      <c r="AJ576" s="33"/>
      <c r="AK576" s="33"/>
      <c r="AL576" s="33"/>
      <c r="AM576" s="33"/>
      <c r="AN576" s="33"/>
      <c r="AO576" s="33"/>
      <c r="AP576" s="33"/>
      <c r="AQ576" s="33"/>
      <c r="AR576" s="33"/>
      <c r="AS576" s="33"/>
      <c r="AT576" s="33"/>
      <c r="AU576" s="33"/>
      <c r="AV576" s="33"/>
      <c r="AW576" s="33"/>
      <c r="AX576" s="33"/>
      <c r="AY576" s="33"/>
      <c r="AZ576" s="33"/>
      <c r="BA576" s="33"/>
      <c r="BB576" s="33"/>
      <c r="BC576" s="33"/>
      <c r="BD576" s="33"/>
      <c r="BE576" s="33"/>
      <c r="BF576" s="33"/>
      <c r="BG576" s="33"/>
      <c r="BH576" s="33"/>
      <c r="BI576" s="33"/>
      <c r="BJ576" s="33"/>
      <c r="BK576" s="33"/>
      <c r="BL576" s="33"/>
      <c r="BM576" s="33"/>
      <c r="BN576" s="33"/>
      <c r="BO576" s="33"/>
      <c r="BP576" s="33"/>
      <c r="BQ576" s="33"/>
      <c r="BR576" s="33"/>
      <c r="BS576" s="33"/>
      <c r="BT576" s="33"/>
      <c r="BU576" s="33"/>
      <c r="BV576" s="33"/>
      <c r="BW576" s="33"/>
      <c r="BX576" s="33"/>
      <c r="BY576" s="33"/>
      <c r="BZ576" s="33"/>
      <c r="CA576" s="33"/>
      <c r="CB576" s="33"/>
      <c r="CC576" s="33"/>
      <c r="CD576" s="33"/>
      <c r="CE576" s="33"/>
      <c r="CF576" s="33"/>
      <c r="CG576" s="33"/>
      <c r="CH576" s="33"/>
      <c r="CI576" s="33"/>
      <c r="CJ576" s="33"/>
      <c r="CK576" s="33"/>
      <c r="CL576" s="33"/>
      <c r="CM576" s="33"/>
      <c r="CN576" s="33"/>
      <c r="CO576" s="33"/>
      <c r="CP576" s="33"/>
      <c r="CQ576" s="33"/>
      <c r="CR576" s="33"/>
      <c r="CS576" s="33"/>
      <c r="CT576" s="33"/>
      <c r="CU576" s="33"/>
      <c r="CV576" s="33"/>
      <c r="CW576" s="33"/>
      <c r="CX576" s="33"/>
      <c r="CY576" s="33"/>
      <c r="CZ576" s="33"/>
      <c r="DA576" s="33"/>
      <c r="DB576" s="33"/>
      <c r="DC576" s="33"/>
      <c r="DD576" s="33"/>
      <c r="DE576" s="33"/>
      <c r="DF576" s="33"/>
      <c r="DG576" s="33"/>
      <c r="DH576" s="33"/>
      <c r="DI576" s="33"/>
      <c r="DJ576" s="33"/>
      <c r="DK576" s="33"/>
      <c r="DL576" s="33"/>
      <c r="DM576" s="33"/>
      <c r="DN576" s="33"/>
      <c r="DO576" s="33"/>
      <c r="DP576" s="33"/>
      <c r="DQ576" s="33"/>
      <c r="DR576" s="33"/>
      <c r="DS576" s="33"/>
      <c r="DT576" s="33"/>
      <c r="DU576" s="33"/>
      <c r="DV576" s="33"/>
      <c r="DW576" s="33"/>
      <c r="DX576" s="33"/>
      <c r="DY576" s="33"/>
      <c r="DZ576" s="33"/>
      <c r="EA576" s="33"/>
      <c r="EB576" s="33"/>
      <c r="EC576" s="33"/>
      <c r="ED576" s="33"/>
      <c r="EE576" s="33"/>
      <c r="EF576" s="33"/>
      <c r="EG576" s="33"/>
      <c r="EH576" s="33"/>
      <c r="EI576" s="33"/>
      <c r="EJ576" s="33"/>
      <c r="EK576" s="33"/>
      <c r="EL576" s="33"/>
      <c r="EM576" s="33"/>
      <c r="EN576" s="33"/>
      <c r="EO576" s="33"/>
      <c r="EP576" s="33"/>
      <c r="EQ576" s="33"/>
      <c r="ER576" s="33"/>
      <c r="ES576" s="33"/>
    </row>
    <row r="577">
      <c r="A577" s="33"/>
      <c r="B577" s="33"/>
      <c r="C577" s="33"/>
      <c r="D577" s="33"/>
      <c r="E577" s="33"/>
      <c r="F577" s="33"/>
      <c r="G577" s="85"/>
      <c r="H577" s="85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3"/>
      <c r="AC577" s="33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3"/>
      <c r="AP577" s="33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3"/>
      <c r="BC577" s="33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3"/>
      <c r="BP577" s="33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3"/>
      <c r="CC577" s="33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3"/>
      <c r="CP577" s="33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3"/>
      <c r="DC577" s="33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3"/>
      <c r="DP577" s="33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3"/>
      <c r="EC577" s="33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3"/>
      <c r="EP577" s="33"/>
      <c r="EQ577" s="33"/>
      <c r="ER577" s="33"/>
      <c r="ES577" s="33"/>
    </row>
    <row r="578">
      <c r="A578" s="33"/>
      <c r="B578" s="33"/>
      <c r="C578" s="33"/>
      <c r="D578" s="33"/>
      <c r="E578" s="33"/>
      <c r="F578" s="33"/>
      <c r="G578" s="85"/>
      <c r="H578" s="85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33"/>
      <c r="Y578" s="33"/>
      <c r="Z578" s="33"/>
      <c r="AA578" s="33"/>
      <c r="AB578" s="33"/>
      <c r="AC578" s="33"/>
      <c r="AD578" s="33"/>
      <c r="AE578" s="33"/>
      <c r="AF578" s="33"/>
      <c r="AG578" s="33"/>
      <c r="AH578" s="33"/>
      <c r="AI578" s="33"/>
      <c r="AJ578" s="33"/>
      <c r="AK578" s="33"/>
      <c r="AL578" s="33"/>
      <c r="AM578" s="33"/>
      <c r="AN578" s="33"/>
      <c r="AO578" s="33"/>
      <c r="AP578" s="33"/>
      <c r="AQ578" s="33"/>
      <c r="AR578" s="33"/>
      <c r="AS578" s="33"/>
      <c r="AT578" s="33"/>
      <c r="AU578" s="33"/>
      <c r="AV578" s="33"/>
      <c r="AW578" s="33"/>
      <c r="AX578" s="33"/>
      <c r="AY578" s="33"/>
      <c r="AZ578" s="33"/>
      <c r="BA578" s="33"/>
      <c r="BB578" s="33"/>
      <c r="BC578" s="33"/>
      <c r="BD578" s="33"/>
      <c r="BE578" s="33"/>
      <c r="BF578" s="33"/>
      <c r="BG578" s="33"/>
      <c r="BH578" s="33"/>
      <c r="BI578" s="33"/>
      <c r="BJ578" s="33"/>
      <c r="BK578" s="33"/>
      <c r="BL578" s="33"/>
      <c r="BM578" s="33"/>
      <c r="BN578" s="33"/>
      <c r="BO578" s="33"/>
      <c r="BP578" s="33"/>
      <c r="BQ578" s="33"/>
      <c r="BR578" s="33"/>
      <c r="BS578" s="33"/>
      <c r="BT578" s="33"/>
      <c r="BU578" s="33"/>
      <c r="BV578" s="33"/>
      <c r="BW578" s="33"/>
      <c r="BX578" s="33"/>
      <c r="BY578" s="33"/>
      <c r="BZ578" s="33"/>
      <c r="CA578" s="33"/>
      <c r="CB578" s="33"/>
      <c r="CC578" s="33"/>
      <c r="CD578" s="33"/>
      <c r="CE578" s="33"/>
      <c r="CF578" s="33"/>
      <c r="CG578" s="33"/>
      <c r="CH578" s="33"/>
      <c r="CI578" s="33"/>
      <c r="CJ578" s="33"/>
      <c r="CK578" s="33"/>
      <c r="CL578" s="33"/>
      <c r="CM578" s="33"/>
      <c r="CN578" s="33"/>
      <c r="CO578" s="33"/>
      <c r="CP578" s="33"/>
      <c r="CQ578" s="33"/>
      <c r="CR578" s="33"/>
      <c r="CS578" s="33"/>
      <c r="CT578" s="33"/>
      <c r="CU578" s="33"/>
      <c r="CV578" s="33"/>
      <c r="CW578" s="33"/>
      <c r="CX578" s="33"/>
      <c r="CY578" s="33"/>
      <c r="CZ578" s="33"/>
      <c r="DA578" s="33"/>
      <c r="DB578" s="33"/>
      <c r="DC578" s="33"/>
      <c r="DD578" s="33"/>
      <c r="DE578" s="33"/>
      <c r="DF578" s="33"/>
      <c r="DG578" s="33"/>
      <c r="DH578" s="33"/>
      <c r="DI578" s="33"/>
      <c r="DJ578" s="33"/>
      <c r="DK578" s="33"/>
      <c r="DL578" s="33"/>
      <c r="DM578" s="33"/>
      <c r="DN578" s="33"/>
      <c r="DO578" s="33"/>
      <c r="DP578" s="33"/>
      <c r="DQ578" s="33"/>
      <c r="DR578" s="33"/>
      <c r="DS578" s="33"/>
      <c r="DT578" s="33"/>
      <c r="DU578" s="33"/>
      <c r="DV578" s="33"/>
      <c r="DW578" s="33"/>
      <c r="DX578" s="33"/>
      <c r="DY578" s="33"/>
      <c r="DZ578" s="33"/>
      <c r="EA578" s="33"/>
      <c r="EB578" s="33"/>
      <c r="EC578" s="33"/>
      <c r="ED578" s="33"/>
      <c r="EE578" s="33"/>
      <c r="EF578" s="33"/>
      <c r="EG578" s="33"/>
      <c r="EH578" s="33"/>
      <c r="EI578" s="33"/>
      <c r="EJ578" s="33"/>
      <c r="EK578" s="33"/>
      <c r="EL578" s="33"/>
      <c r="EM578" s="33"/>
      <c r="EN578" s="33"/>
      <c r="EO578" s="33"/>
      <c r="EP578" s="33"/>
      <c r="EQ578" s="33"/>
      <c r="ER578" s="33"/>
      <c r="ES578" s="33"/>
    </row>
    <row r="579">
      <c r="A579" s="33"/>
      <c r="B579" s="33"/>
      <c r="C579" s="33"/>
      <c r="D579" s="33"/>
      <c r="E579" s="33"/>
      <c r="F579" s="33"/>
      <c r="G579" s="85"/>
      <c r="H579" s="85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3"/>
      <c r="AC579" s="33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3"/>
      <c r="AP579" s="33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3"/>
      <c r="BP579" s="33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3"/>
      <c r="CC579" s="33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3"/>
      <c r="CP579" s="33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3"/>
      <c r="DC579" s="33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3"/>
      <c r="DP579" s="33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3"/>
      <c r="EC579" s="33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3"/>
      <c r="EP579" s="33"/>
      <c r="EQ579" s="33"/>
      <c r="ER579" s="33"/>
      <c r="ES579" s="33"/>
    </row>
    <row r="580">
      <c r="A580" s="33"/>
      <c r="B580" s="33"/>
      <c r="C580" s="33"/>
      <c r="D580" s="33"/>
      <c r="E580" s="33"/>
      <c r="F580" s="33"/>
      <c r="G580" s="85"/>
      <c r="H580" s="85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33"/>
      <c r="Y580" s="33"/>
      <c r="Z580" s="33"/>
      <c r="AA580" s="33"/>
      <c r="AB580" s="33"/>
      <c r="AC580" s="33"/>
      <c r="AD580" s="33"/>
      <c r="AE580" s="33"/>
      <c r="AF580" s="33"/>
      <c r="AG580" s="33"/>
      <c r="AH580" s="33"/>
      <c r="AI580" s="33"/>
      <c r="AJ580" s="33"/>
      <c r="AK580" s="33"/>
      <c r="AL580" s="33"/>
      <c r="AM580" s="33"/>
      <c r="AN580" s="33"/>
      <c r="AO580" s="33"/>
      <c r="AP580" s="33"/>
      <c r="AQ580" s="33"/>
      <c r="AR580" s="33"/>
      <c r="AS580" s="33"/>
      <c r="AT580" s="33"/>
      <c r="AU580" s="33"/>
      <c r="AV580" s="33"/>
      <c r="AW580" s="33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  <c r="BI580" s="33"/>
      <c r="BJ580" s="33"/>
      <c r="BK580" s="33"/>
      <c r="BL580" s="33"/>
      <c r="BM580" s="33"/>
      <c r="BN580" s="33"/>
      <c r="BO580" s="33"/>
      <c r="BP580" s="33"/>
      <c r="BQ580" s="33"/>
      <c r="BR580" s="33"/>
      <c r="BS580" s="33"/>
      <c r="BT580" s="33"/>
      <c r="BU580" s="33"/>
      <c r="BV580" s="33"/>
      <c r="BW580" s="33"/>
      <c r="BX580" s="33"/>
      <c r="BY580" s="33"/>
      <c r="BZ580" s="33"/>
      <c r="CA580" s="33"/>
      <c r="CB580" s="33"/>
      <c r="CC580" s="33"/>
      <c r="CD580" s="33"/>
      <c r="CE580" s="33"/>
      <c r="CF580" s="33"/>
      <c r="CG580" s="33"/>
      <c r="CH580" s="33"/>
      <c r="CI580" s="33"/>
      <c r="CJ580" s="33"/>
      <c r="CK580" s="33"/>
      <c r="CL580" s="33"/>
      <c r="CM580" s="33"/>
      <c r="CN580" s="33"/>
      <c r="CO580" s="33"/>
      <c r="CP580" s="33"/>
      <c r="CQ580" s="33"/>
      <c r="CR580" s="33"/>
      <c r="CS580" s="33"/>
      <c r="CT580" s="33"/>
      <c r="CU580" s="33"/>
      <c r="CV580" s="33"/>
      <c r="CW580" s="33"/>
      <c r="CX580" s="33"/>
      <c r="CY580" s="33"/>
      <c r="CZ580" s="33"/>
      <c r="DA580" s="33"/>
      <c r="DB580" s="33"/>
      <c r="DC580" s="33"/>
      <c r="DD580" s="33"/>
      <c r="DE580" s="33"/>
      <c r="DF580" s="33"/>
      <c r="DG580" s="33"/>
      <c r="DH580" s="33"/>
      <c r="DI580" s="33"/>
      <c r="DJ580" s="33"/>
      <c r="DK580" s="33"/>
      <c r="DL580" s="33"/>
      <c r="DM580" s="33"/>
      <c r="DN580" s="33"/>
      <c r="DO580" s="33"/>
      <c r="DP580" s="33"/>
      <c r="DQ580" s="33"/>
      <c r="DR580" s="33"/>
      <c r="DS580" s="33"/>
      <c r="DT580" s="33"/>
      <c r="DU580" s="33"/>
      <c r="DV580" s="33"/>
      <c r="DW580" s="33"/>
      <c r="DX580" s="33"/>
      <c r="DY580" s="33"/>
      <c r="DZ580" s="33"/>
      <c r="EA580" s="33"/>
      <c r="EB580" s="33"/>
      <c r="EC580" s="33"/>
      <c r="ED580" s="33"/>
      <c r="EE580" s="33"/>
      <c r="EF580" s="33"/>
      <c r="EG580" s="33"/>
      <c r="EH580" s="33"/>
      <c r="EI580" s="33"/>
      <c r="EJ580" s="33"/>
      <c r="EK580" s="33"/>
      <c r="EL580" s="33"/>
      <c r="EM580" s="33"/>
      <c r="EN580" s="33"/>
      <c r="EO580" s="33"/>
      <c r="EP580" s="33"/>
      <c r="EQ580" s="33"/>
      <c r="ER580" s="33"/>
      <c r="ES580" s="33"/>
    </row>
    <row r="581">
      <c r="A581" s="33"/>
      <c r="B581" s="33"/>
      <c r="C581" s="33"/>
      <c r="D581" s="33"/>
      <c r="E581" s="33"/>
      <c r="F581" s="33"/>
      <c r="G581" s="85"/>
      <c r="H581" s="85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3"/>
      <c r="AC581" s="33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3"/>
      <c r="AP581" s="33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3"/>
      <c r="BP581" s="33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3"/>
      <c r="CC581" s="33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3"/>
      <c r="CP581" s="33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3"/>
      <c r="DC581" s="33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3"/>
      <c r="DP581" s="33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3"/>
      <c r="EC581" s="33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3"/>
      <c r="EP581" s="33"/>
      <c r="EQ581" s="33"/>
      <c r="ER581" s="33"/>
      <c r="ES581" s="33"/>
    </row>
    <row r="582">
      <c r="A582" s="33"/>
      <c r="B582" s="33"/>
      <c r="C582" s="33"/>
      <c r="D582" s="33"/>
      <c r="E582" s="33"/>
      <c r="F582" s="33"/>
      <c r="G582" s="85"/>
      <c r="H582" s="85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33"/>
      <c r="Y582" s="33"/>
      <c r="Z582" s="33"/>
      <c r="AA582" s="33"/>
      <c r="AB582" s="33"/>
      <c r="AC582" s="33"/>
      <c r="AD582" s="33"/>
      <c r="AE582" s="33"/>
      <c r="AF582" s="33"/>
      <c r="AG582" s="33"/>
      <c r="AH582" s="33"/>
      <c r="AI582" s="33"/>
      <c r="AJ582" s="33"/>
      <c r="AK582" s="33"/>
      <c r="AL582" s="33"/>
      <c r="AM582" s="33"/>
      <c r="AN582" s="33"/>
      <c r="AO582" s="33"/>
      <c r="AP582" s="33"/>
      <c r="AQ582" s="33"/>
      <c r="AR582" s="33"/>
      <c r="AS582" s="33"/>
      <c r="AT582" s="33"/>
      <c r="AU582" s="33"/>
      <c r="AV582" s="33"/>
      <c r="AW582" s="33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  <c r="BI582" s="33"/>
      <c r="BJ582" s="33"/>
      <c r="BK582" s="33"/>
      <c r="BL582" s="33"/>
      <c r="BM582" s="33"/>
      <c r="BN582" s="33"/>
      <c r="BO582" s="33"/>
      <c r="BP582" s="33"/>
      <c r="BQ582" s="33"/>
      <c r="BR582" s="33"/>
      <c r="BS582" s="33"/>
      <c r="BT582" s="33"/>
      <c r="BU582" s="33"/>
      <c r="BV582" s="33"/>
      <c r="BW582" s="33"/>
      <c r="BX582" s="33"/>
      <c r="BY582" s="33"/>
      <c r="BZ582" s="33"/>
      <c r="CA582" s="33"/>
      <c r="CB582" s="33"/>
      <c r="CC582" s="33"/>
      <c r="CD582" s="33"/>
      <c r="CE582" s="33"/>
      <c r="CF582" s="33"/>
      <c r="CG582" s="33"/>
      <c r="CH582" s="33"/>
      <c r="CI582" s="33"/>
      <c r="CJ582" s="33"/>
      <c r="CK582" s="33"/>
      <c r="CL582" s="33"/>
      <c r="CM582" s="33"/>
      <c r="CN582" s="33"/>
      <c r="CO582" s="33"/>
      <c r="CP582" s="33"/>
      <c r="CQ582" s="33"/>
      <c r="CR582" s="33"/>
      <c r="CS582" s="33"/>
      <c r="CT582" s="33"/>
      <c r="CU582" s="33"/>
      <c r="CV582" s="33"/>
      <c r="CW582" s="33"/>
      <c r="CX582" s="33"/>
      <c r="CY582" s="33"/>
      <c r="CZ582" s="33"/>
      <c r="DA582" s="33"/>
      <c r="DB582" s="33"/>
      <c r="DC582" s="33"/>
      <c r="DD582" s="33"/>
      <c r="DE582" s="33"/>
      <c r="DF582" s="33"/>
      <c r="DG582" s="33"/>
      <c r="DH582" s="33"/>
      <c r="DI582" s="33"/>
      <c r="DJ582" s="33"/>
      <c r="DK582" s="33"/>
      <c r="DL582" s="33"/>
      <c r="DM582" s="33"/>
      <c r="DN582" s="33"/>
      <c r="DO582" s="33"/>
      <c r="DP582" s="33"/>
      <c r="DQ582" s="33"/>
      <c r="DR582" s="33"/>
      <c r="DS582" s="33"/>
      <c r="DT582" s="33"/>
      <c r="DU582" s="33"/>
      <c r="DV582" s="33"/>
      <c r="DW582" s="33"/>
      <c r="DX582" s="33"/>
      <c r="DY582" s="33"/>
      <c r="DZ582" s="33"/>
      <c r="EA582" s="33"/>
      <c r="EB582" s="33"/>
      <c r="EC582" s="33"/>
      <c r="ED582" s="33"/>
      <c r="EE582" s="33"/>
      <c r="EF582" s="33"/>
      <c r="EG582" s="33"/>
      <c r="EH582" s="33"/>
      <c r="EI582" s="33"/>
      <c r="EJ582" s="33"/>
      <c r="EK582" s="33"/>
      <c r="EL582" s="33"/>
      <c r="EM582" s="33"/>
      <c r="EN582" s="33"/>
      <c r="EO582" s="33"/>
      <c r="EP582" s="33"/>
      <c r="EQ582" s="33"/>
      <c r="ER582" s="33"/>
      <c r="ES582" s="33"/>
    </row>
    <row r="583">
      <c r="A583" s="33"/>
      <c r="B583" s="33"/>
      <c r="C583" s="33"/>
      <c r="D583" s="33"/>
      <c r="E583" s="33"/>
      <c r="F583" s="33"/>
      <c r="G583" s="85"/>
      <c r="H583" s="85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3"/>
      <c r="AC583" s="33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3"/>
      <c r="AP583" s="33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3"/>
      <c r="BP583" s="33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3"/>
      <c r="CC583" s="33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3"/>
      <c r="CP583" s="33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3"/>
      <c r="DC583" s="33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3"/>
      <c r="DP583" s="33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3"/>
      <c r="EC583" s="33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3"/>
      <c r="EP583" s="33"/>
      <c r="EQ583" s="33"/>
      <c r="ER583" s="33"/>
      <c r="ES583" s="33"/>
    </row>
    <row r="584">
      <c r="A584" s="33"/>
      <c r="B584" s="33"/>
      <c r="C584" s="33"/>
      <c r="D584" s="33"/>
      <c r="E584" s="33"/>
      <c r="F584" s="33"/>
      <c r="G584" s="85"/>
      <c r="H584" s="85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33"/>
      <c r="Y584" s="33"/>
      <c r="Z584" s="33"/>
      <c r="AA584" s="33"/>
      <c r="AB584" s="33"/>
      <c r="AC584" s="33"/>
      <c r="AD584" s="33"/>
      <c r="AE584" s="33"/>
      <c r="AF584" s="33"/>
      <c r="AG584" s="33"/>
      <c r="AH584" s="33"/>
      <c r="AI584" s="33"/>
      <c r="AJ584" s="33"/>
      <c r="AK584" s="33"/>
      <c r="AL584" s="33"/>
      <c r="AM584" s="33"/>
      <c r="AN584" s="33"/>
      <c r="AO584" s="33"/>
      <c r="AP584" s="33"/>
      <c r="AQ584" s="33"/>
      <c r="AR584" s="33"/>
      <c r="AS584" s="33"/>
      <c r="AT584" s="33"/>
      <c r="AU584" s="33"/>
      <c r="AV584" s="33"/>
      <c r="AW584" s="33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  <c r="BI584" s="33"/>
      <c r="BJ584" s="33"/>
      <c r="BK584" s="33"/>
      <c r="BL584" s="33"/>
      <c r="BM584" s="33"/>
      <c r="BN584" s="33"/>
      <c r="BO584" s="33"/>
      <c r="BP584" s="33"/>
      <c r="BQ584" s="33"/>
      <c r="BR584" s="33"/>
      <c r="BS584" s="33"/>
      <c r="BT584" s="33"/>
      <c r="BU584" s="33"/>
      <c r="BV584" s="33"/>
      <c r="BW584" s="33"/>
      <c r="BX584" s="33"/>
      <c r="BY584" s="33"/>
      <c r="BZ584" s="33"/>
      <c r="CA584" s="33"/>
      <c r="CB584" s="33"/>
      <c r="CC584" s="33"/>
      <c r="CD584" s="33"/>
      <c r="CE584" s="33"/>
      <c r="CF584" s="33"/>
      <c r="CG584" s="33"/>
      <c r="CH584" s="33"/>
      <c r="CI584" s="33"/>
      <c r="CJ584" s="33"/>
      <c r="CK584" s="33"/>
      <c r="CL584" s="33"/>
      <c r="CM584" s="33"/>
      <c r="CN584" s="33"/>
      <c r="CO584" s="33"/>
      <c r="CP584" s="33"/>
      <c r="CQ584" s="33"/>
      <c r="CR584" s="33"/>
      <c r="CS584" s="33"/>
      <c r="CT584" s="33"/>
      <c r="CU584" s="33"/>
      <c r="CV584" s="33"/>
      <c r="CW584" s="33"/>
      <c r="CX584" s="33"/>
      <c r="CY584" s="33"/>
      <c r="CZ584" s="33"/>
      <c r="DA584" s="33"/>
      <c r="DB584" s="33"/>
      <c r="DC584" s="33"/>
      <c r="DD584" s="33"/>
      <c r="DE584" s="33"/>
      <c r="DF584" s="33"/>
      <c r="DG584" s="33"/>
      <c r="DH584" s="33"/>
      <c r="DI584" s="33"/>
      <c r="DJ584" s="33"/>
      <c r="DK584" s="33"/>
      <c r="DL584" s="33"/>
      <c r="DM584" s="33"/>
      <c r="DN584" s="33"/>
      <c r="DO584" s="33"/>
      <c r="DP584" s="33"/>
      <c r="DQ584" s="33"/>
      <c r="DR584" s="33"/>
      <c r="DS584" s="33"/>
      <c r="DT584" s="33"/>
      <c r="DU584" s="33"/>
      <c r="DV584" s="33"/>
      <c r="DW584" s="33"/>
      <c r="DX584" s="33"/>
      <c r="DY584" s="33"/>
      <c r="DZ584" s="33"/>
      <c r="EA584" s="33"/>
      <c r="EB584" s="33"/>
      <c r="EC584" s="33"/>
      <c r="ED584" s="33"/>
      <c r="EE584" s="33"/>
      <c r="EF584" s="33"/>
      <c r="EG584" s="33"/>
      <c r="EH584" s="33"/>
      <c r="EI584" s="33"/>
      <c r="EJ584" s="33"/>
      <c r="EK584" s="33"/>
      <c r="EL584" s="33"/>
      <c r="EM584" s="33"/>
      <c r="EN584" s="33"/>
      <c r="EO584" s="33"/>
      <c r="EP584" s="33"/>
      <c r="EQ584" s="33"/>
      <c r="ER584" s="33"/>
      <c r="ES584" s="33"/>
    </row>
    <row r="585">
      <c r="A585" s="33"/>
      <c r="B585" s="33"/>
      <c r="C585" s="33"/>
      <c r="D585" s="33"/>
      <c r="E585" s="33"/>
      <c r="F585" s="33"/>
      <c r="G585" s="85"/>
      <c r="H585" s="85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3"/>
      <c r="AC585" s="33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3"/>
      <c r="AP585" s="33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3"/>
      <c r="BP585" s="33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3"/>
      <c r="CC585" s="33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3"/>
      <c r="CP585" s="33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3"/>
      <c r="DC585" s="33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3"/>
      <c r="DP585" s="33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3"/>
      <c r="EC585" s="33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3"/>
      <c r="EP585" s="33"/>
      <c r="EQ585" s="33"/>
      <c r="ER585" s="33"/>
      <c r="ES585" s="33"/>
    </row>
    <row r="586">
      <c r="A586" s="33"/>
      <c r="B586" s="33"/>
      <c r="C586" s="33"/>
      <c r="D586" s="33"/>
      <c r="E586" s="33"/>
      <c r="F586" s="33"/>
      <c r="G586" s="85"/>
      <c r="H586" s="85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33"/>
      <c r="Y586" s="33"/>
      <c r="Z586" s="33"/>
      <c r="AA586" s="33"/>
      <c r="AB586" s="33"/>
      <c r="AC586" s="33"/>
      <c r="AD586" s="33"/>
      <c r="AE586" s="33"/>
      <c r="AF586" s="33"/>
      <c r="AG586" s="33"/>
      <c r="AH586" s="33"/>
      <c r="AI586" s="33"/>
      <c r="AJ586" s="33"/>
      <c r="AK586" s="33"/>
      <c r="AL586" s="33"/>
      <c r="AM586" s="33"/>
      <c r="AN586" s="33"/>
      <c r="AO586" s="33"/>
      <c r="AP586" s="33"/>
      <c r="AQ586" s="33"/>
      <c r="AR586" s="33"/>
      <c r="AS586" s="33"/>
      <c r="AT586" s="33"/>
      <c r="AU586" s="33"/>
      <c r="AV586" s="33"/>
      <c r="AW586" s="33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  <c r="BI586" s="33"/>
      <c r="BJ586" s="33"/>
      <c r="BK586" s="33"/>
      <c r="BL586" s="33"/>
      <c r="BM586" s="33"/>
      <c r="BN586" s="33"/>
      <c r="BO586" s="33"/>
      <c r="BP586" s="33"/>
      <c r="BQ586" s="33"/>
      <c r="BR586" s="33"/>
      <c r="BS586" s="33"/>
      <c r="BT586" s="33"/>
      <c r="BU586" s="33"/>
      <c r="BV586" s="33"/>
      <c r="BW586" s="33"/>
      <c r="BX586" s="33"/>
      <c r="BY586" s="33"/>
      <c r="BZ586" s="33"/>
      <c r="CA586" s="33"/>
      <c r="CB586" s="33"/>
      <c r="CC586" s="33"/>
      <c r="CD586" s="33"/>
      <c r="CE586" s="33"/>
      <c r="CF586" s="33"/>
      <c r="CG586" s="33"/>
      <c r="CH586" s="33"/>
      <c r="CI586" s="33"/>
      <c r="CJ586" s="33"/>
      <c r="CK586" s="33"/>
      <c r="CL586" s="33"/>
      <c r="CM586" s="33"/>
      <c r="CN586" s="33"/>
      <c r="CO586" s="33"/>
      <c r="CP586" s="33"/>
      <c r="CQ586" s="33"/>
      <c r="CR586" s="33"/>
      <c r="CS586" s="33"/>
      <c r="CT586" s="33"/>
      <c r="CU586" s="33"/>
      <c r="CV586" s="33"/>
      <c r="CW586" s="33"/>
      <c r="CX586" s="33"/>
      <c r="CY586" s="33"/>
      <c r="CZ586" s="33"/>
      <c r="DA586" s="33"/>
      <c r="DB586" s="33"/>
      <c r="DC586" s="33"/>
      <c r="DD586" s="33"/>
      <c r="DE586" s="33"/>
      <c r="DF586" s="33"/>
      <c r="DG586" s="33"/>
      <c r="DH586" s="33"/>
      <c r="DI586" s="33"/>
      <c r="DJ586" s="33"/>
      <c r="DK586" s="33"/>
      <c r="DL586" s="33"/>
      <c r="DM586" s="33"/>
      <c r="DN586" s="33"/>
      <c r="DO586" s="33"/>
      <c r="DP586" s="33"/>
      <c r="DQ586" s="33"/>
      <c r="DR586" s="33"/>
      <c r="DS586" s="33"/>
      <c r="DT586" s="33"/>
      <c r="DU586" s="33"/>
      <c r="DV586" s="33"/>
      <c r="DW586" s="33"/>
      <c r="DX586" s="33"/>
      <c r="DY586" s="33"/>
      <c r="DZ586" s="33"/>
      <c r="EA586" s="33"/>
      <c r="EB586" s="33"/>
      <c r="EC586" s="33"/>
      <c r="ED586" s="33"/>
      <c r="EE586" s="33"/>
      <c r="EF586" s="33"/>
      <c r="EG586" s="33"/>
      <c r="EH586" s="33"/>
      <c r="EI586" s="33"/>
      <c r="EJ586" s="33"/>
      <c r="EK586" s="33"/>
      <c r="EL586" s="33"/>
      <c r="EM586" s="33"/>
      <c r="EN586" s="33"/>
      <c r="EO586" s="33"/>
      <c r="EP586" s="33"/>
      <c r="EQ586" s="33"/>
      <c r="ER586" s="33"/>
      <c r="ES586" s="33"/>
    </row>
    <row r="587">
      <c r="A587" s="33"/>
      <c r="B587" s="33"/>
      <c r="C587" s="33"/>
      <c r="D587" s="33"/>
      <c r="E587" s="33"/>
      <c r="F587" s="33"/>
      <c r="G587" s="85"/>
      <c r="H587" s="85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3"/>
      <c r="AC587" s="33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3"/>
      <c r="AP587" s="33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3"/>
      <c r="BP587" s="33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3"/>
      <c r="CC587" s="33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3"/>
      <c r="CP587" s="33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3"/>
      <c r="DC587" s="33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3"/>
      <c r="DP587" s="33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3"/>
      <c r="EC587" s="33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3"/>
      <c r="EP587" s="33"/>
      <c r="EQ587" s="33"/>
      <c r="ER587" s="33"/>
      <c r="ES587" s="33"/>
    </row>
    <row r="588">
      <c r="A588" s="33"/>
      <c r="B588" s="33"/>
      <c r="C588" s="33"/>
      <c r="D588" s="33"/>
      <c r="E588" s="33"/>
      <c r="F588" s="33"/>
      <c r="G588" s="85"/>
      <c r="H588" s="85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33"/>
      <c r="Y588" s="33"/>
      <c r="Z588" s="33"/>
      <c r="AA588" s="33"/>
      <c r="AB588" s="33"/>
      <c r="AC588" s="33"/>
      <c r="AD588" s="33"/>
      <c r="AE588" s="33"/>
      <c r="AF588" s="33"/>
      <c r="AG588" s="33"/>
      <c r="AH588" s="33"/>
      <c r="AI588" s="33"/>
      <c r="AJ588" s="33"/>
      <c r="AK588" s="33"/>
      <c r="AL588" s="33"/>
      <c r="AM588" s="33"/>
      <c r="AN588" s="33"/>
      <c r="AO588" s="33"/>
      <c r="AP588" s="33"/>
      <c r="AQ588" s="33"/>
      <c r="AR588" s="33"/>
      <c r="AS588" s="33"/>
      <c r="AT588" s="33"/>
      <c r="AU588" s="33"/>
      <c r="AV588" s="33"/>
      <c r="AW588" s="33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  <c r="BI588" s="33"/>
      <c r="BJ588" s="33"/>
      <c r="BK588" s="33"/>
      <c r="BL588" s="33"/>
      <c r="BM588" s="33"/>
      <c r="BN588" s="33"/>
      <c r="BO588" s="33"/>
      <c r="BP588" s="33"/>
      <c r="BQ588" s="33"/>
      <c r="BR588" s="33"/>
      <c r="BS588" s="33"/>
      <c r="BT588" s="33"/>
      <c r="BU588" s="33"/>
      <c r="BV588" s="33"/>
      <c r="BW588" s="33"/>
      <c r="BX588" s="33"/>
      <c r="BY588" s="33"/>
      <c r="BZ588" s="33"/>
      <c r="CA588" s="33"/>
      <c r="CB588" s="33"/>
      <c r="CC588" s="33"/>
      <c r="CD588" s="33"/>
      <c r="CE588" s="33"/>
      <c r="CF588" s="33"/>
      <c r="CG588" s="33"/>
      <c r="CH588" s="33"/>
      <c r="CI588" s="33"/>
      <c r="CJ588" s="33"/>
      <c r="CK588" s="33"/>
      <c r="CL588" s="33"/>
      <c r="CM588" s="33"/>
      <c r="CN588" s="33"/>
      <c r="CO588" s="33"/>
      <c r="CP588" s="33"/>
      <c r="CQ588" s="33"/>
      <c r="CR588" s="33"/>
      <c r="CS588" s="33"/>
      <c r="CT588" s="33"/>
      <c r="CU588" s="33"/>
      <c r="CV588" s="33"/>
      <c r="CW588" s="33"/>
      <c r="CX588" s="33"/>
      <c r="CY588" s="33"/>
      <c r="CZ588" s="33"/>
      <c r="DA588" s="33"/>
      <c r="DB588" s="33"/>
      <c r="DC588" s="33"/>
      <c r="DD588" s="33"/>
      <c r="DE588" s="33"/>
      <c r="DF588" s="33"/>
      <c r="DG588" s="33"/>
      <c r="DH588" s="33"/>
      <c r="DI588" s="33"/>
      <c r="DJ588" s="33"/>
      <c r="DK588" s="33"/>
      <c r="DL588" s="33"/>
      <c r="DM588" s="33"/>
      <c r="DN588" s="33"/>
      <c r="DO588" s="33"/>
      <c r="DP588" s="33"/>
      <c r="DQ588" s="33"/>
      <c r="DR588" s="33"/>
      <c r="DS588" s="33"/>
      <c r="DT588" s="33"/>
      <c r="DU588" s="33"/>
      <c r="DV588" s="33"/>
      <c r="DW588" s="33"/>
      <c r="DX588" s="33"/>
      <c r="DY588" s="33"/>
      <c r="DZ588" s="33"/>
      <c r="EA588" s="33"/>
      <c r="EB588" s="33"/>
      <c r="EC588" s="33"/>
      <c r="ED588" s="33"/>
      <c r="EE588" s="33"/>
      <c r="EF588" s="33"/>
      <c r="EG588" s="33"/>
      <c r="EH588" s="33"/>
      <c r="EI588" s="33"/>
      <c r="EJ588" s="33"/>
      <c r="EK588" s="33"/>
      <c r="EL588" s="33"/>
      <c r="EM588" s="33"/>
      <c r="EN588" s="33"/>
      <c r="EO588" s="33"/>
      <c r="EP588" s="33"/>
      <c r="EQ588" s="33"/>
      <c r="ER588" s="33"/>
      <c r="ES588" s="33"/>
    </row>
    <row r="589">
      <c r="A589" s="33"/>
      <c r="B589" s="33"/>
      <c r="C589" s="33"/>
      <c r="D589" s="33"/>
      <c r="E589" s="33"/>
      <c r="F589" s="33"/>
      <c r="G589" s="85"/>
      <c r="H589" s="85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3"/>
      <c r="AC589" s="33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3"/>
      <c r="AP589" s="33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3"/>
      <c r="BP589" s="33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3"/>
      <c r="CC589" s="33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3"/>
      <c r="CP589" s="33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3"/>
      <c r="DC589" s="33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3"/>
      <c r="DP589" s="33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3"/>
      <c r="EC589" s="33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3"/>
      <c r="EP589" s="33"/>
      <c r="EQ589" s="33"/>
      <c r="ER589" s="33"/>
      <c r="ES589" s="33"/>
    </row>
    <row r="590">
      <c r="A590" s="33"/>
      <c r="B590" s="33"/>
      <c r="C590" s="33"/>
      <c r="D590" s="33"/>
      <c r="E590" s="33"/>
      <c r="F590" s="33"/>
      <c r="G590" s="85"/>
      <c r="H590" s="85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33"/>
      <c r="Y590" s="33"/>
      <c r="Z590" s="33"/>
      <c r="AA590" s="33"/>
      <c r="AB590" s="33"/>
      <c r="AC590" s="33"/>
      <c r="AD590" s="33"/>
      <c r="AE590" s="33"/>
      <c r="AF590" s="33"/>
      <c r="AG590" s="33"/>
      <c r="AH590" s="33"/>
      <c r="AI590" s="33"/>
      <c r="AJ590" s="33"/>
      <c r="AK590" s="33"/>
      <c r="AL590" s="33"/>
      <c r="AM590" s="33"/>
      <c r="AN590" s="33"/>
      <c r="AO590" s="33"/>
      <c r="AP590" s="33"/>
      <c r="AQ590" s="33"/>
      <c r="AR590" s="33"/>
      <c r="AS590" s="33"/>
      <c r="AT590" s="33"/>
      <c r="AU590" s="33"/>
      <c r="AV590" s="33"/>
      <c r="AW590" s="33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  <c r="BI590" s="33"/>
      <c r="BJ590" s="33"/>
      <c r="BK590" s="33"/>
      <c r="BL590" s="33"/>
      <c r="BM590" s="33"/>
      <c r="BN590" s="33"/>
      <c r="BO590" s="33"/>
      <c r="BP590" s="33"/>
      <c r="BQ590" s="33"/>
      <c r="BR590" s="33"/>
      <c r="BS590" s="33"/>
      <c r="BT590" s="33"/>
      <c r="BU590" s="33"/>
      <c r="BV590" s="33"/>
      <c r="BW590" s="33"/>
      <c r="BX590" s="33"/>
      <c r="BY590" s="33"/>
      <c r="BZ590" s="33"/>
      <c r="CA590" s="33"/>
      <c r="CB590" s="33"/>
      <c r="CC590" s="33"/>
      <c r="CD590" s="33"/>
      <c r="CE590" s="33"/>
      <c r="CF590" s="33"/>
      <c r="CG590" s="33"/>
      <c r="CH590" s="33"/>
      <c r="CI590" s="33"/>
      <c r="CJ590" s="33"/>
      <c r="CK590" s="33"/>
      <c r="CL590" s="33"/>
      <c r="CM590" s="33"/>
      <c r="CN590" s="33"/>
      <c r="CO590" s="33"/>
      <c r="CP590" s="33"/>
      <c r="CQ590" s="33"/>
      <c r="CR590" s="33"/>
      <c r="CS590" s="33"/>
      <c r="CT590" s="33"/>
      <c r="CU590" s="33"/>
      <c r="CV590" s="33"/>
      <c r="CW590" s="33"/>
      <c r="CX590" s="33"/>
      <c r="CY590" s="33"/>
      <c r="CZ590" s="33"/>
      <c r="DA590" s="33"/>
      <c r="DB590" s="33"/>
      <c r="DC590" s="33"/>
      <c r="DD590" s="33"/>
      <c r="DE590" s="33"/>
      <c r="DF590" s="33"/>
      <c r="DG590" s="33"/>
      <c r="DH590" s="33"/>
      <c r="DI590" s="33"/>
      <c r="DJ590" s="33"/>
      <c r="DK590" s="33"/>
      <c r="DL590" s="33"/>
      <c r="DM590" s="33"/>
      <c r="DN590" s="33"/>
      <c r="DO590" s="33"/>
      <c r="DP590" s="33"/>
      <c r="DQ590" s="33"/>
      <c r="DR590" s="33"/>
      <c r="DS590" s="33"/>
      <c r="DT590" s="33"/>
      <c r="DU590" s="33"/>
      <c r="DV590" s="33"/>
      <c r="DW590" s="33"/>
      <c r="DX590" s="33"/>
      <c r="DY590" s="33"/>
      <c r="DZ590" s="33"/>
      <c r="EA590" s="33"/>
      <c r="EB590" s="33"/>
      <c r="EC590" s="33"/>
      <c r="ED590" s="33"/>
      <c r="EE590" s="33"/>
      <c r="EF590" s="33"/>
      <c r="EG590" s="33"/>
      <c r="EH590" s="33"/>
      <c r="EI590" s="33"/>
      <c r="EJ590" s="33"/>
      <c r="EK590" s="33"/>
      <c r="EL590" s="33"/>
      <c r="EM590" s="33"/>
      <c r="EN590" s="33"/>
      <c r="EO590" s="33"/>
      <c r="EP590" s="33"/>
      <c r="EQ590" s="33"/>
      <c r="ER590" s="33"/>
      <c r="ES590" s="33"/>
    </row>
    <row r="591">
      <c r="A591" s="33"/>
      <c r="B591" s="33"/>
      <c r="C591" s="33"/>
      <c r="D591" s="33"/>
      <c r="E591" s="33"/>
      <c r="F591" s="33"/>
      <c r="G591" s="85"/>
      <c r="H591" s="85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3"/>
      <c r="AC591" s="33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3"/>
      <c r="AP591" s="33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3"/>
      <c r="BP591" s="33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3"/>
      <c r="CC591" s="33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3"/>
      <c r="CP591" s="33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3"/>
      <c r="DC591" s="33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3"/>
      <c r="DP591" s="33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3"/>
      <c r="EC591" s="33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3"/>
      <c r="EP591" s="33"/>
      <c r="EQ591" s="33"/>
      <c r="ER591" s="33"/>
      <c r="ES591" s="33"/>
    </row>
    <row r="592">
      <c r="A592" s="33"/>
      <c r="B592" s="33"/>
      <c r="C592" s="33"/>
      <c r="D592" s="33"/>
      <c r="E592" s="33"/>
      <c r="F592" s="33"/>
      <c r="G592" s="85"/>
      <c r="H592" s="85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33"/>
      <c r="AD592" s="33"/>
      <c r="AE592" s="33"/>
      <c r="AF592" s="33"/>
      <c r="AG592" s="33"/>
      <c r="AH592" s="33"/>
      <c r="AI592" s="33"/>
      <c r="AJ592" s="33"/>
      <c r="AK592" s="33"/>
      <c r="AL592" s="33"/>
      <c r="AM592" s="33"/>
      <c r="AN592" s="33"/>
      <c r="AO592" s="33"/>
      <c r="AP592" s="33"/>
      <c r="AQ592" s="33"/>
      <c r="AR592" s="33"/>
      <c r="AS592" s="33"/>
      <c r="AT592" s="33"/>
      <c r="AU592" s="33"/>
      <c r="AV592" s="33"/>
      <c r="AW592" s="33"/>
      <c r="AX592" s="33"/>
      <c r="AY592" s="33"/>
      <c r="AZ592" s="33"/>
      <c r="BA592" s="33"/>
      <c r="BB592" s="33"/>
      <c r="BC592" s="33"/>
      <c r="BD592" s="33"/>
      <c r="BE592" s="33"/>
      <c r="BF592" s="33"/>
      <c r="BG592" s="33"/>
      <c r="BH592" s="33"/>
      <c r="BI592" s="33"/>
      <c r="BJ592" s="33"/>
      <c r="BK592" s="33"/>
      <c r="BL592" s="33"/>
      <c r="BM592" s="33"/>
      <c r="BN592" s="33"/>
      <c r="BO592" s="33"/>
      <c r="BP592" s="33"/>
      <c r="BQ592" s="33"/>
      <c r="BR592" s="33"/>
      <c r="BS592" s="33"/>
      <c r="BT592" s="33"/>
      <c r="BU592" s="33"/>
      <c r="BV592" s="33"/>
      <c r="BW592" s="33"/>
      <c r="BX592" s="33"/>
      <c r="BY592" s="33"/>
      <c r="BZ592" s="33"/>
      <c r="CA592" s="33"/>
      <c r="CB592" s="33"/>
      <c r="CC592" s="33"/>
      <c r="CD592" s="33"/>
      <c r="CE592" s="33"/>
      <c r="CF592" s="33"/>
      <c r="CG592" s="33"/>
      <c r="CH592" s="33"/>
      <c r="CI592" s="33"/>
      <c r="CJ592" s="33"/>
      <c r="CK592" s="33"/>
      <c r="CL592" s="33"/>
      <c r="CM592" s="33"/>
      <c r="CN592" s="33"/>
      <c r="CO592" s="33"/>
      <c r="CP592" s="33"/>
      <c r="CQ592" s="33"/>
      <c r="CR592" s="33"/>
      <c r="CS592" s="33"/>
      <c r="CT592" s="33"/>
      <c r="CU592" s="33"/>
      <c r="CV592" s="33"/>
      <c r="CW592" s="33"/>
      <c r="CX592" s="33"/>
      <c r="CY592" s="33"/>
      <c r="CZ592" s="33"/>
      <c r="DA592" s="33"/>
      <c r="DB592" s="33"/>
      <c r="DC592" s="33"/>
      <c r="DD592" s="33"/>
      <c r="DE592" s="33"/>
      <c r="DF592" s="33"/>
      <c r="DG592" s="33"/>
      <c r="DH592" s="33"/>
      <c r="DI592" s="33"/>
      <c r="DJ592" s="33"/>
      <c r="DK592" s="33"/>
      <c r="DL592" s="33"/>
      <c r="DM592" s="33"/>
      <c r="DN592" s="33"/>
      <c r="DO592" s="33"/>
      <c r="DP592" s="33"/>
      <c r="DQ592" s="33"/>
      <c r="DR592" s="33"/>
      <c r="DS592" s="33"/>
      <c r="DT592" s="33"/>
      <c r="DU592" s="33"/>
      <c r="DV592" s="33"/>
      <c r="DW592" s="33"/>
      <c r="DX592" s="33"/>
      <c r="DY592" s="33"/>
      <c r="DZ592" s="33"/>
      <c r="EA592" s="33"/>
      <c r="EB592" s="33"/>
      <c r="EC592" s="33"/>
      <c r="ED592" s="33"/>
      <c r="EE592" s="33"/>
      <c r="EF592" s="33"/>
      <c r="EG592" s="33"/>
      <c r="EH592" s="33"/>
      <c r="EI592" s="33"/>
      <c r="EJ592" s="33"/>
      <c r="EK592" s="33"/>
      <c r="EL592" s="33"/>
      <c r="EM592" s="33"/>
      <c r="EN592" s="33"/>
      <c r="EO592" s="33"/>
      <c r="EP592" s="33"/>
      <c r="EQ592" s="33"/>
      <c r="ER592" s="33"/>
      <c r="ES592" s="33"/>
    </row>
    <row r="593">
      <c r="A593" s="33"/>
      <c r="B593" s="33"/>
      <c r="C593" s="33"/>
      <c r="D593" s="33"/>
      <c r="E593" s="33"/>
      <c r="F593" s="33"/>
      <c r="G593" s="85"/>
      <c r="H593" s="85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3"/>
      <c r="AC593" s="33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3"/>
      <c r="AP593" s="33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3"/>
      <c r="BC593" s="33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3"/>
      <c r="BP593" s="33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3"/>
      <c r="CC593" s="33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3"/>
      <c r="CP593" s="33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3"/>
      <c r="DC593" s="33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3"/>
      <c r="DP593" s="33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3"/>
      <c r="EC593" s="33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3"/>
      <c r="EP593" s="33"/>
      <c r="EQ593" s="33"/>
      <c r="ER593" s="33"/>
      <c r="ES593" s="33"/>
    </row>
    <row r="594">
      <c r="A594" s="33"/>
      <c r="B594" s="33"/>
      <c r="C594" s="33"/>
      <c r="D594" s="33"/>
      <c r="E594" s="33"/>
      <c r="F594" s="33"/>
      <c r="G594" s="85"/>
      <c r="H594" s="85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33"/>
      <c r="Y594" s="33"/>
      <c r="Z594" s="33"/>
      <c r="AA594" s="33"/>
      <c r="AB594" s="33"/>
      <c r="AC594" s="33"/>
      <c r="AD594" s="33"/>
      <c r="AE594" s="33"/>
      <c r="AF594" s="33"/>
      <c r="AG594" s="33"/>
      <c r="AH594" s="33"/>
      <c r="AI594" s="33"/>
      <c r="AJ594" s="33"/>
      <c r="AK594" s="33"/>
      <c r="AL594" s="33"/>
      <c r="AM594" s="33"/>
      <c r="AN594" s="33"/>
      <c r="AO594" s="33"/>
      <c r="AP594" s="33"/>
      <c r="AQ594" s="33"/>
      <c r="AR594" s="33"/>
      <c r="AS594" s="33"/>
      <c r="AT594" s="33"/>
      <c r="AU594" s="33"/>
      <c r="AV594" s="33"/>
      <c r="AW594" s="33"/>
      <c r="AX594" s="33"/>
      <c r="AY594" s="33"/>
      <c r="AZ594" s="33"/>
      <c r="BA594" s="33"/>
      <c r="BB594" s="33"/>
      <c r="BC594" s="33"/>
      <c r="BD594" s="33"/>
      <c r="BE594" s="33"/>
      <c r="BF594" s="33"/>
      <c r="BG594" s="33"/>
      <c r="BH594" s="33"/>
      <c r="BI594" s="33"/>
      <c r="BJ594" s="33"/>
      <c r="BK594" s="33"/>
      <c r="BL594" s="33"/>
      <c r="BM594" s="33"/>
      <c r="BN594" s="33"/>
      <c r="BO594" s="33"/>
      <c r="BP594" s="33"/>
      <c r="BQ594" s="33"/>
      <c r="BR594" s="33"/>
      <c r="BS594" s="33"/>
      <c r="BT594" s="33"/>
      <c r="BU594" s="33"/>
      <c r="BV594" s="33"/>
      <c r="BW594" s="33"/>
      <c r="BX594" s="33"/>
      <c r="BY594" s="33"/>
      <c r="BZ594" s="33"/>
      <c r="CA594" s="33"/>
      <c r="CB594" s="33"/>
      <c r="CC594" s="33"/>
      <c r="CD594" s="33"/>
      <c r="CE594" s="33"/>
      <c r="CF594" s="33"/>
      <c r="CG594" s="33"/>
      <c r="CH594" s="33"/>
      <c r="CI594" s="33"/>
      <c r="CJ594" s="33"/>
      <c r="CK594" s="33"/>
      <c r="CL594" s="33"/>
      <c r="CM594" s="33"/>
      <c r="CN594" s="33"/>
      <c r="CO594" s="33"/>
      <c r="CP594" s="33"/>
      <c r="CQ594" s="33"/>
      <c r="CR594" s="33"/>
      <c r="CS594" s="33"/>
      <c r="CT594" s="33"/>
      <c r="CU594" s="33"/>
      <c r="CV594" s="33"/>
      <c r="CW594" s="33"/>
      <c r="CX594" s="33"/>
      <c r="CY594" s="33"/>
      <c r="CZ594" s="33"/>
      <c r="DA594" s="33"/>
      <c r="DB594" s="33"/>
      <c r="DC594" s="33"/>
      <c r="DD594" s="33"/>
      <c r="DE594" s="33"/>
      <c r="DF594" s="33"/>
      <c r="DG594" s="33"/>
      <c r="DH594" s="33"/>
      <c r="DI594" s="33"/>
      <c r="DJ594" s="33"/>
      <c r="DK594" s="33"/>
      <c r="DL594" s="33"/>
      <c r="DM594" s="33"/>
      <c r="DN594" s="33"/>
      <c r="DO594" s="33"/>
      <c r="DP594" s="33"/>
      <c r="DQ594" s="33"/>
      <c r="DR594" s="33"/>
      <c r="DS594" s="33"/>
      <c r="DT594" s="33"/>
      <c r="DU594" s="33"/>
      <c r="DV594" s="33"/>
      <c r="DW594" s="33"/>
      <c r="DX594" s="33"/>
      <c r="DY594" s="33"/>
      <c r="DZ594" s="33"/>
      <c r="EA594" s="33"/>
      <c r="EB594" s="33"/>
      <c r="EC594" s="33"/>
      <c r="ED594" s="33"/>
      <c r="EE594" s="33"/>
      <c r="EF594" s="33"/>
      <c r="EG594" s="33"/>
      <c r="EH594" s="33"/>
      <c r="EI594" s="33"/>
      <c r="EJ594" s="33"/>
      <c r="EK594" s="33"/>
      <c r="EL594" s="33"/>
      <c r="EM594" s="33"/>
      <c r="EN594" s="33"/>
      <c r="EO594" s="33"/>
      <c r="EP594" s="33"/>
      <c r="EQ594" s="33"/>
      <c r="ER594" s="33"/>
      <c r="ES594" s="33"/>
    </row>
    <row r="595">
      <c r="A595" s="33"/>
      <c r="B595" s="33"/>
      <c r="C595" s="33"/>
      <c r="D595" s="33"/>
      <c r="E595" s="33"/>
      <c r="F595" s="33"/>
      <c r="G595" s="85"/>
      <c r="H595" s="85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3"/>
      <c r="AC595" s="33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3"/>
      <c r="AP595" s="33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3"/>
      <c r="BC595" s="33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3"/>
      <c r="BP595" s="33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3"/>
      <c r="CC595" s="33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3"/>
      <c r="CP595" s="33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3"/>
      <c r="DC595" s="33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3"/>
      <c r="DP595" s="33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3"/>
      <c r="EC595" s="33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3"/>
      <c r="EP595" s="33"/>
      <c r="EQ595" s="33"/>
      <c r="ER595" s="33"/>
      <c r="ES595" s="33"/>
    </row>
    <row r="596">
      <c r="A596" s="33"/>
      <c r="B596" s="33"/>
      <c r="C596" s="33"/>
      <c r="D596" s="33"/>
      <c r="E596" s="33"/>
      <c r="F596" s="33"/>
      <c r="G596" s="85"/>
      <c r="H596" s="85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33"/>
      <c r="Y596" s="33"/>
      <c r="Z596" s="33"/>
      <c r="AA596" s="33"/>
      <c r="AB596" s="33"/>
      <c r="AC596" s="33"/>
      <c r="AD596" s="33"/>
      <c r="AE596" s="33"/>
      <c r="AF596" s="33"/>
      <c r="AG596" s="33"/>
      <c r="AH596" s="33"/>
      <c r="AI596" s="33"/>
      <c r="AJ596" s="33"/>
      <c r="AK596" s="33"/>
      <c r="AL596" s="33"/>
      <c r="AM596" s="33"/>
      <c r="AN596" s="33"/>
      <c r="AO596" s="33"/>
      <c r="AP596" s="33"/>
      <c r="AQ596" s="33"/>
      <c r="AR596" s="33"/>
      <c r="AS596" s="33"/>
      <c r="AT596" s="33"/>
      <c r="AU596" s="33"/>
      <c r="AV596" s="33"/>
      <c r="AW596" s="33"/>
      <c r="AX596" s="33"/>
      <c r="AY596" s="33"/>
      <c r="AZ596" s="33"/>
      <c r="BA596" s="33"/>
      <c r="BB596" s="33"/>
      <c r="BC596" s="33"/>
      <c r="BD596" s="33"/>
      <c r="BE596" s="33"/>
      <c r="BF596" s="33"/>
      <c r="BG596" s="33"/>
      <c r="BH596" s="33"/>
      <c r="BI596" s="33"/>
      <c r="BJ596" s="33"/>
      <c r="BK596" s="33"/>
      <c r="BL596" s="33"/>
      <c r="BM596" s="33"/>
      <c r="BN596" s="33"/>
      <c r="BO596" s="33"/>
      <c r="BP596" s="33"/>
      <c r="BQ596" s="33"/>
      <c r="BR596" s="33"/>
      <c r="BS596" s="33"/>
      <c r="BT596" s="33"/>
      <c r="BU596" s="33"/>
      <c r="BV596" s="33"/>
      <c r="BW596" s="33"/>
      <c r="BX596" s="33"/>
      <c r="BY596" s="33"/>
      <c r="BZ596" s="33"/>
      <c r="CA596" s="33"/>
      <c r="CB596" s="33"/>
      <c r="CC596" s="33"/>
      <c r="CD596" s="33"/>
      <c r="CE596" s="33"/>
      <c r="CF596" s="33"/>
      <c r="CG596" s="33"/>
      <c r="CH596" s="33"/>
      <c r="CI596" s="33"/>
      <c r="CJ596" s="33"/>
      <c r="CK596" s="33"/>
      <c r="CL596" s="33"/>
      <c r="CM596" s="33"/>
      <c r="CN596" s="33"/>
      <c r="CO596" s="33"/>
      <c r="CP596" s="33"/>
      <c r="CQ596" s="33"/>
      <c r="CR596" s="33"/>
      <c r="CS596" s="33"/>
      <c r="CT596" s="33"/>
      <c r="CU596" s="33"/>
      <c r="CV596" s="33"/>
      <c r="CW596" s="33"/>
      <c r="CX596" s="33"/>
      <c r="CY596" s="33"/>
      <c r="CZ596" s="33"/>
      <c r="DA596" s="33"/>
      <c r="DB596" s="33"/>
      <c r="DC596" s="33"/>
      <c r="DD596" s="33"/>
      <c r="DE596" s="33"/>
      <c r="DF596" s="33"/>
      <c r="DG596" s="33"/>
      <c r="DH596" s="33"/>
      <c r="DI596" s="33"/>
      <c r="DJ596" s="33"/>
      <c r="DK596" s="33"/>
      <c r="DL596" s="33"/>
      <c r="DM596" s="33"/>
      <c r="DN596" s="33"/>
      <c r="DO596" s="33"/>
      <c r="DP596" s="33"/>
      <c r="DQ596" s="33"/>
      <c r="DR596" s="33"/>
      <c r="DS596" s="33"/>
      <c r="DT596" s="33"/>
      <c r="DU596" s="33"/>
      <c r="DV596" s="33"/>
      <c r="DW596" s="33"/>
      <c r="DX596" s="33"/>
      <c r="DY596" s="33"/>
      <c r="DZ596" s="33"/>
      <c r="EA596" s="33"/>
      <c r="EB596" s="33"/>
      <c r="EC596" s="33"/>
      <c r="ED596" s="33"/>
      <c r="EE596" s="33"/>
      <c r="EF596" s="33"/>
      <c r="EG596" s="33"/>
      <c r="EH596" s="33"/>
      <c r="EI596" s="33"/>
      <c r="EJ596" s="33"/>
      <c r="EK596" s="33"/>
      <c r="EL596" s="33"/>
      <c r="EM596" s="33"/>
      <c r="EN596" s="33"/>
      <c r="EO596" s="33"/>
      <c r="EP596" s="33"/>
      <c r="EQ596" s="33"/>
      <c r="ER596" s="33"/>
      <c r="ES596" s="33"/>
    </row>
    <row r="597">
      <c r="A597" s="33"/>
      <c r="B597" s="33"/>
      <c r="C597" s="33"/>
      <c r="D597" s="33"/>
      <c r="E597" s="33"/>
      <c r="F597" s="33"/>
      <c r="G597" s="85"/>
      <c r="H597" s="85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3"/>
      <c r="AC597" s="33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3"/>
      <c r="AP597" s="33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3"/>
      <c r="BC597" s="33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3"/>
      <c r="BP597" s="33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3"/>
      <c r="CC597" s="33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3"/>
      <c r="CP597" s="33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3"/>
      <c r="DC597" s="33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3"/>
      <c r="DP597" s="33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3"/>
      <c r="EC597" s="33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3"/>
      <c r="EP597" s="33"/>
      <c r="EQ597" s="33"/>
      <c r="ER597" s="33"/>
      <c r="ES597" s="33"/>
    </row>
    <row r="598">
      <c r="A598" s="33"/>
      <c r="B598" s="33"/>
      <c r="C598" s="33"/>
      <c r="D598" s="33"/>
      <c r="E598" s="33"/>
      <c r="F598" s="33"/>
      <c r="G598" s="85"/>
      <c r="H598" s="85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33"/>
      <c r="Y598" s="33"/>
      <c r="Z598" s="33"/>
      <c r="AA598" s="33"/>
      <c r="AB598" s="33"/>
      <c r="AC598" s="33"/>
      <c r="AD598" s="33"/>
      <c r="AE598" s="33"/>
      <c r="AF598" s="33"/>
      <c r="AG598" s="33"/>
      <c r="AH598" s="33"/>
      <c r="AI598" s="33"/>
      <c r="AJ598" s="33"/>
      <c r="AK598" s="33"/>
      <c r="AL598" s="33"/>
      <c r="AM598" s="33"/>
      <c r="AN598" s="33"/>
      <c r="AO598" s="33"/>
      <c r="AP598" s="33"/>
      <c r="AQ598" s="33"/>
      <c r="AR598" s="33"/>
      <c r="AS598" s="33"/>
      <c r="AT598" s="33"/>
      <c r="AU598" s="33"/>
      <c r="AV598" s="33"/>
      <c r="AW598" s="33"/>
      <c r="AX598" s="33"/>
      <c r="AY598" s="33"/>
      <c r="AZ598" s="33"/>
      <c r="BA598" s="33"/>
      <c r="BB598" s="33"/>
      <c r="BC598" s="33"/>
      <c r="BD598" s="33"/>
      <c r="BE598" s="33"/>
      <c r="BF598" s="33"/>
      <c r="BG598" s="33"/>
      <c r="BH598" s="33"/>
      <c r="BI598" s="33"/>
      <c r="BJ598" s="33"/>
      <c r="BK598" s="33"/>
      <c r="BL598" s="33"/>
      <c r="BM598" s="33"/>
      <c r="BN598" s="33"/>
      <c r="BO598" s="33"/>
      <c r="BP598" s="33"/>
      <c r="BQ598" s="33"/>
      <c r="BR598" s="33"/>
      <c r="BS598" s="33"/>
      <c r="BT598" s="33"/>
      <c r="BU598" s="33"/>
      <c r="BV598" s="33"/>
      <c r="BW598" s="33"/>
      <c r="BX598" s="33"/>
      <c r="BY598" s="33"/>
      <c r="BZ598" s="33"/>
      <c r="CA598" s="33"/>
      <c r="CB598" s="33"/>
      <c r="CC598" s="33"/>
      <c r="CD598" s="33"/>
      <c r="CE598" s="33"/>
      <c r="CF598" s="33"/>
      <c r="CG598" s="33"/>
      <c r="CH598" s="33"/>
      <c r="CI598" s="33"/>
      <c r="CJ598" s="33"/>
      <c r="CK598" s="33"/>
      <c r="CL598" s="33"/>
      <c r="CM598" s="33"/>
      <c r="CN598" s="33"/>
      <c r="CO598" s="33"/>
      <c r="CP598" s="33"/>
      <c r="CQ598" s="33"/>
      <c r="CR598" s="33"/>
      <c r="CS598" s="33"/>
      <c r="CT598" s="33"/>
      <c r="CU598" s="33"/>
      <c r="CV598" s="33"/>
      <c r="CW598" s="33"/>
      <c r="CX598" s="33"/>
      <c r="CY598" s="33"/>
      <c r="CZ598" s="33"/>
      <c r="DA598" s="33"/>
      <c r="DB598" s="33"/>
      <c r="DC598" s="33"/>
      <c r="DD598" s="33"/>
      <c r="DE598" s="33"/>
      <c r="DF598" s="33"/>
      <c r="DG598" s="33"/>
      <c r="DH598" s="33"/>
      <c r="DI598" s="33"/>
      <c r="DJ598" s="33"/>
      <c r="DK598" s="33"/>
      <c r="DL598" s="33"/>
      <c r="DM598" s="33"/>
      <c r="DN598" s="33"/>
      <c r="DO598" s="33"/>
      <c r="DP598" s="33"/>
      <c r="DQ598" s="33"/>
      <c r="DR598" s="33"/>
      <c r="DS598" s="33"/>
      <c r="DT598" s="33"/>
      <c r="DU598" s="33"/>
      <c r="DV598" s="33"/>
      <c r="DW598" s="33"/>
      <c r="DX598" s="33"/>
      <c r="DY598" s="33"/>
      <c r="DZ598" s="33"/>
      <c r="EA598" s="33"/>
      <c r="EB598" s="33"/>
      <c r="EC598" s="33"/>
      <c r="ED598" s="33"/>
      <c r="EE598" s="33"/>
      <c r="EF598" s="33"/>
      <c r="EG598" s="33"/>
      <c r="EH598" s="33"/>
      <c r="EI598" s="33"/>
      <c r="EJ598" s="33"/>
      <c r="EK598" s="33"/>
      <c r="EL598" s="33"/>
      <c r="EM598" s="33"/>
      <c r="EN598" s="33"/>
      <c r="EO598" s="33"/>
      <c r="EP598" s="33"/>
      <c r="EQ598" s="33"/>
      <c r="ER598" s="33"/>
      <c r="ES598" s="33"/>
    </row>
    <row r="599">
      <c r="A599" s="33"/>
      <c r="B599" s="33"/>
      <c r="C599" s="33"/>
      <c r="D599" s="33"/>
      <c r="E599" s="33"/>
      <c r="F599" s="33"/>
      <c r="G599" s="85"/>
      <c r="H599" s="85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3"/>
      <c r="AC599" s="33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3"/>
      <c r="AP599" s="33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3"/>
      <c r="BC599" s="33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3"/>
      <c r="BP599" s="33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3"/>
      <c r="CC599" s="33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3"/>
      <c r="CP599" s="33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3"/>
      <c r="DC599" s="33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3"/>
      <c r="DP599" s="33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3"/>
      <c r="EC599" s="33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3"/>
      <c r="EP599" s="33"/>
      <c r="EQ599" s="33"/>
      <c r="ER599" s="33"/>
      <c r="ES599" s="33"/>
    </row>
    <row r="600">
      <c r="A600" s="33"/>
      <c r="B600" s="33"/>
      <c r="C600" s="33"/>
      <c r="D600" s="33"/>
      <c r="E600" s="33"/>
      <c r="F600" s="33"/>
      <c r="G600" s="85"/>
      <c r="H600" s="85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33"/>
      <c r="Y600" s="33"/>
      <c r="Z600" s="33"/>
      <c r="AA600" s="33"/>
      <c r="AB600" s="33"/>
      <c r="AC600" s="33"/>
      <c r="AD600" s="33"/>
      <c r="AE600" s="33"/>
      <c r="AF600" s="33"/>
      <c r="AG600" s="33"/>
      <c r="AH600" s="33"/>
      <c r="AI600" s="33"/>
      <c r="AJ600" s="33"/>
      <c r="AK600" s="33"/>
      <c r="AL600" s="33"/>
      <c r="AM600" s="33"/>
      <c r="AN600" s="33"/>
      <c r="AO600" s="33"/>
      <c r="AP600" s="33"/>
      <c r="AQ600" s="33"/>
      <c r="AR600" s="33"/>
      <c r="AS600" s="33"/>
      <c r="AT600" s="33"/>
      <c r="AU600" s="33"/>
      <c r="AV600" s="33"/>
      <c r="AW600" s="33"/>
      <c r="AX600" s="33"/>
      <c r="AY600" s="33"/>
      <c r="AZ600" s="33"/>
      <c r="BA600" s="33"/>
      <c r="BB600" s="33"/>
      <c r="BC600" s="33"/>
      <c r="BD600" s="33"/>
      <c r="BE600" s="33"/>
      <c r="BF600" s="33"/>
      <c r="BG600" s="33"/>
      <c r="BH600" s="33"/>
      <c r="BI600" s="33"/>
      <c r="BJ600" s="33"/>
      <c r="BK600" s="33"/>
      <c r="BL600" s="33"/>
      <c r="BM600" s="33"/>
      <c r="BN600" s="33"/>
      <c r="BO600" s="33"/>
      <c r="BP600" s="33"/>
      <c r="BQ600" s="33"/>
      <c r="BR600" s="33"/>
      <c r="BS600" s="33"/>
      <c r="BT600" s="33"/>
      <c r="BU600" s="33"/>
      <c r="BV600" s="33"/>
      <c r="BW600" s="33"/>
      <c r="BX600" s="33"/>
      <c r="BY600" s="33"/>
      <c r="BZ600" s="33"/>
      <c r="CA600" s="33"/>
      <c r="CB600" s="33"/>
      <c r="CC600" s="33"/>
      <c r="CD600" s="33"/>
      <c r="CE600" s="33"/>
      <c r="CF600" s="33"/>
      <c r="CG600" s="33"/>
      <c r="CH600" s="33"/>
      <c r="CI600" s="33"/>
      <c r="CJ600" s="33"/>
      <c r="CK600" s="33"/>
      <c r="CL600" s="33"/>
      <c r="CM600" s="33"/>
      <c r="CN600" s="33"/>
      <c r="CO600" s="33"/>
      <c r="CP600" s="33"/>
      <c r="CQ600" s="33"/>
      <c r="CR600" s="33"/>
      <c r="CS600" s="33"/>
      <c r="CT600" s="33"/>
      <c r="CU600" s="33"/>
      <c r="CV600" s="33"/>
      <c r="CW600" s="33"/>
      <c r="CX600" s="33"/>
      <c r="CY600" s="33"/>
      <c r="CZ600" s="33"/>
      <c r="DA600" s="33"/>
      <c r="DB600" s="33"/>
      <c r="DC600" s="33"/>
      <c r="DD600" s="33"/>
      <c r="DE600" s="33"/>
      <c r="DF600" s="33"/>
      <c r="DG600" s="33"/>
      <c r="DH600" s="33"/>
      <c r="DI600" s="33"/>
      <c r="DJ600" s="33"/>
      <c r="DK600" s="33"/>
      <c r="DL600" s="33"/>
      <c r="DM600" s="33"/>
      <c r="DN600" s="33"/>
      <c r="DO600" s="33"/>
      <c r="DP600" s="33"/>
      <c r="DQ600" s="33"/>
      <c r="DR600" s="33"/>
      <c r="DS600" s="33"/>
      <c r="DT600" s="33"/>
      <c r="DU600" s="33"/>
      <c r="DV600" s="33"/>
      <c r="DW600" s="33"/>
      <c r="DX600" s="33"/>
      <c r="DY600" s="33"/>
      <c r="DZ600" s="33"/>
      <c r="EA600" s="33"/>
      <c r="EB600" s="33"/>
      <c r="EC600" s="33"/>
      <c r="ED600" s="33"/>
      <c r="EE600" s="33"/>
      <c r="EF600" s="33"/>
      <c r="EG600" s="33"/>
      <c r="EH600" s="33"/>
      <c r="EI600" s="33"/>
      <c r="EJ600" s="33"/>
      <c r="EK600" s="33"/>
      <c r="EL600" s="33"/>
      <c r="EM600" s="33"/>
      <c r="EN600" s="33"/>
      <c r="EO600" s="33"/>
      <c r="EP600" s="33"/>
      <c r="EQ600" s="33"/>
      <c r="ER600" s="33"/>
      <c r="ES600" s="33"/>
    </row>
    <row r="601">
      <c r="A601" s="33"/>
      <c r="B601" s="33"/>
      <c r="C601" s="33"/>
      <c r="D601" s="33"/>
      <c r="E601" s="33"/>
      <c r="F601" s="33"/>
      <c r="G601" s="85"/>
      <c r="H601" s="85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3"/>
      <c r="AC601" s="33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3"/>
      <c r="AP601" s="33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3"/>
      <c r="BC601" s="33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3"/>
      <c r="BP601" s="33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3"/>
      <c r="CC601" s="33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3"/>
      <c r="CP601" s="33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3"/>
      <c r="DC601" s="33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3"/>
      <c r="DP601" s="33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3"/>
      <c r="EC601" s="33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3"/>
      <c r="EP601" s="33"/>
      <c r="EQ601" s="33"/>
      <c r="ER601" s="33"/>
      <c r="ES601" s="33"/>
    </row>
    <row r="602">
      <c r="A602" s="33"/>
      <c r="B602" s="33"/>
      <c r="C602" s="33"/>
      <c r="D602" s="33"/>
      <c r="E602" s="33"/>
      <c r="F602" s="33"/>
      <c r="G602" s="85"/>
      <c r="H602" s="85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33"/>
      <c r="Y602" s="33"/>
      <c r="Z602" s="33"/>
      <c r="AA602" s="33"/>
      <c r="AB602" s="33"/>
      <c r="AC602" s="33"/>
      <c r="AD602" s="33"/>
      <c r="AE602" s="33"/>
      <c r="AF602" s="33"/>
      <c r="AG602" s="33"/>
      <c r="AH602" s="33"/>
      <c r="AI602" s="33"/>
      <c r="AJ602" s="33"/>
      <c r="AK602" s="33"/>
      <c r="AL602" s="33"/>
      <c r="AM602" s="33"/>
      <c r="AN602" s="33"/>
      <c r="AO602" s="33"/>
      <c r="AP602" s="33"/>
      <c r="AQ602" s="33"/>
      <c r="AR602" s="33"/>
      <c r="AS602" s="33"/>
      <c r="AT602" s="33"/>
      <c r="AU602" s="33"/>
      <c r="AV602" s="33"/>
      <c r="AW602" s="33"/>
      <c r="AX602" s="33"/>
      <c r="AY602" s="33"/>
      <c r="AZ602" s="33"/>
      <c r="BA602" s="33"/>
      <c r="BB602" s="33"/>
      <c r="BC602" s="33"/>
      <c r="BD602" s="33"/>
      <c r="BE602" s="33"/>
      <c r="BF602" s="33"/>
      <c r="BG602" s="33"/>
      <c r="BH602" s="33"/>
      <c r="BI602" s="33"/>
      <c r="BJ602" s="33"/>
      <c r="BK602" s="33"/>
      <c r="BL602" s="33"/>
      <c r="BM602" s="33"/>
      <c r="BN602" s="33"/>
      <c r="BO602" s="33"/>
      <c r="BP602" s="33"/>
      <c r="BQ602" s="33"/>
      <c r="BR602" s="33"/>
      <c r="BS602" s="33"/>
      <c r="BT602" s="33"/>
      <c r="BU602" s="33"/>
      <c r="BV602" s="33"/>
      <c r="BW602" s="33"/>
      <c r="BX602" s="33"/>
      <c r="BY602" s="33"/>
      <c r="BZ602" s="33"/>
      <c r="CA602" s="33"/>
      <c r="CB602" s="33"/>
      <c r="CC602" s="33"/>
      <c r="CD602" s="33"/>
      <c r="CE602" s="33"/>
      <c r="CF602" s="33"/>
      <c r="CG602" s="33"/>
      <c r="CH602" s="33"/>
      <c r="CI602" s="33"/>
      <c r="CJ602" s="33"/>
      <c r="CK602" s="33"/>
      <c r="CL602" s="33"/>
      <c r="CM602" s="33"/>
      <c r="CN602" s="33"/>
      <c r="CO602" s="33"/>
      <c r="CP602" s="33"/>
      <c r="CQ602" s="33"/>
      <c r="CR602" s="33"/>
      <c r="CS602" s="33"/>
      <c r="CT602" s="33"/>
      <c r="CU602" s="33"/>
      <c r="CV602" s="33"/>
      <c r="CW602" s="33"/>
      <c r="CX602" s="33"/>
      <c r="CY602" s="33"/>
      <c r="CZ602" s="33"/>
      <c r="DA602" s="33"/>
      <c r="DB602" s="33"/>
      <c r="DC602" s="33"/>
      <c r="DD602" s="33"/>
      <c r="DE602" s="33"/>
      <c r="DF602" s="33"/>
      <c r="DG602" s="33"/>
      <c r="DH602" s="33"/>
      <c r="DI602" s="33"/>
      <c r="DJ602" s="33"/>
      <c r="DK602" s="33"/>
      <c r="DL602" s="33"/>
      <c r="DM602" s="33"/>
      <c r="DN602" s="33"/>
      <c r="DO602" s="33"/>
      <c r="DP602" s="33"/>
      <c r="DQ602" s="33"/>
      <c r="DR602" s="33"/>
      <c r="DS602" s="33"/>
      <c r="DT602" s="33"/>
      <c r="DU602" s="33"/>
      <c r="DV602" s="33"/>
      <c r="DW602" s="33"/>
      <c r="DX602" s="33"/>
      <c r="DY602" s="33"/>
      <c r="DZ602" s="33"/>
      <c r="EA602" s="33"/>
      <c r="EB602" s="33"/>
      <c r="EC602" s="33"/>
      <c r="ED602" s="33"/>
      <c r="EE602" s="33"/>
      <c r="EF602" s="33"/>
      <c r="EG602" s="33"/>
      <c r="EH602" s="33"/>
      <c r="EI602" s="33"/>
      <c r="EJ602" s="33"/>
      <c r="EK602" s="33"/>
      <c r="EL602" s="33"/>
      <c r="EM602" s="33"/>
      <c r="EN602" s="33"/>
      <c r="EO602" s="33"/>
      <c r="EP602" s="33"/>
      <c r="EQ602" s="33"/>
      <c r="ER602" s="33"/>
      <c r="ES602" s="33"/>
    </row>
    <row r="603">
      <c r="A603" s="33"/>
      <c r="B603" s="33"/>
      <c r="C603" s="33"/>
      <c r="D603" s="33"/>
      <c r="E603" s="33"/>
      <c r="F603" s="33"/>
      <c r="G603" s="85"/>
      <c r="H603" s="85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3"/>
      <c r="AC603" s="33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3"/>
      <c r="AP603" s="33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3"/>
      <c r="BP603" s="33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3"/>
      <c r="CC603" s="33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3"/>
      <c r="CP603" s="33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3"/>
      <c r="DC603" s="33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3"/>
      <c r="DP603" s="33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3"/>
      <c r="EC603" s="33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3"/>
      <c r="EP603" s="33"/>
      <c r="EQ603" s="33"/>
      <c r="ER603" s="33"/>
      <c r="ES603" s="33"/>
    </row>
    <row r="604">
      <c r="A604" s="33"/>
      <c r="B604" s="33"/>
      <c r="C604" s="33"/>
      <c r="D604" s="33"/>
      <c r="E604" s="33"/>
      <c r="F604" s="33"/>
      <c r="G604" s="85"/>
      <c r="H604" s="85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33"/>
      <c r="Y604" s="33"/>
      <c r="Z604" s="33"/>
      <c r="AA604" s="33"/>
      <c r="AB604" s="33"/>
      <c r="AC604" s="33"/>
      <c r="AD604" s="33"/>
      <c r="AE604" s="33"/>
      <c r="AF604" s="33"/>
      <c r="AG604" s="33"/>
      <c r="AH604" s="33"/>
      <c r="AI604" s="33"/>
      <c r="AJ604" s="33"/>
      <c r="AK604" s="33"/>
      <c r="AL604" s="33"/>
      <c r="AM604" s="33"/>
      <c r="AN604" s="33"/>
      <c r="AO604" s="33"/>
      <c r="AP604" s="33"/>
      <c r="AQ604" s="33"/>
      <c r="AR604" s="33"/>
      <c r="AS604" s="33"/>
      <c r="AT604" s="33"/>
      <c r="AU604" s="33"/>
      <c r="AV604" s="33"/>
      <c r="AW604" s="33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  <c r="BI604" s="33"/>
      <c r="BJ604" s="33"/>
      <c r="BK604" s="33"/>
      <c r="BL604" s="33"/>
      <c r="BM604" s="33"/>
      <c r="BN604" s="33"/>
      <c r="BO604" s="33"/>
      <c r="BP604" s="33"/>
      <c r="BQ604" s="33"/>
      <c r="BR604" s="33"/>
      <c r="BS604" s="33"/>
      <c r="BT604" s="33"/>
      <c r="BU604" s="33"/>
      <c r="BV604" s="33"/>
      <c r="BW604" s="33"/>
      <c r="BX604" s="33"/>
      <c r="BY604" s="33"/>
      <c r="BZ604" s="33"/>
      <c r="CA604" s="33"/>
      <c r="CB604" s="33"/>
      <c r="CC604" s="33"/>
      <c r="CD604" s="33"/>
      <c r="CE604" s="33"/>
      <c r="CF604" s="33"/>
      <c r="CG604" s="33"/>
      <c r="CH604" s="33"/>
      <c r="CI604" s="33"/>
      <c r="CJ604" s="33"/>
      <c r="CK604" s="33"/>
      <c r="CL604" s="33"/>
      <c r="CM604" s="33"/>
      <c r="CN604" s="33"/>
      <c r="CO604" s="33"/>
      <c r="CP604" s="33"/>
      <c r="CQ604" s="33"/>
      <c r="CR604" s="33"/>
      <c r="CS604" s="33"/>
      <c r="CT604" s="33"/>
      <c r="CU604" s="33"/>
      <c r="CV604" s="33"/>
      <c r="CW604" s="33"/>
      <c r="CX604" s="33"/>
      <c r="CY604" s="33"/>
      <c r="CZ604" s="33"/>
      <c r="DA604" s="33"/>
      <c r="DB604" s="33"/>
      <c r="DC604" s="33"/>
      <c r="DD604" s="33"/>
      <c r="DE604" s="33"/>
      <c r="DF604" s="33"/>
      <c r="DG604" s="33"/>
      <c r="DH604" s="33"/>
      <c r="DI604" s="33"/>
      <c r="DJ604" s="33"/>
      <c r="DK604" s="33"/>
      <c r="DL604" s="33"/>
      <c r="DM604" s="33"/>
      <c r="DN604" s="33"/>
      <c r="DO604" s="33"/>
      <c r="DP604" s="33"/>
      <c r="DQ604" s="33"/>
      <c r="DR604" s="33"/>
      <c r="DS604" s="33"/>
      <c r="DT604" s="33"/>
      <c r="DU604" s="33"/>
      <c r="DV604" s="33"/>
      <c r="DW604" s="33"/>
      <c r="DX604" s="33"/>
      <c r="DY604" s="33"/>
      <c r="DZ604" s="33"/>
      <c r="EA604" s="33"/>
      <c r="EB604" s="33"/>
      <c r="EC604" s="33"/>
      <c r="ED604" s="33"/>
      <c r="EE604" s="33"/>
      <c r="EF604" s="33"/>
      <c r="EG604" s="33"/>
      <c r="EH604" s="33"/>
      <c r="EI604" s="33"/>
      <c r="EJ604" s="33"/>
      <c r="EK604" s="33"/>
      <c r="EL604" s="33"/>
      <c r="EM604" s="33"/>
      <c r="EN604" s="33"/>
      <c r="EO604" s="33"/>
      <c r="EP604" s="33"/>
      <c r="EQ604" s="33"/>
      <c r="ER604" s="33"/>
      <c r="ES604" s="33"/>
    </row>
    <row r="605">
      <c r="A605" s="33"/>
      <c r="B605" s="33"/>
      <c r="C605" s="33"/>
      <c r="D605" s="33"/>
      <c r="E605" s="33"/>
      <c r="F605" s="33"/>
      <c r="G605" s="85"/>
      <c r="H605" s="85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3"/>
      <c r="AC605" s="33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3"/>
      <c r="AP605" s="33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3"/>
      <c r="BP605" s="33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3"/>
      <c r="CC605" s="33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3"/>
      <c r="CP605" s="33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3"/>
      <c r="DC605" s="33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3"/>
      <c r="DP605" s="33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3"/>
      <c r="EC605" s="33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3"/>
      <c r="EP605" s="33"/>
      <c r="EQ605" s="33"/>
      <c r="ER605" s="33"/>
      <c r="ES605" s="33"/>
    </row>
    <row r="606">
      <c r="A606" s="33"/>
      <c r="B606" s="33"/>
      <c r="C606" s="33"/>
      <c r="D606" s="33"/>
      <c r="E606" s="33"/>
      <c r="F606" s="33"/>
      <c r="G606" s="85"/>
      <c r="H606" s="85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33"/>
      <c r="Y606" s="33"/>
      <c r="Z606" s="33"/>
      <c r="AA606" s="33"/>
      <c r="AB606" s="33"/>
      <c r="AC606" s="33"/>
      <c r="AD606" s="33"/>
      <c r="AE606" s="33"/>
      <c r="AF606" s="33"/>
      <c r="AG606" s="33"/>
      <c r="AH606" s="33"/>
      <c r="AI606" s="33"/>
      <c r="AJ606" s="33"/>
      <c r="AK606" s="33"/>
      <c r="AL606" s="33"/>
      <c r="AM606" s="33"/>
      <c r="AN606" s="33"/>
      <c r="AO606" s="33"/>
      <c r="AP606" s="33"/>
      <c r="AQ606" s="33"/>
      <c r="AR606" s="33"/>
      <c r="AS606" s="33"/>
      <c r="AT606" s="33"/>
      <c r="AU606" s="33"/>
      <c r="AV606" s="33"/>
      <c r="AW606" s="33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  <c r="BI606" s="33"/>
      <c r="BJ606" s="33"/>
      <c r="BK606" s="33"/>
      <c r="BL606" s="33"/>
      <c r="BM606" s="33"/>
      <c r="BN606" s="33"/>
      <c r="BO606" s="33"/>
      <c r="BP606" s="33"/>
      <c r="BQ606" s="33"/>
      <c r="BR606" s="33"/>
      <c r="BS606" s="33"/>
      <c r="BT606" s="33"/>
      <c r="BU606" s="33"/>
      <c r="BV606" s="33"/>
      <c r="BW606" s="33"/>
      <c r="BX606" s="33"/>
      <c r="BY606" s="33"/>
      <c r="BZ606" s="33"/>
      <c r="CA606" s="33"/>
      <c r="CB606" s="33"/>
      <c r="CC606" s="33"/>
      <c r="CD606" s="33"/>
      <c r="CE606" s="33"/>
      <c r="CF606" s="33"/>
      <c r="CG606" s="33"/>
      <c r="CH606" s="33"/>
      <c r="CI606" s="33"/>
      <c r="CJ606" s="33"/>
      <c r="CK606" s="33"/>
      <c r="CL606" s="33"/>
      <c r="CM606" s="33"/>
      <c r="CN606" s="33"/>
      <c r="CO606" s="33"/>
      <c r="CP606" s="33"/>
      <c r="CQ606" s="33"/>
      <c r="CR606" s="33"/>
      <c r="CS606" s="33"/>
      <c r="CT606" s="33"/>
      <c r="CU606" s="33"/>
      <c r="CV606" s="33"/>
      <c r="CW606" s="33"/>
      <c r="CX606" s="33"/>
      <c r="CY606" s="33"/>
      <c r="CZ606" s="33"/>
      <c r="DA606" s="33"/>
      <c r="DB606" s="33"/>
      <c r="DC606" s="33"/>
      <c r="DD606" s="33"/>
      <c r="DE606" s="33"/>
      <c r="DF606" s="33"/>
      <c r="DG606" s="33"/>
      <c r="DH606" s="33"/>
      <c r="DI606" s="33"/>
      <c r="DJ606" s="33"/>
      <c r="DK606" s="33"/>
      <c r="DL606" s="33"/>
      <c r="DM606" s="33"/>
      <c r="DN606" s="33"/>
      <c r="DO606" s="33"/>
      <c r="DP606" s="33"/>
      <c r="DQ606" s="33"/>
      <c r="DR606" s="33"/>
      <c r="DS606" s="33"/>
      <c r="DT606" s="33"/>
      <c r="DU606" s="33"/>
      <c r="DV606" s="33"/>
      <c r="DW606" s="33"/>
      <c r="DX606" s="33"/>
      <c r="DY606" s="33"/>
      <c r="DZ606" s="33"/>
      <c r="EA606" s="33"/>
      <c r="EB606" s="33"/>
      <c r="EC606" s="33"/>
      <c r="ED606" s="33"/>
      <c r="EE606" s="33"/>
      <c r="EF606" s="33"/>
      <c r="EG606" s="33"/>
      <c r="EH606" s="33"/>
      <c r="EI606" s="33"/>
      <c r="EJ606" s="33"/>
      <c r="EK606" s="33"/>
      <c r="EL606" s="33"/>
      <c r="EM606" s="33"/>
      <c r="EN606" s="33"/>
      <c r="EO606" s="33"/>
      <c r="EP606" s="33"/>
      <c r="EQ606" s="33"/>
      <c r="ER606" s="33"/>
      <c r="ES606" s="33"/>
    </row>
    <row r="607">
      <c r="A607" s="33"/>
      <c r="B607" s="33"/>
      <c r="C607" s="33"/>
      <c r="D607" s="33"/>
      <c r="E607" s="33"/>
      <c r="F607" s="33"/>
      <c r="G607" s="85"/>
      <c r="H607" s="85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33"/>
      <c r="Y607" s="33"/>
      <c r="Z607" s="33"/>
      <c r="AA607" s="33"/>
      <c r="AB607" s="33"/>
      <c r="AC607" s="33"/>
      <c r="AD607" s="33"/>
      <c r="AE607" s="33"/>
      <c r="AF607" s="33"/>
      <c r="AG607" s="33"/>
      <c r="AH607" s="33"/>
      <c r="AI607" s="33"/>
      <c r="AJ607" s="33"/>
      <c r="AK607" s="33"/>
      <c r="AL607" s="33"/>
      <c r="AM607" s="33"/>
      <c r="AN607" s="33"/>
      <c r="AO607" s="33"/>
      <c r="AP607" s="33"/>
      <c r="AQ607" s="33"/>
      <c r="AR607" s="33"/>
      <c r="AS607" s="33"/>
      <c r="AT607" s="33"/>
      <c r="AU607" s="33"/>
      <c r="AV607" s="33"/>
      <c r="AW607" s="33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  <c r="BI607" s="33"/>
      <c r="BJ607" s="33"/>
      <c r="BK607" s="33"/>
      <c r="BL607" s="33"/>
      <c r="BM607" s="33"/>
      <c r="BN607" s="33"/>
      <c r="BO607" s="33"/>
      <c r="BP607" s="33"/>
      <c r="BQ607" s="33"/>
      <c r="BR607" s="33"/>
      <c r="BS607" s="33"/>
      <c r="BT607" s="33"/>
      <c r="BU607" s="33"/>
      <c r="BV607" s="33"/>
      <c r="BW607" s="33"/>
      <c r="BX607" s="33"/>
      <c r="BY607" s="33"/>
      <c r="BZ607" s="33"/>
      <c r="CA607" s="33"/>
      <c r="CB607" s="33"/>
      <c r="CC607" s="33"/>
      <c r="CD607" s="33"/>
      <c r="CE607" s="33"/>
      <c r="CF607" s="33"/>
      <c r="CG607" s="33"/>
      <c r="CH607" s="33"/>
      <c r="CI607" s="33"/>
      <c r="CJ607" s="33"/>
      <c r="CK607" s="33"/>
      <c r="CL607" s="33"/>
      <c r="CM607" s="33"/>
      <c r="CN607" s="33"/>
      <c r="CO607" s="33"/>
      <c r="CP607" s="33"/>
      <c r="CQ607" s="33"/>
      <c r="CR607" s="33"/>
      <c r="CS607" s="33"/>
      <c r="CT607" s="33"/>
      <c r="CU607" s="33"/>
      <c r="CV607" s="33"/>
      <c r="CW607" s="33"/>
      <c r="CX607" s="33"/>
      <c r="CY607" s="33"/>
      <c r="CZ607" s="33"/>
      <c r="DA607" s="33"/>
      <c r="DB607" s="33"/>
      <c r="DC607" s="33"/>
      <c r="DD607" s="33"/>
      <c r="DE607" s="33"/>
      <c r="DF607" s="33"/>
      <c r="DG607" s="33"/>
      <c r="DH607" s="33"/>
      <c r="DI607" s="33"/>
      <c r="DJ607" s="33"/>
      <c r="DK607" s="33"/>
      <c r="DL607" s="33"/>
      <c r="DM607" s="33"/>
      <c r="DN607" s="33"/>
      <c r="DO607" s="33"/>
      <c r="DP607" s="33"/>
      <c r="DQ607" s="33"/>
      <c r="DR607" s="33"/>
      <c r="DS607" s="33"/>
      <c r="DT607" s="33"/>
      <c r="DU607" s="33"/>
      <c r="DV607" s="33"/>
      <c r="DW607" s="33"/>
      <c r="DX607" s="33"/>
      <c r="DY607" s="33"/>
      <c r="DZ607" s="33"/>
      <c r="EA607" s="33"/>
      <c r="EB607" s="33"/>
      <c r="EC607" s="33"/>
      <c r="ED607" s="33"/>
      <c r="EE607" s="33"/>
      <c r="EF607" s="33"/>
      <c r="EG607" s="33"/>
      <c r="EH607" s="33"/>
      <c r="EI607" s="33"/>
      <c r="EJ607" s="33"/>
      <c r="EK607" s="33"/>
      <c r="EL607" s="33"/>
      <c r="EM607" s="33"/>
      <c r="EN607" s="33"/>
      <c r="EO607" s="33"/>
      <c r="EP607" s="33"/>
      <c r="EQ607" s="33"/>
      <c r="ER607" s="33"/>
      <c r="ES607" s="33"/>
    </row>
    <row r="608">
      <c r="A608" s="33"/>
      <c r="B608" s="33"/>
      <c r="C608" s="33"/>
      <c r="D608" s="33"/>
      <c r="E608" s="33"/>
      <c r="F608" s="33"/>
      <c r="G608" s="85"/>
      <c r="H608" s="85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33"/>
      <c r="Y608" s="33"/>
      <c r="Z608" s="33"/>
      <c r="AA608" s="33"/>
      <c r="AB608" s="33"/>
      <c r="AC608" s="33"/>
      <c r="AD608" s="33"/>
      <c r="AE608" s="33"/>
      <c r="AF608" s="33"/>
      <c r="AG608" s="33"/>
      <c r="AH608" s="33"/>
      <c r="AI608" s="33"/>
      <c r="AJ608" s="33"/>
      <c r="AK608" s="33"/>
      <c r="AL608" s="33"/>
      <c r="AM608" s="33"/>
      <c r="AN608" s="33"/>
      <c r="AO608" s="33"/>
      <c r="AP608" s="33"/>
      <c r="AQ608" s="33"/>
      <c r="AR608" s="33"/>
      <c r="AS608" s="33"/>
      <c r="AT608" s="33"/>
      <c r="AU608" s="33"/>
      <c r="AV608" s="33"/>
      <c r="AW608" s="33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  <c r="BI608" s="33"/>
      <c r="BJ608" s="33"/>
      <c r="BK608" s="33"/>
      <c r="BL608" s="33"/>
      <c r="BM608" s="33"/>
      <c r="BN608" s="33"/>
      <c r="BO608" s="33"/>
      <c r="BP608" s="33"/>
      <c r="BQ608" s="33"/>
      <c r="BR608" s="33"/>
      <c r="BS608" s="33"/>
      <c r="BT608" s="33"/>
      <c r="BU608" s="33"/>
      <c r="BV608" s="33"/>
      <c r="BW608" s="33"/>
      <c r="BX608" s="33"/>
      <c r="BY608" s="33"/>
      <c r="BZ608" s="33"/>
      <c r="CA608" s="33"/>
      <c r="CB608" s="33"/>
      <c r="CC608" s="33"/>
      <c r="CD608" s="33"/>
      <c r="CE608" s="33"/>
      <c r="CF608" s="33"/>
      <c r="CG608" s="33"/>
      <c r="CH608" s="33"/>
      <c r="CI608" s="33"/>
      <c r="CJ608" s="33"/>
      <c r="CK608" s="33"/>
      <c r="CL608" s="33"/>
      <c r="CM608" s="33"/>
      <c r="CN608" s="33"/>
      <c r="CO608" s="33"/>
      <c r="CP608" s="33"/>
      <c r="CQ608" s="33"/>
      <c r="CR608" s="33"/>
      <c r="CS608" s="33"/>
      <c r="CT608" s="33"/>
      <c r="CU608" s="33"/>
      <c r="CV608" s="33"/>
      <c r="CW608" s="33"/>
      <c r="CX608" s="33"/>
      <c r="CY608" s="33"/>
      <c r="CZ608" s="33"/>
      <c r="DA608" s="33"/>
      <c r="DB608" s="33"/>
      <c r="DC608" s="33"/>
      <c r="DD608" s="33"/>
      <c r="DE608" s="33"/>
      <c r="DF608" s="33"/>
      <c r="DG608" s="33"/>
      <c r="DH608" s="33"/>
      <c r="DI608" s="33"/>
      <c r="DJ608" s="33"/>
      <c r="DK608" s="33"/>
      <c r="DL608" s="33"/>
      <c r="DM608" s="33"/>
      <c r="DN608" s="33"/>
      <c r="DO608" s="33"/>
      <c r="DP608" s="33"/>
      <c r="DQ608" s="33"/>
      <c r="DR608" s="33"/>
      <c r="DS608" s="33"/>
      <c r="DT608" s="33"/>
      <c r="DU608" s="33"/>
      <c r="DV608" s="33"/>
      <c r="DW608" s="33"/>
      <c r="DX608" s="33"/>
      <c r="DY608" s="33"/>
      <c r="DZ608" s="33"/>
      <c r="EA608" s="33"/>
      <c r="EB608" s="33"/>
      <c r="EC608" s="33"/>
      <c r="ED608" s="33"/>
      <c r="EE608" s="33"/>
      <c r="EF608" s="33"/>
      <c r="EG608" s="33"/>
      <c r="EH608" s="33"/>
      <c r="EI608" s="33"/>
      <c r="EJ608" s="33"/>
      <c r="EK608" s="33"/>
      <c r="EL608" s="33"/>
      <c r="EM608" s="33"/>
      <c r="EN608" s="33"/>
      <c r="EO608" s="33"/>
      <c r="EP608" s="33"/>
      <c r="EQ608" s="33"/>
      <c r="ER608" s="33"/>
      <c r="ES608" s="33"/>
    </row>
    <row r="609">
      <c r="A609" s="33"/>
      <c r="B609" s="33"/>
      <c r="C609" s="33"/>
      <c r="D609" s="33"/>
      <c r="E609" s="33"/>
      <c r="F609" s="33"/>
      <c r="G609" s="85"/>
      <c r="H609" s="85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33"/>
      <c r="Y609" s="33"/>
      <c r="Z609" s="33"/>
      <c r="AA609" s="33"/>
      <c r="AB609" s="33"/>
      <c r="AC609" s="33"/>
      <c r="AD609" s="33"/>
      <c r="AE609" s="33"/>
      <c r="AF609" s="33"/>
      <c r="AG609" s="33"/>
      <c r="AH609" s="33"/>
      <c r="AI609" s="33"/>
      <c r="AJ609" s="33"/>
      <c r="AK609" s="33"/>
      <c r="AL609" s="33"/>
      <c r="AM609" s="33"/>
      <c r="AN609" s="33"/>
      <c r="AO609" s="33"/>
      <c r="AP609" s="33"/>
      <c r="AQ609" s="33"/>
      <c r="AR609" s="33"/>
      <c r="AS609" s="33"/>
      <c r="AT609" s="33"/>
      <c r="AU609" s="33"/>
      <c r="AV609" s="33"/>
      <c r="AW609" s="33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  <c r="BI609" s="33"/>
      <c r="BJ609" s="33"/>
      <c r="BK609" s="33"/>
      <c r="BL609" s="33"/>
      <c r="BM609" s="33"/>
      <c r="BN609" s="33"/>
      <c r="BO609" s="33"/>
      <c r="BP609" s="33"/>
      <c r="BQ609" s="33"/>
      <c r="BR609" s="33"/>
      <c r="BS609" s="33"/>
      <c r="BT609" s="33"/>
      <c r="BU609" s="33"/>
      <c r="BV609" s="33"/>
      <c r="BW609" s="33"/>
      <c r="BX609" s="33"/>
      <c r="BY609" s="33"/>
      <c r="BZ609" s="33"/>
      <c r="CA609" s="33"/>
      <c r="CB609" s="33"/>
      <c r="CC609" s="33"/>
      <c r="CD609" s="33"/>
      <c r="CE609" s="33"/>
      <c r="CF609" s="33"/>
      <c r="CG609" s="33"/>
      <c r="CH609" s="33"/>
      <c r="CI609" s="33"/>
      <c r="CJ609" s="33"/>
      <c r="CK609" s="33"/>
      <c r="CL609" s="33"/>
      <c r="CM609" s="33"/>
      <c r="CN609" s="33"/>
      <c r="CO609" s="33"/>
      <c r="CP609" s="33"/>
      <c r="CQ609" s="33"/>
      <c r="CR609" s="33"/>
      <c r="CS609" s="33"/>
      <c r="CT609" s="33"/>
      <c r="CU609" s="33"/>
      <c r="CV609" s="33"/>
      <c r="CW609" s="33"/>
      <c r="CX609" s="33"/>
      <c r="CY609" s="33"/>
      <c r="CZ609" s="33"/>
      <c r="DA609" s="33"/>
      <c r="DB609" s="33"/>
      <c r="DC609" s="33"/>
      <c r="DD609" s="33"/>
      <c r="DE609" s="33"/>
      <c r="DF609" s="33"/>
      <c r="DG609" s="33"/>
      <c r="DH609" s="33"/>
      <c r="DI609" s="33"/>
      <c r="DJ609" s="33"/>
      <c r="DK609" s="33"/>
      <c r="DL609" s="33"/>
      <c r="DM609" s="33"/>
      <c r="DN609" s="33"/>
      <c r="DO609" s="33"/>
      <c r="DP609" s="33"/>
      <c r="DQ609" s="33"/>
      <c r="DR609" s="33"/>
      <c r="DS609" s="33"/>
      <c r="DT609" s="33"/>
      <c r="DU609" s="33"/>
      <c r="DV609" s="33"/>
      <c r="DW609" s="33"/>
      <c r="DX609" s="33"/>
      <c r="DY609" s="33"/>
      <c r="DZ609" s="33"/>
      <c r="EA609" s="33"/>
      <c r="EB609" s="33"/>
      <c r="EC609" s="33"/>
      <c r="ED609" s="33"/>
      <c r="EE609" s="33"/>
      <c r="EF609" s="33"/>
      <c r="EG609" s="33"/>
      <c r="EH609" s="33"/>
      <c r="EI609" s="33"/>
      <c r="EJ609" s="33"/>
      <c r="EK609" s="33"/>
      <c r="EL609" s="33"/>
      <c r="EM609" s="33"/>
      <c r="EN609" s="33"/>
      <c r="EO609" s="33"/>
      <c r="EP609" s="33"/>
      <c r="EQ609" s="33"/>
      <c r="ER609" s="33"/>
      <c r="ES609" s="33"/>
    </row>
    <row r="610">
      <c r="A610" s="33"/>
      <c r="B610" s="33"/>
      <c r="C610" s="33"/>
      <c r="D610" s="33"/>
      <c r="E610" s="33"/>
      <c r="F610" s="33"/>
      <c r="G610" s="85"/>
      <c r="H610" s="85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33"/>
      <c r="Y610" s="33"/>
      <c r="Z610" s="33"/>
      <c r="AA610" s="33"/>
      <c r="AB610" s="33"/>
      <c r="AC610" s="33"/>
      <c r="AD610" s="33"/>
      <c r="AE610" s="33"/>
      <c r="AF610" s="33"/>
      <c r="AG610" s="33"/>
      <c r="AH610" s="33"/>
      <c r="AI610" s="33"/>
      <c r="AJ610" s="33"/>
      <c r="AK610" s="33"/>
      <c r="AL610" s="33"/>
      <c r="AM610" s="33"/>
      <c r="AN610" s="33"/>
      <c r="AO610" s="33"/>
      <c r="AP610" s="33"/>
      <c r="AQ610" s="33"/>
      <c r="AR610" s="33"/>
      <c r="AS610" s="33"/>
      <c r="AT610" s="33"/>
      <c r="AU610" s="33"/>
      <c r="AV610" s="33"/>
      <c r="AW610" s="33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  <c r="BI610" s="33"/>
      <c r="BJ610" s="33"/>
      <c r="BK610" s="33"/>
      <c r="BL610" s="33"/>
      <c r="BM610" s="33"/>
      <c r="BN610" s="33"/>
      <c r="BO610" s="33"/>
      <c r="BP610" s="33"/>
      <c r="BQ610" s="33"/>
      <c r="BR610" s="33"/>
      <c r="BS610" s="33"/>
      <c r="BT610" s="33"/>
      <c r="BU610" s="33"/>
      <c r="BV610" s="33"/>
      <c r="BW610" s="33"/>
      <c r="BX610" s="33"/>
      <c r="BY610" s="33"/>
      <c r="BZ610" s="33"/>
      <c r="CA610" s="33"/>
      <c r="CB610" s="33"/>
      <c r="CC610" s="33"/>
      <c r="CD610" s="33"/>
      <c r="CE610" s="33"/>
      <c r="CF610" s="33"/>
      <c r="CG610" s="33"/>
      <c r="CH610" s="33"/>
      <c r="CI610" s="33"/>
      <c r="CJ610" s="33"/>
      <c r="CK610" s="33"/>
      <c r="CL610" s="33"/>
      <c r="CM610" s="33"/>
      <c r="CN610" s="33"/>
      <c r="CO610" s="33"/>
      <c r="CP610" s="33"/>
      <c r="CQ610" s="33"/>
      <c r="CR610" s="33"/>
      <c r="CS610" s="33"/>
      <c r="CT610" s="33"/>
      <c r="CU610" s="33"/>
      <c r="CV610" s="33"/>
      <c r="CW610" s="33"/>
      <c r="CX610" s="33"/>
      <c r="CY610" s="33"/>
      <c r="CZ610" s="33"/>
      <c r="DA610" s="33"/>
      <c r="DB610" s="33"/>
      <c r="DC610" s="33"/>
      <c r="DD610" s="33"/>
      <c r="DE610" s="33"/>
      <c r="DF610" s="33"/>
      <c r="DG610" s="33"/>
      <c r="DH610" s="33"/>
      <c r="DI610" s="33"/>
      <c r="DJ610" s="33"/>
      <c r="DK610" s="33"/>
      <c r="DL610" s="33"/>
      <c r="DM610" s="33"/>
      <c r="DN610" s="33"/>
      <c r="DO610" s="33"/>
      <c r="DP610" s="33"/>
      <c r="DQ610" s="33"/>
      <c r="DR610" s="33"/>
      <c r="DS610" s="33"/>
      <c r="DT610" s="33"/>
      <c r="DU610" s="33"/>
      <c r="DV610" s="33"/>
      <c r="DW610" s="33"/>
      <c r="DX610" s="33"/>
      <c r="DY610" s="33"/>
      <c r="DZ610" s="33"/>
      <c r="EA610" s="33"/>
      <c r="EB610" s="33"/>
      <c r="EC610" s="33"/>
      <c r="ED610" s="33"/>
      <c r="EE610" s="33"/>
      <c r="EF610" s="33"/>
      <c r="EG610" s="33"/>
      <c r="EH610" s="33"/>
      <c r="EI610" s="33"/>
      <c r="EJ610" s="33"/>
      <c r="EK610" s="33"/>
      <c r="EL610" s="33"/>
      <c r="EM610" s="33"/>
      <c r="EN610" s="33"/>
      <c r="EO610" s="33"/>
      <c r="EP610" s="33"/>
      <c r="EQ610" s="33"/>
      <c r="ER610" s="33"/>
      <c r="ES610" s="33"/>
    </row>
    <row r="611">
      <c r="A611" s="33"/>
      <c r="B611" s="33"/>
      <c r="C611" s="33"/>
      <c r="D611" s="33"/>
      <c r="E611" s="33"/>
      <c r="F611" s="33"/>
      <c r="G611" s="85"/>
      <c r="H611" s="85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33"/>
      <c r="Y611" s="33"/>
      <c r="Z611" s="33"/>
      <c r="AA611" s="33"/>
      <c r="AB611" s="33"/>
      <c r="AC611" s="33"/>
      <c r="AD611" s="33"/>
      <c r="AE611" s="33"/>
      <c r="AF611" s="33"/>
      <c r="AG611" s="33"/>
      <c r="AH611" s="33"/>
      <c r="AI611" s="33"/>
      <c r="AJ611" s="33"/>
      <c r="AK611" s="33"/>
      <c r="AL611" s="33"/>
      <c r="AM611" s="33"/>
      <c r="AN611" s="33"/>
      <c r="AO611" s="33"/>
      <c r="AP611" s="33"/>
      <c r="AQ611" s="33"/>
      <c r="AR611" s="33"/>
      <c r="AS611" s="33"/>
      <c r="AT611" s="33"/>
      <c r="AU611" s="33"/>
      <c r="AV611" s="33"/>
      <c r="AW611" s="33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  <c r="BI611" s="33"/>
      <c r="BJ611" s="33"/>
      <c r="BK611" s="33"/>
      <c r="BL611" s="33"/>
      <c r="BM611" s="33"/>
      <c r="BN611" s="33"/>
      <c r="BO611" s="33"/>
      <c r="BP611" s="33"/>
      <c r="BQ611" s="33"/>
      <c r="BR611" s="33"/>
      <c r="BS611" s="33"/>
      <c r="BT611" s="33"/>
      <c r="BU611" s="33"/>
      <c r="BV611" s="33"/>
      <c r="BW611" s="33"/>
      <c r="BX611" s="33"/>
      <c r="BY611" s="33"/>
      <c r="BZ611" s="33"/>
      <c r="CA611" s="33"/>
      <c r="CB611" s="33"/>
      <c r="CC611" s="33"/>
      <c r="CD611" s="33"/>
      <c r="CE611" s="33"/>
      <c r="CF611" s="33"/>
      <c r="CG611" s="33"/>
      <c r="CH611" s="33"/>
      <c r="CI611" s="33"/>
      <c r="CJ611" s="33"/>
      <c r="CK611" s="33"/>
      <c r="CL611" s="33"/>
      <c r="CM611" s="33"/>
      <c r="CN611" s="33"/>
      <c r="CO611" s="33"/>
      <c r="CP611" s="33"/>
      <c r="CQ611" s="33"/>
      <c r="CR611" s="33"/>
      <c r="CS611" s="33"/>
      <c r="CT611" s="33"/>
      <c r="CU611" s="33"/>
      <c r="CV611" s="33"/>
      <c r="CW611" s="33"/>
      <c r="CX611" s="33"/>
      <c r="CY611" s="33"/>
      <c r="CZ611" s="33"/>
      <c r="DA611" s="33"/>
      <c r="DB611" s="33"/>
      <c r="DC611" s="33"/>
      <c r="DD611" s="33"/>
      <c r="DE611" s="33"/>
      <c r="DF611" s="33"/>
      <c r="DG611" s="33"/>
      <c r="DH611" s="33"/>
      <c r="DI611" s="33"/>
      <c r="DJ611" s="33"/>
      <c r="DK611" s="33"/>
      <c r="DL611" s="33"/>
      <c r="DM611" s="33"/>
      <c r="DN611" s="33"/>
      <c r="DO611" s="33"/>
      <c r="DP611" s="33"/>
      <c r="DQ611" s="33"/>
      <c r="DR611" s="33"/>
      <c r="DS611" s="33"/>
      <c r="DT611" s="33"/>
      <c r="DU611" s="33"/>
      <c r="DV611" s="33"/>
      <c r="DW611" s="33"/>
      <c r="DX611" s="33"/>
      <c r="DY611" s="33"/>
      <c r="DZ611" s="33"/>
      <c r="EA611" s="33"/>
      <c r="EB611" s="33"/>
      <c r="EC611" s="33"/>
      <c r="ED611" s="33"/>
      <c r="EE611" s="33"/>
      <c r="EF611" s="33"/>
      <c r="EG611" s="33"/>
      <c r="EH611" s="33"/>
      <c r="EI611" s="33"/>
      <c r="EJ611" s="33"/>
      <c r="EK611" s="33"/>
      <c r="EL611" s="33"/>
      <c r="EM611" s="33"/>
      <c r="EN611" s="33"/>
      <c r="EO611" s="33"/>
      <c r="EP611" s="33"/>
      <c r="EQ611" s="33"/>
      <c r="ER611" s="33"/>
      <c r="ES611" s="33"/>
    </row>
    <row r="612">
      <c r="A612" s="33"/>
      <c r="B612" s="33"/>
      <c r="C612" s="33"/>
      <c r="D612" s="33"/>
      <c r="E612" s="33"/>
      <c r="F612" s="33"/>
      <c r="G612" s="85"/>
      <c r="H612" s="85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33"/>
      <c r="Y612" s="33"/>
      <c r="Z612" s="33"/>
      <c r="AA612" s="33"/>
      <c r="AB612" s="33"/>
      <c r="AC612" s="33"/>
      <c r="AD612" s="33"/>
      <c r="AE612" s="33"/>
      <c r="AF612" s="33"/>
      <c r="AG612" s="33"/>
      <c r="AH612" s="33"/>
      <c r="AI612" s="33"/>
      <c r="AJ612" s="33"/>
      <c r="AK612" s="33"/>
      <c r="AL612" s="33"/>
      <c r="AM612" s="33"/>
      <c r="AN612" s="33"/>
      <c r="AO612" s="33"/>
      <c r="AP612" s="33"/>
      <c r="AQ612" s="33"/>
      <c r="AR612" s="33"/>
      <c r="AS612" s="33"/>
      <c r="AT612" s="33"/>
      <c r="AU612" s="33"/>
      <c r="AV612" s="33"/>
      <c r="AW612" s="33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  <c r="BI612" s="33"/>
      <c r="BJ612" s="33"/>
      <c r="BK612" s="33"/>
      <c r="BL612" s="33"/>
      <c r="BM612" s="33"/>
      <c r="BN612" s="33"/>
      <c r="BO612" s="33"/>
      <c r="BP612" s="33"/>
      <c r="BQ612" s="33"/>
      <c r="BR612" s="33"/>
      <c r="BS612" s="33"/>
      <c r="BT612" s="33"/>
      <c r="BU612" s="33"/>
      <c r="BV612" s="33"/>
      <c r="BW612" s="33"/>
      <c r="BX612" s="33"/>
      <c r="BY612" s="33"/>
      <c r="BZ612" s="33"/>
      <c r="CA612" s="33"/>
      <c r="CB612" s="33"/>
      <c r="CC612" s="33"/>
      <c r="CD612" s="33"/>
      <c r="CE612" s="33"/>
      <c r="CF612" s="33"/>
      <c r="CG612" s="33"/>
      <c r="CH612" s="33"/>
      <c r="CI612" s="33"/>
      <c r="CJ612" s="33"/>
      <c r="CK612" s="33"/>
      <c r="CL612" s="33"/>
      <c r="CM612" s="33"/>
      <c r="CN612" s="33"/>
      <c r="CO612" s="33"/>
      <c r="CP612" s="33"/>
      <c r="CQ612" s="33"/>
      <c r="CR612" s="33"/>
      <c r="CS612" s="33"/>
      <c r="CT612" s="33"/>
      <c r="CU612" s="33"/>
      <c r="CV612" s="33"/>
      <c r="CW612" s="33"/>
      <c r="CX612" s="33"/>
      <c r="CY612" s="33"/>
      <c r="CZ612" s="33"/>
      <c r="DA612" s="33"/>
      <c r="DB612" s="33"/>
      <c r="DC612" s="33"/>
      <c r="DD612" s="33"/>
      <c r="DE612" s="33"/>
      <c r="DF612" s="33"/>
      <c r="DG612" s="33"/>
      <c r="DH612" s="33"/>
      <c r="DI612" s="33"/>
      <c r="DJ612" s="33"/>
      <c r="DK612" s="33"/>
      <c r="DL612" s="33"/>
      <c r="DM612" s="33"/>
      <c r="DN612" s="33"/>
      <c r="DO612" s="33"/>
      <c r="DP612" s="33"/>
      <c r="DQ612" s="33"/>
      <c r="DR612" s="33"/>
      <c r="DS612" s="33"/>
      <c r="DT612" s="33"/>
      <c r="DU612" s="33"/>
      <c r="DV612" s="33"/>
      <c r="DW612" s="33"/>
      <c r="DX612" s="33"/>
      <c r="DY612" s="33"/>
      <c r="DZ612" s="33"/>
      <c r="EA612" s="33"/>
      <c r="EB612" s="33"/>
      <c r="EC612" s="33"/>
      <c r="ED612" s="33"/>
      <c r="EE612" s="33"/>
      <c r="EF612" s="33"/>
      <c r="EG612" s="33"/>
      <c r="EH612" s="33"/>
      <c r="EI612" s="33"/>
      <c r="EJ612" s="33"/>
      <c r="EK612" s="33"/>
      <c r="EL612" s="33"/>
      <c r="EM612" s="33"/>
      <c r="EN612" s="33"/>
      <c r="EO612" s="33"/>
      <c r="EP612" s="33"/>
      <c r="EQ612" s="33"/>
      <c r="ER612" s="33"/>
      <c r="ES612" s="33"/>
    </row>
    <row r="613">
      <c r="A613" s="33"/>
      <c r="B613" s="33"/>
      <c r="C613" s="33"/>
      <c r="D613" s="33"/>
      <c r="E613" s="33"/>
      <c r="F613" s="33"/>
      <c r="G613" s="85"/>
      <c r="H613" s="85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33"/>
      <c r="Y613" s="33"/>
      <c r="Z613" s="33"/>
      <c r="AA613" s="33"/>
      <c r="AB613" s="33"/>
      <c r="AC613" s="33"/>
      <c r="AD613" s="33"/>
      <c r="AE613" s="33"/>
      <c r="AF613" s="33"/>
      <c r="AG613" s="33"/>
      <c r="AH613" s="33"/>
      <c r="AI613" s="33"/>
      <c r="AJ613" s="33"/>
      <c r="AK613" s="33"/>
      <c r="AL613" s="33"/>
      <c r="AM613" s="33"/>
      <c r="AN613" s="33"/>
      <c r="AO613" s="33"/>
      <c r="AP613" s="33"/>
      <c r="AQ613" s="33"/>
      <c r="AR613" s="33"/>
      <c r="AS613" s="33"/>
      <c r="AT613" s="33"/>
      <c r="AU613" s="33"/>
      <c r="AV613" s="33"/>
      <c r="AW613" s="33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  <c r="BI613" s="33"/>
      <c r="BJ613" s="33"/>
      <c r="BK613" s="33"/>
      <c r="BL613" s="33"/>
      <c r="BM613" s="33"/>
      <c r="BN613" s="33"/>
      <c r="BO613" s="33"/>
      <c r="BP613" s="33"/>
      <c r="BQ613" s="33"/>
      <c r="BR613" s="33"/>
      <c r="BS613" s="33"/>
      <c r="BT613" s="33"/>
      <c r="BU613" s="33"/>
      <c r="BV613" s="33"/>
      <c r="BW613" s="33"/>
      <c r="BX613" s="33"/>
      <c r="BY613" s="33"/>
      <c r="BZ613" s="33"/>
      <c r="CA613" s="33"/>
      <c r="CB613" s="33"/>
      <c r="CC613" s="33"/>
      <c r="CD613" s="33"/>
      <c r="CE613" s="33"/>
      <c r="CF613" s="33"/>
      <c r="CG613" s="33"/>
      <c r="CH613" s="33"/>
      <c r="CI613" s="33"/>
      <c r="CJ613" s="33"/>
      <c r="CK613" s="33"/>
      <c r="CL613" s="33"/>
      <c r="CM613" s="33"/>
      <c r="CN613" s="33"/>
      <c r="CO613" s="33"/>
      <c r="CP613" s="33"/>
      <c r="CQ613" s="33"/>
      <c r="CR613" s="33"/>
      <c r="CS613" s="33"/>
      <c r="CT613" s="33"/>
      <c r="CU613" s="33"/>
      <c r="CV613" s="33"/>
      <c r="CW613" s="33"/>
      <c r="CX613" s="33"/>
      <c r="CY613" s="33"/>
      <c r="CZ613" s="33"/>
      <c r="DA613" s="33"/>
      <c r="DB613" s="33"/>
      <c r="DC613" s="33"/>
      <c r="DD613" s="33"/>
      <c r="DE613" s="33"/>
      <c r="DF613" s="33"/>
      <c r="DG613" s="33"/>
      <c r="DH613" s="33"/>
      <c r="DI613" s="33"/>
      <c r="DJ613" s="33"/>
      <c r="DK613" s="33"/>
      <c r="DL613" s="33"/>
      <c r="DM613" s="33"/>
      <c r="DN613" s="33"/>
      <c r="DO613" s="33"/>
      <c r="DP613" s="33"/>
      <c r="DQ613" s="33"/>
      <c r="DR613" s="33"/>
      <c r="DS613" s="33"/>
      <c r="DT613" s="33"/>
      <c r="DU613" s="33"/>
      <c r="DV613" s="33"/>
      <c r="DW613" s="33"/>
      <c r="DX613" s="33"/>
      <c r="DY613" s="33"/>
      <c r="DZ613" s="33"/>
      <c r="EA613" s="33"/>
      <c r="EB613" s="33"/>
      <c r="EC613" s="33"/>
      <c r="ED613" s="33"/>
      <c r="EE613" s="33"/>
      <c r="EF613" s="33"/>
      <c r="EG613" s="33"/>
      <c r="EH613" s="33"/>
      <c r="EI613" s="33"/>
      <c r="EJ613" s="33"/>
      <c r="EK613" s="33"/>
      <c r="EL613" s="33"/>
      <c r="EM613" s="33"/>
      <c r="EN613" s="33"/>
      <c r="EO613" s="33"/>
      <c r="EP613" s="33"/>
      <c r="EQ613" s="33"/>
      <c r="ER613" s="33"/>
      <c r="ES613" s="33"/>
    </row>
    <row r="614">
      <c r="A614" s="33"/>
      <c r="B614" s="33"/>
      <c r="C614" s="33"/>
      <c r="D614" s="33"/>
      <c r="E614" s="33"/>
      <c r="F614" s="33"/>
      <c r="G614" s="85"/>
      <c r="H614" s="85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33"/>
      <c r="Y614" s="33"/>
      <c r="Z614" s="33"/>
      <c r="AA614" s="33"/>
      <c r="AB614" s="33"/>
      <c r="AC614" s="33"/>
      <c r="AD614" s="33"/>
      <c r="AE614" s="33"/>
      <c r="AF614" s="33"/>
      <c r="AG614" s="33"/>
      <c r="AH614" s="33"/>
      <c r="AI614" s="33"/>
      <c r="AJ614" s="33"/>
      <c r="AK614" s="33"/>
      <c r="AL614" s="33"/>
      <c r="AM614" s="33"/>
      <c r="AN614" s="33"/>
      <c r="AO614" s="33"/>
      <c r="AP614" s="33"/>
      <c r="AQ614" s="33"/>
      <c r="AR614" s="33"/>
      <c r="AS614" s="33"/>
      <c r="AT614" s="33"/>
      <c r="AU614" s="33"/>
      <c r="AV614" s="33"/>
      <c r="AW614" s="33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  <c r="BI614" s="33"/>
      <c r="BJ614" s="33"/>
      <c r="BK614" s="33"/>
      <c r="BL614" s="33"/>
      <c r="BM614" s="33"/>
      <c r="BN614" s="33"/>
      <c r="BO614" s="33"/>
      <c r="BP614" s="33"/>
      <c r="BQ614" s="33"/>
      <c r="BR614" s="33"/>
      <c r="BS614" s="33"/>
      <c r="BT614" s="33"/>
      <c r="BU614" s="33"/>
      <c r="BV614" s="33"/>
      <c r="BW614" s="33"/>
      <c r="BX614" s="33"/>
      <c r="BY614" s="33"/>
      <c r="BZ614" s="33"/>
      <c r="CA614" s="33"/>
      <c r="CB614" s="33"/>
      <c r="CC614" s="33"/>
      <c r="CD614" s="33"/>
      <c r="CE614" s="33"/>
      <c r="CF614" s="33"/>
      <c r="CG614" s="33"/>
      <c r="CH614" s="33"/>
      <c r="CI614" s="33"/>
      <c r="CJ614" s="33"/>
      <c r="CK614" s="33"/>
      <c r="CL614" s="33"/>
      <c r="CM614" s="33"/>
      <c r="CN614" s="33"/>
      <c r="CO614" s="33"/>
      <c r="CP614" s="33"/>
      <c r="CQ614" s="33"/>
      <c r="CR614" s="33"/>
      <c r="CS614" s="33"/>
      <c r="CT614" s="33"/>
      <c r="CU614" s="33"/>
      <c r="CV614" s="33"/>
      <c r="CW614" s="33"/>
      <c r="CX614" s="33"/>
      <c r="CY614" s="33"/>
      <c r="CZ614" s="33"/>
      <c r="DA614" s="33"/>
      <c r="DB614" s="33"/>
      <c r="DC614" s="33"/>
      <c r="DD614" s="33"/>
      <c r="DE614" s="33"/>
      <c r="DF614" s="33"/>
      <c r="DG614" s="33"/>
      <c r="DH614" s="33"/>
      <c r="DI614" s="33"/>
      <c r="DJ614" s="33"/>
      <c r="DK614" s="33"/>
      <c r="DL614" s="33"/>
      <c r="DM614" s="33"/>
      <c r="DN614" s="33"/>
      <c r="DO614" s="33"/>
      <c r="DP614" s="33"/>
      <c r="DQ614" s="33"/>
      <c r="DR614" s="33"/>
      <c r="DS614" s="33"/>
      <c r="DT614" s="33"/>
      <c r="DU614" s="33"/>
      <c r="DV614" s="33"/>
      <c r="DW614" s="33"/>
      <c r="DX614" s="33"/>
      <c r="DY614" s="33"/>
      <c r="DZ614" s="33"/>
      <c r="EA614" s="33"/>
      <c r="EB614" s="33"/>
      <c r="EC614" s="33"/>
      <c r="ED614" s="33"/>
      <c r="EE614" s="33"/>
      <c r="EF614" s="33"/>
      <c r="EG614" s="33"/>
      <c r="EH614" s="33"/>
      <c r="EI614" s="33"/>
      <c r="EJ614" s="33"/>
      <c r="EK614" s="33"/>
      <c r="EL614" s="33"/>
      <c r="EM614" s="33"/>
      <c r="EN614" s="33"/>
      <c r="EO614" s="33"/>
      <c r="EP614" s="33"/>
      <c r="EQ614" s="33"/>
      <c r="ER614" s="33"/>
      <c r="ES614" s="33"/>
    </row>
    <row r="615">
      <c r="A615" s="33"/>
      <c r="B615" s="33"/>
      <c r="C615" s="33"/>
      <c r="D615" s="33"/>
      <c r="E615" s="33"/>
      <c r="F615" s="33"/>
      <c r="G615" s="85"/>
      <c r="H615" s="85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33"/>
      <c r="Y615" s="33"/>
      <c r="Z615" s="33"/>
      <c r="AA615" s="33"/>
      <c r="AB615" s="33"/>
      <c r="AC615" s="33"/>
      <c r="AD615" s="33"/>
      <c r="AE615" s="33"/>
      <c r="AF615" s="33"/>
      <c r="AG615" s="33"/>
      <c r="AH615" s="33"/>
      <c r="AI615" s="33"/>
      <c r="AJ615" s="33"/>
      <c r="AK615" s="33"/>
      <c r="AL615" s="33"/>
      <c r="AM615" s="33"/>
      <c r="AN615" s="33"/>
      <c r="AO615" s="33"/>
      <c r="AP615" s="33"/>
      <c r="AQ615" s="33"/>
      <c r="AR615" s="33"/>
      <c r="AS615" s="33"/>
      <c r="AT615" s="33"/>
      <c r="AU615" s="33"/>
      <c r="AV615" s="33"/>
      <c r="AW615" s="33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  <c r="BI615" s="33"/>
      <c r="BJ615" s="33"/>
      <c r="BK615" s="33"/>
      <c r="BL615" s="33"/>
      <c r="BM615" s="33"/>
      <c r="BN615" s="33"/>
      <c r="BO615" s="33"/>
      <c r="BP615" s="33"/>
      <c r="BQ615" s="33"/>
      <c r="BR615" s="33"/>
      <c r="BS615" s="33"/>
      <c r="BT615" s="33"/>
      <c r="BU615" s="33"/>
      <c r="BV615" s="33"/>
      <c r="BW615" s="33"/>
      <c r="BX615" s="33"/>
      <c r="BY615" s="33"/>
      <c r="BZ615" s="33"/>
      <c r="CA615" s="33"/>
      <c r="CB615" s="33"/>
      <c r="CC615" s="33"/>
      <c r="CD615" s="33"/>
      <c r="CE615" s="33"/>
      <c r="CF615" s="33"/>
      <c r="CG615" s="33"/>
      <c r="CH615" s="33"/>
      <c r="CI615" s="33"/>
      <c r="CJ615" s="33"/>
      <c r="CK615" s="33"/>
      <c r="CL615" s="33"/>
      <c r="CM615" s="33"/>
      <c r="CN615" s="33"/>
      <c r="CO615" s="33"/>
      <c r="CP615" s="33"/>
      <c r="CQ615" s="33"/>
      <c r="CR615" s="33"/>
      <c r="CS615" s="33"/>
      <c r="CT615" s="33"/>
      <c r="CU615" s="33"/>
      <c r="CV615" s="33"/>
      <c r="CW615" s="33"/>
      <c r="CX615" s="33"/>
      <c r="CY615" s="33"/>
      <c r="CZ615" s="33"/>
      <c r="DA615" s="33"/>
      <c r="DB615" s="33"/>
      <c r="DC615" s="33"/>
      <c r="DD615" s="33"/>
      <c r="DE615" s="33"/>
      <c r="DF615" s="33"/>
      <c r="DG615" s="33"/>
      <c r="DH615" s="33"/>
      <c r="DI615" s="33"/>
      <c r="DJ615" s="33"/>
      <c r="DK615" s="33"/>
      <c r="DL615" s="33"/>
      <c r="DM615" s="33"/>
      <c r="DN615" s="33"/>
      <c r="DO615" s="33"/>
      <c r="DP615" s="33"/>
      <c r="DQ615" s="33"/>
      <c r="DR615" s="33"/>
      <c r="DS615" s="33"/>
      <c r="DT615" s="33"/>
      <c r="DU615" s="33"/>
      <c r="DV615" s="33"/>
      <c r="DW615" s="33"/>
      <c r="DX615" s="33"/>
      <c r="DY615" s="33"/>
      <c r="DZ615" s="33"/>
      <c r="EA615" s="33"/>
      <c r="EB615" s="33"/>
      <c r="EC615" s="33"/>
      <c r="ED615" s="33"/>
      <c r="EE615" s="33"/>
      <c r="EF615" s="33"/>
      <c r="EG615" s="33"/>
      <c r="EH615" s="33"/>
      <c r="EI615" s="33"/>
      <c r="EJ615" s="33"/>
      <c r="EK615" s="33"/>
      <c r="EL615" s="33"/>
      <c r="EM615" s="33"/>
      <c r="EN615" s="33"/>
      <c r="EO615" s="33"/>
      <c r="EP615" s="33"/>
      <c r="EQ615" s="33"/>
      <c r="ER615" s="33"/>
      <c r="ES615" s="33"/>
    </row>
    <row r="616">
      <c r="A616" s="33"/>
      <c r="B616" s="33"/>
      <c r="C616" s="33"/>
      <c r="D616" s="33"/>
      <c r="E616" s="33"/>
      <c r="F616" s="33"/>
      <c r="G616" s="85"/>
      <c r="H616" s="85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33"/>
      <c r="Y616" s="33"/>
      <c r="Z616" s="33"/>
      <c r="AA616" s="33"/>
      <c r="AB616" s="33"/>
      <c r="AC616" s="33"/>
      <c r="AD616" s="33"/>
      <c r="AE616" s="33"/>
      <c r="AF616" s="33"/>
      <c r="AG616" s="33"/>
      <c r="AH616" s="33"/>
      <c r="AI616" s="33"/>
      <c r="AJ616" s="33"/>
      <c r="AK616" s="33"/>
      <c r="AL616" s="33"/>
      <c r="AM616" s="33"/>
      <c r="AN616" s="33"/>
      <c r="AO616" s="33"/>
      <c r="AP616" s="33"/>
      <c r="AQ616" s="33"/>
      <c r="AR616" s="33"/>
      <c r="AS616" s="33"/>
      <c r="AT616" s="33"/>
      <c r="AU616" s="33"/>
      <c r="AV616" s="33"/>
      <c r="AW616" s="33"/>
      <c r="AX616" s="33"/>
      <c r="AY616" s="33"/>
      <c r="AZ616" s="33"/>
      <c r="BA616" s="33"/>
      <c r="BB616" s="33"/>
      <c r="BC616" s="33"/>
      <c r="BD616" s="33"/>
      <c r="BE616" s="33"/>
      <c r="BF616" s="33"/>
      <c r="BG616" s="33"/>
      <c r="BH616" s="33"/>
      <c r="BI616" s="33"/>
      <c r="BJ616" s="33"/>
      <c r="BK616" s="33"/>
      <c r="BL616" s="33"/>
      <c r="BM616" s="33"/>
      <c r="BN616" s="33"/>
      <c r="BO616" s="33"/>
      <c r="BP616" s="33"/>
      <c r="BQ616" s="33"/>
      <c r="BR616" s="33"/>
      <c r="BS616" s="33"/>
      <c r="BT616" s="33"/>
      <c r="BU616" s="33"/>
      <c r="BV616" s="33"/>
      <c r="BW616" s="33"/>
      <c r="BX616" s="33"/>
      <c r="BY616" s="33"/>
      <c r="BZ616" s="33"/>
      <c r="CA616" s="33"/>
      <c r="CB616" s="33"/>
      <c r="CC616" s="33"/>
      <c r="CD616" s="33"/>
      <c r="CE616" s="33"/>
      <c r="CF616" s="33"/>
      <c r="CG616" s="33"/>
      <c r="CH616" s="33"/>
      <c r="CI616" s="33"/>
      <c r="CJ616" s="33"/>
      <c r="CK616" s="33"/>
      <c r="CL616" s="33"/>
      <c r="CM616" s="33"/>
      <c r="CN616" s="33"/>
      <c r="CO616" s="33"/>
      <c r="CP616" s="33"/>
      <c r="CQ616" s="33"/>
      <c r="CR616" s="33"/>
      <c r="CS616" s="33"/>
      <c r="CT616" s="33"/>
      <c r="CU616" s="33"/>
      <c r="CV616" s="33"/>
      <c r="CW616" s="33"/>
      <c r="CX616" s="33"/>
      <c r="CY616" s="33"/>
      <c r="CZ616" s="33"/>
      <c r="DA616" s="33"/>
      <c r="DB616" s="33"/>
      <c r="DC616" s="33"/>
      <c r="DD616" s="33"/>
      <c r="DE616" s="33"/>
      <c r="DF616" s="33"/>
      <c r="DG616" s="33"/>
      <c r="DH616" s="33"/>
      <c r="DI616" s="33"/>
      <c r="DJ616" s="33"/>
      <c r="DK616" s="33"/>
      <c r="DL616" s="33"/>
      <c r="DM616" s="33"/>
      <c r="DN616" s="33"/>
      <c r="DO616" s="33"/>
      <c r="DP616" s="33"/>
      <c r="DQ616" s="33"/>
      <c r="DR616" s="33"/>
      <c r="DS616" s="33"/>
      <c r="DT616" s="33"/>
      <c r="DU616" s="33"/>
      <c r="DV616" s="33"/>
      <c r="DW616" s="33"/>
      <c r="DX616" s="33"/>
      <c r="DY616" s="33"/>
      <c r="DZ616" s="33"/>
      <c r="EA616" s="33"/>
      <c r="EB616" s="33"/>
      <c r="EC616" s="33"/>
      <c r="ED616" s="33"/>
      <c r="EE616" s="33"/>
      <c r="EF616" s="33"/>
      <c r="EG616" s="33"/>
      <c r="EH616" s="33"/>
      <c r="EI616" s="33"/>
      <c r="EJ616" s="33"/>
      <c r="EK616" s="33"/>
      <c r="EL616" s="33"/>
      <c r="EM616" s="33"/>
      <c r="EN616" s="33"/>
      <c r="EO616" s="33"/>
      <c r="EP616" s="33"/>
      <c r="EQ616" s="33"/>
      <c r="ER616" s="33"/>
      <c r="ES616" s="33"/>
    </row>
    <row r="617">
      <c r="A617" s="33"/>
      <c r="B617" s="33"/>
      <c r="C617" s="33"/>
      <c r="D617" s="33"/>
      <c r="E617" s="33"/>
      <c r="F617" s="33"/>
      <c r="G617" s="85"/>
      <c r="H617" s="85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33"/>
      <c r="Y617" s="33"/>
      <c r="Z617" s="33"/>
      <c r="AA617" s="33"/>
      <c r="AB617" s="33"/>
      <c r="AC617" s="33"/>
      <c r="AD617" s="33"/>
      <c r="AE617" s="33"/>
      <c r="AF617" s="33"/>
      <c r="AG617" s="33"/>
      <c r="AH617" s="33"/>
      <c r="AI617" s="33"/>
      <c r="AJ617" s="33"/>
      <c r="AK617" s="33"/>
      <c r="AL617" s="33"/>
      <c r="AM617" s="33"/>
      <c r="AN617" s="33"/>
      <c r="AO617" s="33"/>
      <c r="AP617" s="33"/>
      <c r="AQ617" s="33"/>
      <c r="AR617" s="33"/>
      <c r="AS617" s="33"/>
      <c r="AT617" s="33"/>
      <c r="AU617" s="33"/>
      <c r="AV617" s="33"/>
      <c r="AW617" s="33"/>
      <c r="AX617" s="33"/>
      <c r="AY617" s="33"/>
      <c r="AZ617" s="33"/>
      <c r="BA617" s="33"/>
      <c r="BB617" s="33"/>
      <c r="BC617" s="33"/>
      <c r="BD617" s="33"/>
      <c r="BE617" s="33"/>
      <c r="BF617" s="33"/>
      <c r="BG617" s="33"/>
      <c r="BH617" s="33"/>
      <c r="BI617" s="33"/>
      <c r="BJ617" s="33"/>
      <c r="BK617" s="33"/>
      <c r="BL617" s="33"/>
      <c r="BM617" s="33"/>
      <c r="BN617" s="33"/>
      <c r="BO617" s="33"/>
      <c r="BP617" s="33"/>
      <c r="BQ617" s="33"/>
      <c r="BR617" s="33"/>
      <c r="BS617" s="33"/>
      <c r="BT617" s="33"/>
      <c r="BU617" s="33"/>
      <c r="BV617" s="33"/>
      <c r="BW617" s="33"/>
      <c r="BX617" s="33"/>
      <c r="BY617" s="33"/>
      <c r="BZ617" s="33"/>
      <c r="CA617" s="33"/>
      <c r="CB617" s="33"/>
      <c r="CC617" s="33"/>
      <c r="CD617" s="33"/>
      <c r="CE617" s="33"/>
      <c r="CF617" s="33"/>
      <c r="CG617" s="33"/>
      <c r="CH617" s="33"/>
      <c r="CI617" s="33"/>
      <c r="CJ617" s="33"/>
      <c r="CK617" s="33"/>
      <c r="CL617" s="33"/>
      <c r="CM617" s="33"/>
      <c r="CN617" s="33"/>
      <c r="CO617" s="33"/>
      <c r="CP617" s="33"/>
      <c r="CQ617" s="33"/>
      <c r="CR617" s="33"/>
      <c r="CS617" s="33"/>
      <c r="CT617" s="33"/>
      <c r="CU617" s="33"/>
      <c r="CV617" s="33"/>
      <c r="CW617" s="33"/>
      <c r="CX617" s="33"/>
      <c r="CY617" s="33"/>
      <c r="CZ617" s="33"/>
      <c r="DA617" s="33"/>
      <c r="DB617" s="33"/>
      <c r="DC617" s="33"/>
      <c r="DD617" s="33"/>
      <c r="DE617" s="33"/>
      <c r="DF617" s="33"/>
      <c r="DG617" s="33"/>
      <c r="DH617" s="33"/>
      <c r="DI617" s="33"/>
      <c r="DJ617" s="33"/>
      <c r="DK617" s="33"/>
      <c r="DL617" s="33"/>
      <c r="DM617" s="33"/>
      <c r="DN617" s="33"/>
      <c r="DO617" s="33"/>
      <c r="DP617" s="33"/>
      <c r="DQ617" s="33"/>
      <c r="DR617" s="33"/>
      <c r="DS617" s="33"/>
      <c r="DT617" s="33"/>
      <c r="DU617" s="33"/>
      <c r="DV617" s="33"/>
      <c r="DW617" s="33"/>
      <c r="DX617" s="33"/>
      <c r="DY617" s="33"/>
      <c r="DZ617" s="33"/>
      <c r="EA617" s="33"/>
      <c r="EB617" s="33"/>
      <c r="EC617" s="33"/>
      <c r="ED617" s="33"/>
      <c r="EE617" s="33"/>
      <c r="EF617" s="33"/>
      <c r="EG617" s="33"/>
      <c r="EH617" s="33"/>
      <c r="EI617" s="33"/>
      <c r="EJ617" s="33"/>
      <c r="EK617" s="33"/>
      <c r="EL617" s="33"/>
      <c r="EM617" s="33"/>
      <c r="EN617" s="33"/>
      <c r="EO617" s="33"/>
      <c r="EP617" s="33"/>
      <c r="EQ617" s="33"/>
      <c r="ER617" s="33"/>
      <c r="ES617" s="33"/>
    </row>
    <row r="618">
      <c r="A618" s="33"/>
      <c r="B618" s="33"/>
      <c r="C618" s="33"/>
      <c r="D618" s="33"/>
      <c r="E618" s="33"/>
      <c r="F618" s="33"/>
      <c r="G618" s="85"/>
      <c r="H618" s="85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33"/>
      <c r="Y618" s="33"/>
      <c r="Z618" s="33"/>
      <c r="AA618" s="33"/>
      <c r="AB618" s="33"/>
      <c r="AC618" s="33"/>
      <c r="AD618" s="33"/>
      <c r="AE618" s="33"/>
      <c r="AF618" s="33"/>
      <c r="AG618" s="33"/>
      <c r="AH618" s="33"/>
      <c r="AI618" s="33"/>
      <c r="AJ618" s="33"/>
      <c r="AK618" s="33"/>
      <c r="AL618" s="33"/>
      <c r="AM618" s="33"/>
      <c r="AN618" s="33"/>
      <c r="AO618" s="33"/>
      <c r="AP618" s="33"/>
      <c r="AQ618" s="33"/>
      <c r="AR618" s="33"/>
      <c r="AS618" s="33"/>
      <c r="AT618" s="33"/>
      <c r="AU618" s="33"/>
      <c r="AV618" s="33"/>
      <c r="AW618" s="33"/>
      <c r="AX618" s="33"/>
      <c r="AY618" s="33"/>
      <c r="AZ618" s="33"/>
      <c r="BA618" s="33"/>
      <c r="BB618" s="33"/>
      <c r="BC618" s="33"/>
      <c r="BD618" s="33"/>
      <c r="BE618" s="33"/>
      <c r="BF618" s="33"/>
      <c r="BG618" s="33"/>
      <c r="BH618" s="33"/>
      <c r="BI618" s="33"/>
      <c r="BJ618" s="33"/>
      <c r="BK618" s="33"/>
      <c r="BL618" s="33"/>
      <c r="BM618" s="33"/>
      <c r="BN618" s="33"/>
      <c r="BO618" s="33"/>
      <c r="BP618" s="33"/>
      <c r="BQ618" s="33"/>
      <c r="BR618" s="33"/>
      <c r="BS618" s="33"/>
      <c r="BT618" s="33"/>
      <c r="BU618" s="33"/>
      <c r="BV618" s="33"/>
      <c r="BW618" s="33"/>
      <c r="BX618" s="33"/>
      <c r="BY618" s="33"/>
      <c r="BZ618" s="33"/>
      <c r="CA618" s="33"/>
      <c r="CB618" s="33"/>
      <c r="CC618" s="33"/>
      <c r="CD618" s="33"/>
      <c r="CE618" s="33"/>
      <c r="CF618" s="33"/>
      <c r="CG618" s="33"/>
      <c r="CH618" s="33"/>
      <c r="CI618" s="33"/>
      <c r="CJ618" s="33"/>
      <c r="CK618" s="33"/>
      <c r="CL618" s="33"/>
      <c r="CM618" s="33"/>
      <c r="CN618" s="33"/>
      <c r="CO618" s="33"/>
      <c r="CP618" s="33"/>
      <c r="CQ618" s="33"/>
      <c r="CR618" s="33"/>
      <c r="CS618" s="33"/>
      <c r="CT618" s="33"/>
      <c r="CU618" s="33"/>
      <c r="CV618" s="33"/>
      <c r="CW618" s="33"/>
      <c r="CX618" s="33"/>
      <c r="CY618" s="33"/>
      <c r="CZ618" s="33"/>
      <c r="DA618" s="33"/>
      <c r="DB618" s="33"/>
      <c r="DC618" s="33"/>
      <c r="DD618" s="33"/>
      <c r="DE618" s="33"/>
      <c r="DF618" s="33"/>
      <c r="DG618" s="33"/>
      <c r="DH618" s="33"/>
      <c r="DI618" s="33"/>
      <c r="DJ618" s="33"/>
      <c r="DK618" s="33"/>
      <c r="DL618" s="33"/>
      <c r="DM618" s="33"/>
      <c r="DN618" s="33"/>
      <c r="DO618" s="33"/>
      <c r="DP618" s="33"/>
      <c r="DQ618" s="33"/>
      <c r="DR618" s="33"/>
      <c r="DS618" s="33"/>
      <c r="DT618" s="33"/>
      <c r="DU618" s="33"/>
      <c r="DV618" s="33"/>
      <c r="DW618" s="33"/>
      <c r="DX618" s="33"/>
      <c r="DY618" s="33"/>
      <c r="DZ618" s="33"/>
      <c r="EA618" s="33"/>
      <c r="EB618" s="33"/>
      <c r="EC618" s="33"/>
      <c r="ED618" s="33"/>
      <c r="EE618" s="33"/>
      <c r="EF618" s="33"/>
      <c r="EG618" s="33"/>
      <c r="EH618" s="33"/>
      <c r="EI618" s="33"/>
      <c r="EJ618" s="33"/>
      <c r="EK618" s="33"/>
      <c r="EL618" s="33"/>
      <c r="EM618" s="33"/>
      <c r="EN618" s="33"/>
      <c r="EO618" s="33"/>
      <c r="EP618" s="33"/>
      <c r="EQ618" s="33"/>
      <c r="ER618" s="33"/>
      <c r="ES618" s="33"/>
    </row>
    <row r="619">
      <c r="A619" s="33"/>
      <c r="B619" s="33"/>
      <c r="C619" s="33"/>
      <c r="D619" s="33"/>
      <c r="E619" s="33"/>
      <c r="F619" s="33"/>
      <c r="G619" s="85"/>
      <c r="H619" s="85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33"/>
      <c r="Y619" s="33"/>
      <c r="Z619" s="33"/>
      <c r="AA619" s="33"/>
      <c r="AB619" s="33"/>
      <c r="AC619" s="33"/>
      <c r="AD619" s="33"/>
      <c r="AE619" s="33"/>
      <c r="AF619" s="33"/>
      <c r="AG619" s="33"/>
      <c r="AH619" s="33"/>
      <c r="AI619" s="33"/>
      <c r="AJ619" s="33"/>
      <c r="AK619" s="33"/>
      <c r="AL619" s="33"/>
      <c r="AM619" s="33"/>
      <c r="AN619" s="33"/>
      <c r="AO619" s="33"/>
      <c r="AP619" s="33"/>
      <c r="AQ619" s="33"/>
      <c r="AR619" s="33"/>
      <c r="AS619" s="33"/>
      <c r="AT619" s="33"/>
      <c r="AU619" s="33"/>
      <c r="AV619" s="33"/>
      <c r="AW619" s="33"/>
      <c r="AX619" s="33"/>
      <c r="AY619" s="33"/>
      <c r="AZ619" s="33"/>
      <c r="BA619" s="33"/>
      <c r="BB619" s="33"/>
      <c r="BC619" s="33"/>
      <c r="BD619" s="33"/>
      <c r="BE619" s="33"/>
      <c r="BF619" s="33"/>
      <c r="BG619" s="33"/>
      <c r="BH619" s="33"/>
      <c r="BI619" s="33"/>
      <c r="BJ619" s="33"/>
      <c r="BK619" s="33"/>
      <c r="BL619" s="33"/>
      <c r="BM619" s="33"/>
      <c r="BN619" s="33"/>
      <c r="BO619" s="33"/>
      <c r="BP619" s="33"/>
      <c r="BQ619" s="33"/>
      <c r="BR619" s="33"/>
      <c r="BS619" s="33"/>
      <c r="BT619" s="33"/>
      <c r="BU619" s="33"/>
      <c r="BV619" s="33"/>
      <c r="BW619" s="33"/>
      <c r="BX619" s="33"/>
      <c r="BY619" s="33"/>
      <c r="BZ619" s="33"/>
      <c r="CA619" s="33"/>
      <c r="CB619" s="33"/>
      <c r="CC619" s="33"/>
      <c r="CD619" s="33"/>
      <c r="CE619" s="33"/>
      <c r="CF619" s="33"/>
      <c r="CG619" s="33"/>
      <c r="CH619" s="33"/>
      <c r="CI619" s="33"/>
      <c r="CJ619" s="33"/>
      <c r="CK619" s="33"/>
      <c r="CL619" s="33"/>
      <c r="CM619" s="33"/>
      <c r="CN619" s="33"/>
      <c r="CO619" s="33"/>
      <c r="CP619" s="33"/>
      <c r="CQ619" s="33"/>
      <c r="CR619" s="33"/>
      <c r="CS619" s="33"/>
      <c r="CT619" s="33"/>
      <c r="CU619" s="33"/>
      <c r="CV619" s="33"/>
      <c r="CW619" s="33"/>
      <c r="CX619" s="33"/>
      <c r="CY619" s="33"/>
      <c r="CZ619" s="33"/>
      <c r="DA619" s="33"/>
      <c r="DB619" s="33"/>
      <c r="DC619" s="33"/>
      <c r="DD619" s="33"/>
      <c r="DE619" s="33"/>
      <c r="DF619" s="33"/>
      <c r="DG619" s="33"/>
      <c r="DH619" s="33"/>
      <c r="DI619" s="33"/>
      <c r="DJ619" s="33"/>
      <c r="DK619" s="33"/>
      <c r="DL619" s="33"/>
      <c r="DM619" s="33"/>
      <c r="DN619" s="33"/>
      <c r="DO619" s="33"/>
      <c r="DP619" s="33"/>
      <c r="DQ619" s="33"/>
      <c r="DR619" s="33"/>
      <c r="DS619" s="33"/>
      <c r="DT619" s="33"/>
      <c r="DU619" s="33"/>
      <c r="DV619" s="33"/>
      <c r="DW619" s="33"/>
      <c r="DX619" s="33"/>
      <c r="DY619" s="33"/>
      <c r="DZ619" s="33"/>
      <c r="EA619" s="33"/>
      <c r="EB619" s="33"/>
      <c r="EC619" s="33"/>
      <c r="ED619" s="33"/>
      <c r="EE619" s="33"/>
      <c r="EF619" s="33"/>
      <c r="EG619" s="33"/>
      <c r="EH619" s="33"/>
      <c r="EI619" s="33"/>
      <c r="EJ619" s="33"/>
      <c r="EK619" s="33"/>
      <c r="EL619" s="33"/>
      <c r="EM619" s="33"/>
      <c r="EN619" s="33"/>
      <c r="EO619" s="33"/>
      <c r="EP619" s="33"/>
      <c r="EQ619" s="33"/>
      <c r="ER619" s="33"/>
      <c r="ES619" s="33"/>
    </row>
    <row r="620">
      <c r="A620" s="33"/>
      <c r="B620" s="33"/>
      <c r="C620" s="33"/>
      <c r="D620" s="33"/>
      <c r="E620" s="33"/>
      <c r="F620" s="33"/>
      <c r="G620" s="85"/>
      <c r="H620" s="85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33"/>
      <c r="Y620" s="33"/>
      <c r="Z620" s="33"/>
      <c r="AA620" s="33"/>
      <c r="AB620" s="33"/>
      <c r="AC620" s="33"/>
      <c r="AD620" s="33"/>
      <c r="AE620" s="33"/>
      <c r="AF620" s="33"/>
      <c r="AG620" s="33"/>
      <c r="AH620" s="33"/>
      <c r="AI620" s="33"/>
      <c r="AJ620" s="33"/>
      <c r="AK620" s="33"/>
      <c r="AL620" s="33"/>
      <c r="AM620" s="33"/>
      <c r="AN620" s="33"/>
      <c r="AO620" s="33"/>
      <c r="AP620" s="33"/>
      <c r="AQ620" s="33"/>
      <c r="AR620" s="33"/>
      <c r="AS620" s="33"/>
      <c r="AT620" s="33"/>
      <c r="AU620" s="33"/>
      <c r="AV620" s="33"/>
      <c r="AW620" s="33"/>
      <c r="AX620" s="33"/>
      <c r="AY620" s="33"/>
      <c r="AZ620" s="33"/>
      <c r="BA620" s="33"/>
      <c r="BB620" s="33"/>
      <c r="BC620" s="33"/>
      <c r="BD620" s="33"/>
      <c r="BE620" s="33"/>
      <c r="BF620" s="33"/>
      <c r="BG620" s="33"/>
      <c r="BH620" s="33"/>
      <c r="BI620" s="33"/>
      <c r="BJ620" s="33"/>
      <c r="BK620" s="33"/>
      <c r="BL620" s="33"/>
      <c r="BM620" s="33"/>
      <c r="BN620" s="33"/>
      <c r="BO620" s="33"/>
      <c r="BP620" s="33"/>
      <c r="BQ620" s="33"/>
      <c r="BR620" s="33"/>
      <c r="BS620" s="33"/>
      <c r="BT620" s="33"/>
      <c r="BU620" s="33"/>
      <c r="BV620" s="33"/>
      <c r="BW620" s="33"/>
      <c r="BX620" s="33"/>
      <c r="BY620" s="33"/>
      <c r="BZ620" s="33"/>
      <c r="CA620" s="33"/>
      <c r="CB620" s="33"/>
      <c r="CC620" s="33"/>
      <c r="CD620" s="33"/>
      <c r="CE620" s="33"/>
      <c r="CF620" s="33"/>
      <c r="CG620" s="33"/>
      <c r="CH620" s="33"/>
      <c r="CI620" s="33"/>
      <c r="CJ620" s="33"/>
      <c r="CK620" s="33"/>
      <c r="CL620" s="33"/>
      <c r="CM620" s="33"/>
      <c r="CN620" s="33"/>
      <c r="CO620" s="33"/>
      <c r="CP620" s="33"/>
      <c r="CQ620" s="33"/>
      <c r="CR620" s="33"/>
      <c r="CS620" s="33"/>
      <c r="CT620" s="33"/>
      <c r="CU620" s="33"/>
      <c r="CV620" s="33"/>
      <c r="CW620" s="33"/>
      <c r="CX620" s="33"/>
      <c r="CY620" s="33"/>
      <c r="CZ620" s="33"/>
      <c r="DA620" s="33"/>
      <c r="DB620" s="33"/>
      <c r="DC620" s="33"/>
      <c r="DD620" s="33"/>
      <c r="DE620" s="33"/>
      <c r="DF620" s="33"/>
      <c r="DG620" s="33"/>
      <c r="DH620" s="33"/>
      <c r="DI620" s="33"/>
      <c r="DJ620" s="33"/>
      <c r="DK620" s="33"/>
      <c r="DL620" s="33"/>
      <c r="DM620" s="33"/>
      <c r="DN620" s="33"/>
      <c r="DO620" s="33"/>
      <c r="DP620" s="33"/>
      <c r="DQ620" s="33"/>
      <c r="DR620" s="33"/>
      <c r="DS620" s="33"/>
      <c r="DT620" s="33"/>
      <c r="DU620" s="33"/>
      <c r="DV620" s="33"/>
      <c r="DW620" s="33"/>
      <c r="DX620" s="33"/>
      <c r="DY620" s="33"/>
      <c r="DZ620" s="33"/>
      <c r="EA620" s="33"/>
      <c r="EB620" s="33"/>
      <c r="EC620" s="33"/>
      <c r="ED620" s="33"/>
      <c r="EE620" s="33"/>
      <c r="EF620" s="33"/>
      <c r="EG620" s="33"/>
      <c r="EH620" s="33"/>
      <c r="EI620" s="33"/>
      <c r="EJ620" s="33"/>
      <c r="EK620" s="33"/>
      <c r="EL620" s="33"/>
      <c r="EM620" s="33"/>
      <c r="EN620" s="33"/>
      <c r="EO620" s="33"/>
      <c r="EP620" s="33"/>
      <c r="EQ620" s="33"/>
      <c r="ER620" s="33"/>
      <c r="ES620" s="33"/>
    </row>
    <row r="621">
      <c r="A621" s="33"/>
      <c r="B621" s="33"/>
      <c r="C621" s="33"/>
      <c r="D621" s="33"/>
      <c r="E621" s="33"/>
      <c r="F621" s="33"/>
      <c r="G621" s="85"/>
      <c r="H621" s="85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33"/>
      <c r="Y621" s="33"/>
      <c r="Z621" s="33"/>
      <c r="AA621" s="33"/>
      <c r="AB621" s="33"/>
      <c r="AC621" s="33"/>
      <c r="AD621" s="33"/>
      <c r="AE621" s="33"/>
      <c r="AF621" s="33"/>
      <c r="AG621" s="33"/>
      <c r="AH621" s="33"/>
      <c r="AI621" s="33"/>
      <c r="AJ621" s="33"/>
      <c r="AK621" s="33"/>
      <c r="AL621" s="33"/>
      <c r="AM621" s="33"/>
      <c r="AN621" s="33"/>
      <c r="AO621" s="33"/>
      <c r="AP621" s="33"/>
      <c r="AQ621" s="33"/>
      <c r="AR621" s="33"/>
      <c r="AS621" s="33"/>
      <c r="AT621" s="33"/>
      <c r="AU621" s="33"/>
      <c r="AV621" s="33"/>
      <c r="AW621" s="33"/>
      <c r="AX621" s="33"/>
      <c r="AY621" s="33"/>
      <c r="AZ621" s="33"/>
      <c r="BA621" s="33"/>
      <c r="BB621" s="33"/>
      <c r="BC621" s="33"/>
      <c r="BD621" s="33"/>
      <c r="BE621" s="33"/>
      <c r="BF621" s="33"/>
      <c r="BG621" s="33"/>
      <c r="BH621" s="33"/>
      <c r="BI621" s="33"/>
      <c r="BJ621" s="33"/>
      <c r="BK621" s="33"/>
      <c r="BL621" s="33"/>
      <c r="BM621" s="33"/>
      <c r="BN621" s="33"/>
      <c r="BO621" s="33"/>
      <c r="BP621" s="33"/>
      <c r="BQ621" s="33"/>
      <c r="BR621" s="33"/>
      <c r="BS621" s="33"/>
      <c r="BT621" s="33"/>
      <c r="BU621" s="33"/>
      <c r="BV621" s="33"/>
      <c r="BW621" s="33"/>
      <c r="BX621" s="33"/>
      <c r="BY621" s="33"/>
      <c r="BZ621" s="33"/>
      <c r="CA621" s="33"/>
      <c r="CB621" s="33"/>
      <c r="CC621" s="33"/>
      <c r="CD621" s="33"/>
      <c r="CE621" s="33"/>
      <c r="CF621" s="33"/>
      <c r="CG621" s="33"/>
      <c r="CH621" s="33"/>
      <c r="CI621" s="33"/>
      <c r="CJ621" s="33"/>
      <c r="CK621" s="33"/>
      <c r="CL621" s="33"/>
      <c r="CM621" s="33"/>
      <c r="CN621" s="33"/>
      <c r="CO621" s="33"/>
      <c r="CP621" s="33"/>
      <c r="CQ621" s="33"/>
      <c r="CR621" s="33"/>
      <c r="CS621" s="33"/>
      <c r="CT621" s="33"/>
      <c r="CU621" s="33"/>
      <c r="CV621" s="33"/>
      <c r="CW621" s="33"/>
      <c r="CX621" s="33"/>
      <c r="CY621" s="33"/>
      <c r="CZ621" s="33"/>
      <c r="DA621" s="33"/>
      <c r="DB621" s="33"/>
      <c r="DC621" s="33"/>
      <c r="DD621" s="33"/>
      <c r="DE621" s="33"/>
      <c r="DF621" s="33"/>
      <c r="DG621" s="33"/>
      <c r="DH621" s="33"/>
      <c r="DI621" s="33"/>
      <c r="DJ621" s="33"/>
      <c r="DK621" s="33"/>
      <c r="DL621" s="33"/>
      <c r="DM621" s="33"/>
      <c r="DN621" s="33"/>
      <c r="DO621" s="33"/>
      <c r="DP621" s="33"/>
      <c r="DQ621" s="33"/>
      <c r="DR621" s="33"/>
      <c r="DS621" s="33"/>
      <c r="DT621" s="33"/>
      <c r="DU621" s="33"/>
      <c r="DV621" s="33"/>
      <c r="DW621" s="33"/>
      <c r="DX621" s="33"/>
      <c r="DY621" s="33"/>
      <c r="DZ621" s="33"/>
      <c r="EA621" s="33"/>
      <c r="EB621" s="33"/>
      <c r="EC621" s="33"/>
      <c r="ED621" s="33"/>
      <c r="EE621" s="33"/>
      <c r="EF621" s="33"/>
      <c r="EG621" s="33"/>
      <c r="EH621" s="33"/>
      <c r="EI621" s="33"/>
      <c r="EJ621" s="33"/>
      <c r="EK621" s="33"/>
      <c r="EL621" s="33"/>
      <c r="EM621" s="33"/>
      <c r="EN621" s="33"/>
      <c r="EO621" s="33"/>
      <c r="EP621" s="33"/>
      <c r="EQ621" s="33"/>
      <c r="ER621" s="33"/>
      <c r="ES621" s="33"/>
    </row>
    <row r="622">
      <c r="A622" s="33"/>
      <c r="B622" s="33"/>
      <c r="C622" s="33"/>
      <c r="D622" s="33"/>
      <c r="E622" s="33"/>
      <c r="F622" s="33"/>
      <c r="G622" s="85"/>
      <c r="H622" s="85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33"/>
      <c r="Y622" s="33"/>
      <c r="Z622" s="33"/>
      <c r="AA622" s="33"/>
      <c r="AB622" s="33"/>
      <c r="AC622" s="33"/>
      <c r="AD622" s="33"/>
      <c r="AE622" s="33"/>
      <c r="AF622" s="33"/>
      <c r="AG622" s="33"/>
      <c r="AH622" s="33"/>
      <c r="AI622" s="33"/>
      <c r="AJ622" s="33"/>
      <c r="AK622" s="33"/>
      <c r="AL622" s="33"/>
      <c r="AM622" s="33"/>
      <c r="AN622" s="33"/>
      <c r="AO622" s="33"/>
      <c r="AP622" s="33"/>
      <c r="AQ622" s="33"/>
      <c r="AR622" s="33"/>
      <c r="AS622" s="33"/>
      <c r="AT622" s="33"/>
      <c r="AU622" s="33"/>
      <c r="AV622" s="33"/>
      <c r="AW622" s="33"/>
      <c r="AX622" s="33"/>
      <c r="AY622" s="33"/>
      <c r="AZ622" s="33"/>
      <c r="BA622" s="33"/>
      <c r="BB622" s="33"/>
      <c r="BC622" s="33"/>
      <c r="BD622" s="33"/>
      <c r="BE622" s="33"/>
      <c r="BF622" s="33"/>
      <c r="BG622" s="33"/>
      <c r="BH622" s="33"/>
      <c r="BI622" s="33"/>
      <c r="BJ622" s="33"/>
      <c r="BK622" s="33"/>
      <c r="BL622" s="33"/>
      <c r="BM622" s="33"/>
      <c r="BN622" s="33"/>
      <c r="BO622" s="33"/>
      <c r="BP622" s="33"/>
      <c r="BQ622" s="33"/>
      <c r="BR622" s="33"/>
      <c r="BS622" s="33"/>
      <c r="BT622" s="33"/>
      <c r="BU622" s="33"/>
      <c r="BV622" s="33"/>
      <c r="BW622" s="33"/>
      <c r="BX622" s="33"/>
      <c r="BY622" s="33"/>
      <c r="BZ622" s="33"/>
      <c r="CA622" s="33"/>
      <c r="CB622" s="33"/>
      <c r="CC622" s="33"/>
      <c r="CD622" s="33"/>
      <c r="CE622" s="33"/>
      <c r="CF622" s="33"/>
      <c r="CG622" s="33"/>
      <c r="CH622" s="33"/>
      <c r="CI622" s="33"/>
      <c r="CJ622" s="33"/>
      <c r="CK622" s="33"/>
      <c r="CL622" s="33"/>
      <c r="CM622" s="33"/>
      <c r="CN622" s="33"/>
      <c r="CO622" s="33"/>
      <c r="CP622" s="33"/>
      <c r="CQ622" s="33"/>
      <c r="CR622" s="33"/>
      <c r="CS622" s="33"/>
      <c r="CT622" s="33"/>
      <c r="CU622" s="33"/>
      <c r="CV622" s="33"/>
      <c r="CW622" s="33"/>
      <c r="CX622" s="33"/>
      <c r="CY622" s="33"/>
      <c r="CZ622" s="33"/>
      <c r="DA622" s="33"/>
      <c r="DB622" s="33"/>
      <c r="DC622" s="33"/>
      <c r="DD622" s="33"/>
      <c r="DE622" s="33"/>
      <c r="DF622" s="33"/>
      <c r="DG622" s="33"/>
      <c r="DH622" s="33"/>
      <c r="DI622" s="33"/>
      <c r="DJ622" s="33"/>
      <c r="DK622" s="33"/>
      <c r="DL622" s="33"/>
      <c r="DM622" s="33"/>
      <c r="DN622" s="33"/>
      <c r="DO622" s="33"/>
      <c r="DP622" s="33"/>
      <c r="DQ622" s="33"/>
      <c r="DR622" s="33"/>
      <c r="DS622" s="33"/>
      <c r="DT622" s="33"/>
      <c r="DU622" s="33"/>
      <c r="DV622" s="33"/>
      <c r="DW622" s="33"/>
      <c r="DX622" s="33"/>
      <c r="DY622" s="33"/>
      <c r="DZ622" s="33"/>
      <c r="EA622" s="33"/>
      <c r="EB622" s="33"/>
      <c r="EC622" s="33"/>
      <c r="ED622" s="33"/>
      <c r="EE622" s="33"/>
      <c r="EF622" s="33"/>
      <c r="EG622" s="33"/>
      <c r="EH622" s="33"/>
      <c r="EI622" s="33"/>
      <c r="EJ622" s="33"/>
      <c r="EK622" s="33"/>
      <c r="EL622" s="33"/>
      <c r="EM622" s="33"/>
      <c r="EN622" s="33"/>
      <c r="EO622" s="33"/>
      <c r="EP622" s="33"/>
      <c r="EQ622" s="33"/>
      <c r="ER622" s="33"/>
      <c r="ES622" s="33"/>
    </row>
    <row r="623">
      <c r="A623" s="33"/>
      <c r="B623" s="33"/>
      <c r="C623" s="33"/>
      <c r="D623" s="33"/>
      <c r="E623" s="33"/>
      <c r="F623" s="33"/>
      <c r="G623" s="85"/>
      <c r="H623" s="85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33"/>
      <c r="Y623" s="33"/>
      <c r="Z623" s="33"/>
      <c r="AA623" s="33"/>
      <c r="AB623" s="33"/>
      <c r="AC623" s="33"/>
      <c r="AD623" s="33"/>
      <c r="AE623" s="33"/>
      <c r="AF623" s="33"/>
      <c r="AG623" s="33"/>
      <c r="AH623" s="33"/>
      <c r="AI623" s="33"/>
      <c r="AJ623" s="33"/>
      <c r="AK623" s="33"/>
      <c r="AL623" s="33"/>
      <c r="AM623" s="33"/>
      <c r="AN623" s="33"/>
      <c r="AO623" s="33"/>
      <c r="AP623" s="33"/>
      <c r="AQ623" s="33"/>
      <c r="AR623" s="33"/>
      <c r="AS623" s="33"/>
      <c r="AT623" s="33"/>
      <c r="AU623" s="33"/>
      <c r="AV623" s="33"/>
      <c r="AW623" s="33"/>
      <c r="AX623" s="33"/>
      <c r="AY623" s="33"/>
      <c r="AZ623" s="33"/>
      <c r="BA623" s="33"/>
      <c r="BB623" s="33"/>
      <c r="BC623" s="33"/>
      <c r="BD623" s="33"/>
      <c r="BE623" s="33"/>
      <c r="BF623" s="33"/>
      <c r="BG623" s="33"/>
      <c r="BH623" s="33"/>
      <c r="BI623" s="33"/>
      <c r="BJ623" s="33"/>
      <c r="BK623" s="33"/>
      <c r="BL623" s="33"/>
      <c r="BM623" s="33"/>
      <c r="BN623" s="33"/>
      <c r="BO623" s="33"/>
      <c r="BP623" s="33"/>
      <c r="BQ623" s="33"/>
      <c r="BR623" s="33"/>
      <c r="BS623" s="33"/>
      <c r="BT623" s="33"/>
      <c r="BU623" s="33"/>
      <c r="BV623" s="33"/>
      <c r="BW623" s="33"/>
      <c r="BX623" s="33"/>
      <c r="BY623" s="33"/>
      <c r="BZ623" s="33"/>
      <c r="CA623" s="33"/>
      <c r="CB623" s="33"/>
      <c r="CC623" s="33"/>
      <c r="CD623" s="33"/>
      <c r="CE623" s="33"/>
      <c r="CF623" s="33"/>
      <c r="CG623" s="33"/>
      <c r="CH623" s="33"/>
      <c r="CI623" s="33"/>
      <c r="CJ623" s="33"/>
      <c r="CK623" s="33"/>
      <c r="CL623" s="33"/>
      <c r="CM623" s="33"/>
      <c r="CN623" s="33"/>
      <c r="CO623" s="33"/>
      <c r="CP623" s="33"/>
      <c r="CQ623" s="33"/>
      <c r="CR623" s="33"/>
      <c r="CS623" s="33"/>
      <c r="CT623" s="33"/>
      <c r="CU623" s="33"/>
      <c r="CV623" s="33"/>
      <c r="CW623" s="33"/>
      <c r="CX623" s="33"/>
      <c r="CY623" s="33"/>
      <c r="CZ623" s="33"/>
      <c r="DA623" s="33"/>
      <c r="DB623" s="33"/>
      <c r="DC623" s="33"/>
      <c r="DD623" s="33"/>
      <c r="DE623" s="33"/>
      <c r="DF623" s="33"/>
      <c r="DG623" s="33"/>
      <c r="DH623" s="33"/>
      <c r="DI623" s="33"/>
      <c r="DJ623" s="33"/>
      <c r="DK623" s="33"/>
      <c r="DL623" s="33"/>
      <c r="DM623" s="33"/>
      <c r="DN623" s="33"/>
      <c r="DO623" s="33"/>
      <c r="DP623" s="33"/>
      <c r="DQ623" s="33"/>
      <c r="DR623" s="33"/>
      <c r="DS623" s="33"/>
      <c r="DT623" s="33"/>
      <c r="DU623" s="33"/>
      <c r="DV623" s="33"/>
      <c r="DW623" s="33"/>
      <c r="DX623" s="33"/>
      <c r="DY623" s="33"/>
      <c r="DZ623" s="33"/>
      <c r="EA623" s="33"/>
      <c r="EB623" s="33"/>
      <c r="EC623" s="33"/>
      <c r="ED623" s="33"/>
      <c r="EE623" s="33"/>
      <c r="EF623" s="33"/>
      <c r="EG623" s="33"/>
      <c r="EH623" s="33"/>
      <c r="EI623" s="33"/>
      <c r="EJ623" s="33"/>
      <c r="EK623" s="33"/>
      <c r="EL623" s="33"/>
      <c r="EM623" s="33"/>
      <c r="EN623" s="33"/>
      <c r="EO623" s="33"/>
      <c r="EP623" s="33"/>
      <c r="EQ623" s="33"/>
      <c r="ER623" s="33"/>
      <c r="ES623" s="33"/>
    </row>
    <row r="624">
      <c r="A624" s="33"/>
      <c r="B624" s="33"/>
      <c r="C624" s="33"/>
      <c r="D624" s="33"/>
      <c r="E624" s="33"/>
      <c r="F624" s="33"/>
      <c r="G624" s="85"/>
      <c r="H624" s="85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33"/>
      <c r="Y624" s="33"/>
      <c r="Z624" s="33"/>
      <c r="AA624" s="33"/>
      <c r="AB624" s="33"/>
      <c r="AC624" s="33"/>
      <c r="AD624" s="33"/>
      <c r="AE624" s="33"/>
      <c r="AF624" s="33"/>
      <c r="AG624" s="33"/>
      <c r="AH624" s="33"/>
      <c r="AI624" s="33"/>
      <c r="AJ624" s="33"/>
      <c r="AK624" s="33"/>
      <c r="AL624" s="33"/>
      <c r="AM624" s="33"/>
      <c r="AN624" s="33"/>
      <c r="AO624" s="33"/>
      <c r="AP624" s="33"/>
      <c r="AQ624" s="33"/>
      <c r="AR624" s="33"/>
      <c r="AS624" s="33"/>
      <c r="AT624" s="33"/>
      <c r="AU624" s="33"/>
      <c r="AV624" s="33"/>
      <c r="AW624" s="33"/>
      <c r="AX624" s="33"/>
      <c r="AY624" s="33"/>
      <c r="AZ624" s="33"/>
      <c r="BA624" s="33"/>
      <c r="BB624" s="33"/>
      <c r="BC624" s="33"/>
      <c r="BD624" s="33"/>
      <c r="BE624" s="33"/>
      <c r="BF624" s="33"/>
      <c r="BG624" s="33"/>
      <c r="BH624" s="33"/>
      <c r="BI624" s="33"/>
      <c r="BJ624" s="33"/>
      <c r="BK624" s="33"/>
      <c r="BL624" s="33"/>
      <c r="BM624" s="33"/>
      <c r="BN624" s="33"/>
      <c r="BO624" s="33"/>
      <c r="BP624" s="33"/>
      <c r="BQ624" s="33"/>
      <c r="BR624" s="33"/>
      <c r="BS624" s="33"/>
      <c r="BT624" s="33"/>
      <c r="BU624" s="33"/>
      <c r="BV624" s="33"/>
      <c r="BW624" s="33"/>
      <c r="BX624" s="33"/>
      <c r="BY624" s="33"/>
      <c r="BZ624" s="33"/>
      <c r="CA624" s="33"/>
      <c r="CB624" s="33"/>
      <c r="CC624" s="33"/>
      <c r="CD624" s="33"/>
      <c r="CE624" s="33"/>
      <c r="CF624" s="33"/>
      <c r="CG624" s="33"/>
      <c r="CH624" s="33"/>
      <c r="CI624" s="33"/>
      <c r="CJ624" s="33"/>
      <c r="CK624" s="33"/>
      <c r="CL624" s="33"/>
      <c r="CM624" s="33"/>
      <c r="CN624" s="33"/>
      <c r="CO624" s="33"/>
      <c r="CP624" s="33"/>
      <c r="CQ624" s="33"/>
      <c r="CR624" s="33"/>
      <c r="CS624" s="33"/>
      <c r="CT624" s="33"/>
      <c r="CU624" s="33"/>
      <c r="CV624" s="33"/>
      <c r="CW624" s="33"/>
      <c r="CX624" s="33"/>
      <c r="CY624" s="33"/>
      <c r="CZ624" s="33"/>
      <c r="DA624" s="33"/>
      <c r="DB624" s="33"/>
      <c r="DC624" s="33"/>
      <c r="DD624" s="33"/>
      <c r="DE624" s="33"/>
      <c r="DF624" s="33"/>
      <c r="DG624" s="33"/>
      <c r="DH624" s="33"/>
      <c r="DI624" s="33"/>
      <c r="DJ624" s="33"/>
      <c r="DK624" s="33"/>
      <c r="DL624" s="33"/>
      <c r="DM624" s="33"/>
      <c r="DN624" s="33"/>
      <c r="DO624" s="33"/>
      <c r="DP624" s="33"/>
      <c r="DQ624" s="33"/>
      <c r="DR624" s="33"/>
      <c r="DS624" s="33"/>
      <c r="DT624" s="33"/>
      <c r="DU624" s="33"/>
      <c r="DV624" s="33"/>
      <c r="DW624" s="33"/>
      <c r="DX624" s="33"/>
      <c r="DY624" s="33"/>
      <c r="DZ624" s="33"/>
      <c r="EA624" s="33"/>
      <c r="EB624" s="33"/>
      <c r="EC624" s="33"/>
      <c r="ED624" s="33"/>
      <c r="EE624" s="33"/>
      <c r="EF624" s="33"/>
      <c r="EG624" s="33"/>
      <c r="EH624" s="33"/>
      <c r="EI624" s="33"/>
      <c r="EJ624" s="33"/>
      <c r="EK624" s="33"/>
      <c r="EL624" s="33"/>
      <c r="EM624" s="33"/>
      <c r="EN624" s="33"/>
      <c r="EO624" s="33"/>
      <c r="EP624" s="33"/>
      <c r="EQ624" s="33"/>
      <c r="ER624" s="33"/>
      <c r="ES624" s="33"/>
    </row>
    <row r="625">
      <c r="A625" s="33"/>
      <c r="B625" s="33"/>
      <c r="C625" s="33"/>
      <c r="D625" s="33"/>
      <c r="E625" s="33"/>
      <c r="F625" s="33"/>
      <c r="G625" s="85"/>
      <c r="H625" s="85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33"/>
      <c r="Y625" s="33"/>
      <c r="Z625" s="33"/>
      <c r="AA625" s="33"/>
      <c r="AB625" s="33"/>
      <c r="AC625" s="33"/>
      <c r="AD625" s="33"/>
      <c r="AE625" s="33"/>
      <c r="AF625" s="33"/>
      <c r="AG625" s="33"/>
      <c r="AH625" s="33"/>
      <c r="AI625" s="33"/>
      <c r="AJ625" s="33"/>
      <c r="AK625" s="33"/>
      <c r="AL625" s="33"/>
      <c r="AM625" s="33"/>
      <c r="AN625" s="33"/>
      <c r="AO625" s="33"/>
      <c r="AP625" s="33"/>
      <c r="AQ625" s="33"/>
      <c r="AR625" s="33"/>
      <c r="AS625" s="33"/>
      <c r="AT625" s="33"/>
      <c r="AU625" s="33"/>
      <c r="AV625" s="33"/>
      <c r="AW625" s="33"/>
      <c r="AX625" s="33"/>
      <c r="AY625" s="33"/>
      <c r="AZ625" s="33"/>
      <c r="BA625" s="33"/>
      <c r="BB625" s="33"/>
      <c r="BC625" s="33"/>
      <c r="BD625" s="33"/>
      <c r="BE625" s="33"/>
      <c r="BF625" s="33"/>
      <c r="BG625" s="33"/>
      <c r="BH625" s="33"/>
      <c r="BI625" s="33"/>
      <c r="BJ625" s="33"/>
      <c r="BK625" s="33"/>
      <c r="BL625" s="33"/>
      <c r="BM625" s="33"/>
      <c r="BN625" s="33"/>
      <c r="BO625" s="33"/>
      <c r="BP625" s="33"/>
      <c r="BQ625" s="33"/>
      <c r="BR625" s="33"/>
      <c r="BS625" s="33"/>
      <c r="BT625" s="33"/>
      <c r="BU625" s="33"/>
      <c r="BV625" s="33"/>
      <c r="BW625" s="33"/>
      <c r="BX625" s="33"/>
      <c r="BY625" s="33"/>
      <c r="BZ625" s="33"/>
      <c r="CA625" s="33"/>
      <c r="CB625" s="33"/>
      <c r="CC625" s="33"/>
      <c r="CD625" s="33"/>
      <c r="CE625" s="33"/>
      <c r="CF625" s="33"/>
      <c r="CG625" s="33"/>
      <c r="CH625" s="33"/>
      <c r="CI625" s="33"/>
      <c r="CJ625" s="33"/>
      <c r="CK625" s="33"/>
      <c r="CL625" s="33"/>
      <c r="CM625" s="33"/>
      <c r="CN625" s="33"/>
      <c r="CO625" s="33"/>
      <c r="CP625" s="33"/>
      <c r="CQ625" s="33"/>
      <c r="CR625" s="33"/>
      <c r="CS625" s="33"/>
      <c r="CT625" s="33"/>
      <c r="CU625" s="33"/>
      <c r="CV625" s="33"/>
      <c r="CW625" s="33"/>
      <c r="CX625" s="33"/>
      <c r="CY625" s="33"/>
      <c r="CZ625" s="33"/>
      <c r="DA625" s="33"/>
      <c r="DB625" s="33"/>
      <c r="DC625" s="33"/>
      <c r="DD625" s="33"/>
      <c r="DE625" s="33"/>
      <c r="DF625" s="33"/>
      <c r="DG625" s="33"/>
      <c r="DH625" s="33"/>
      <c r="DI625" s="33"/>
      <c r="DJ625" s="33"/>
      <c r="DK625" s="33"/>
      <c r="DL625" s="33"/>
      <c r="DM625" s="33"/>
      <c r="DN625" s="33"/>
      <c r="DO625" s="33"/>
      <c r="DP625" s="33"/>
      <c r="DQ625" s="33"/>
      <c r="DR625" s="33"/>
      <c r="DS625" s="33"/>
      <c r="DT625" s="33"/>
      <c r="DU625" s="33"/>
      <c r="DV625" s="33"/>
      <c r="DW625" s="33"/>
      <c r="DX625" s="33"/>
      <c r="DY625" s="33"/>
      <c r="DZ625" s="33"/>
      <c r="EA625" s="33"/>
      <c r="EB625" s="33"/>
      <c r="EC625" s="33"/>
      <c r="ED625" s="33"/>
      <c r="EE625" s="33"/>
      <c r="EF625" s="33"/>
      <c r="EG625" s="33"/>
      <c r="EH625" s="33"/>
      <c r="EI625" s="33"/>
      <c r="EJ625" s="33"/>
      <c r="EK625" s="33"/>
      <c r="EL625" s="33"/>
      <c r="EM625" s="33"/>
      <c r="EN625" s="33"/>
      <c r="EO625" s="33"/>
      <c r="EP625" s="33"/>
      <c r="EQ625" s="33"/>
      <c r="ER625" s="33"/>
      <c r="ES625" s="33"/>
    </row>
    <row r="626">
      <c r="A626" s="33"/>
      <c r="B626" s="33"/>
      <c r="C626" s="33"/>
      <c r="D626" s="33"/>
      <c r="E626" s="33"/>
      <c r="F626" s="33"/>
      <c r="G626" s="85"/>
      <c r="H626" s="85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33"/>
      <c r="Y626" s="33"/>
      <c r="Z626" s="33"/>
      <c r="AA626" s="33"/>
      <c r="AB626" s="33"/>
      <c r="AC626" s="33"/>
      <c r="AD626" s="33"/>
      <c r="AE626" s="33"/>
      <c r="AF626" s="33"/>
      <c r="AG626" s="33"/>
      <c r="AH626" s="33"/>
      <c r="AI626" s="33"/>
      <c r="AJ626" s="33"/>
      <c r="AK626" s="33"/>
      <c r="AL626" s="33"/>
      <c r="AM626" s="33"/>
      <c r="AN626" s="33"/>
      <c r="AO626" s="33"/>
      <c r="AP626" s="33"/>
      <c r="AQ626" s="33"/>
      <c r="AR626" s="33"/>
      <c r="AS626" s="33"/>
      <c r="AT626" s="33"/>
      <c r="AU626" s="33"/>
      <c r="AV626" s="33"/>
      <c r="AW626" s="33"/>
      <c r="AX626" s="33"/>
      <c r="AY626" s="33"/>
      <c r="AZ626" s="33"/>
      <c r="BA626" s="33"/>
      <c r="BB626" s="33"/>
      <c r="BC626" s="33"/>
      <c r="BD626" s="33"/>
      <c r="BE626" s="33"/>
      <c r="BF626" s="33"/>
      <c r="BG626" s="33"/>
      <c r="BH626" s="33"/>
      <c r="BI626" s="33"/>
      <c r="BJ626" s="33"/>
      <c r="BK626" s="33"/>
      <c r="BL626" s="33"/>
      <c r="BM626" s="33"/>
      <c r="BN626" s="33"/>
      <c r="BO626" s="33"/>
      <c r="BP626" s="33"/>
      <c r="BQ626" s="33"/>
      <c r="BR626" s="33"/>
      <c r="BS626" s="33"/>
      <c r="BT626" s="33"/>
      <c r="BU626" s="33"/>
      <c r="BV626" s="33"/>
      <c r="BW626" s="33"/>
      <c r="BX626" s="33"/>
      <c r="BY626" s="33"/>
      <c r="BZ626" s="33"/>
      <c r="CA626" s="33"/>
      <c r="CB626" s="33"/>
      <c r="CC626" s="33"/>
      <c r="CD626" s="33"/>
      <c r="CE626" s="33"/>
      <c r="CF626" s="33"/>
      <c r="CG626" s="33"/>
      <c r="CH626" s="33"/>
      <c r="CI626" s="33"/>
      <c r="CJ626" s="33"/>
      <c r="CK626" s="33"/>
      <c r="CL626" s="33"/>
      <c r="CM626" s="33"/>
      <c r="CN626" s="33"/>
      <c r="CO626" s="33"/>
      <c r="CP626" s="33"/>
      <c r="CQ626" s="33"/>
      <c r="CR626" s="33"/>
      <c r="CS626" s="33"/>
      <c r="CT626" s="33"/>
      <c r="CU626" s="33"/>
      <c r="CV626" s="33"/>
      <c r="CW626" s="33"/>
      <c r="CX626" s="33"/>
      <c r="CY626" s="33"/>
      <c r="CZ626" s="33"/>
      <c r="DA626" s="33"/>
      <c r="DB626" s="33"/>
      <c r="DC626" s="33"/>
      <c r="DD626" s="33"/>
      <c r="DE626" s="33"/>
      <c r="DF626" s="33"/>
      <c r="DG626" s="33"/>
      <c r="DH626" s="33"/>
      <c r="DI626" s="33"/>
      <c r="DJ626" s="33"/>
      <c r="DK626" s="33"/>
      <c r="DL626" s="33"/>
      <c r="DM626" s="33"/>
      <c r="DN626" s="33"/>
      <c r="DO626" s="33"/>
      <c r="DP626" s="33"/>
      <c r="DQ626" s="33"/>
      <c r="DR626" s="33"/>
      <c r="DS626" s="33"/>
      <c r="DT626" s="33"/>
      <c r="DU626" s="33"/>
      <c r="DV626" s="33"/>
      <c r="DW626" s="33"/>
      <c r="DX626" s="33"/>
      <c r="DY626" s="33"/>
      <c r="DZ626" s="33"/>
      <c r="EA626" s="33"/>
      <c r="EB626" s="33"/>
      <c r="EC626" s="33"/>
      <c r="ED626" s="33"/>
      <c r="EE626" s="33"/>
      <c r="EF626" s="33"/>
      <c r="EG626" s="33"/>
      <c r="EH626" s="33"/>
      <c r="EI626" s="33"/>
      <c r="EJ626" s="33"/>
      <c r="EK626" s="33"/>
      <c r="EL626" s="33"/>
      <c r="EM626" s="33"/>
      <c r="EN626" s="33"/>
      <c r="EO626" s="33"/>
      <c r="EP626" s="33"/>
      <c r="EQ626" s="33"/>
      <c r="ER626" s="33"/>
      <c r="ES626" s="33"/>
    </row>
    <row r="627">
      <c r="A627" s="33"/>
      <c r="B627" s="33"/>
      <c r="C627" s="33"/>
      <c r="D627" s="33"/>
      <c r="E627" s="33"/>
      <c r="F627" s="33"/>
      <c r="G627" s="85"/>
      <c r="H627" s="85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33"/>
      <c r="Y627" s="33"/>
      <c r="Z627" s="33"/>
      <c r="AA627" s="33"/>
      <c r="AB627" s="33"/>
      <c r="AC627" s="33"/>
      <c r="AD627" s="33"/>
      <c r="AE627" s="33"/>
      <c r="AF627" s="33"/>
      <c r="AG627" s="33"/>
      <c r="AH627" s="33"/>
      <c r="AI627" s="33"/>
      <c r="AJ627" s="33"/>
      <c r="AK627" s="33"/>
      <c r="AL627" s="33"/>
      <c r="AM627" s="33"/>
      <c r="AN627" s="33"/>
      <c r="AO627" s="33"/>
      <c r="AP627" s="33"/>
      <c r="AQ627" s="33"/>
      <c r="AR627" s="33"/>
      <c r="AS627" s="33"/>
      <c r="AT627" s="33"/>
      <c r="AU627" s="33"/>
      <c r="AV627" s="33"/>
      <c r="AW627" s="33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  <c r="BI627" s="33"/>
      <c r="BJ627" s="33"/>
      <c r="BK627" s="33"/>
      <c r="BL627" s="33"/>
      <c r="BM627" s="33"/>
      <c r="BN627" s="33"/>
      <c r="BO627" s="33"/>
      <c r="BP627" s="33"/>
      <c r="BQ627" s="33"/>
      <c r="BR627" s="33"/>
      <c r="BS627" s="33"/>
      <c r="BT627" s="33"/>
      <c r="BU627" s="33"/>
      <c r="BV627" s="33"/>
      <c r="BW627" s="33"/>
      <c r="BX627" s="33"/>
      <c r="BY627" s="33"/>
      <c r="BZ627" s="33"/>
      <c r="CA627" s="33"/>
      <c r="CB627" s="33"/>
      <c r="CC627" s="33"/>
      <c r="CD627" s="33"/>
      <c r="CE627" s="33"/>
      <c r="CF627" s="33"/>
      <c r="CG627" s="33"/>
      <c r="CH627" s="33"/>
      <c r="CI627" s="33"/>
      <c r="CJ627" s="33"/>
      <c r="CK627" s="33"/>
      <c r="CL627" s="33"/>
      <c r="CM627" s="33"/>
      <c r="CN627" s="33"/>
      <c r="CO627" s="33"/>
      <c r="CP627" s="33"/>
      <c r="CQ627" s="33"/>
      <c r="CR627" s="33"/>
      <c r="CS627" s="33"/>
      <c r="CT627" s="33"/>
      <c r="CU627" s="33"/>
      <c r="CV627" s="33"/>
      <c r="CW627" s="33"/>
      <c r="CX627" s="33"/>
      <c r="CY627" s="33"/>
      <c r="CZ627" s="33"/>
      <c r="DA627" s="33"/>
      <c r="DB627" s="33"/>
      <c r="DC627" s="33"/>
      <c r="DD627" s="33"/>
      <c r="DE627" s="33"/>
      <c r="DF627" s="33"/>
      <c r="DG627" s="33"/>
      <c r="DH627" s="33"/>
      <c r="DI627" s="33"/>
      <c r="DJ627" s="33"/>
      <c r="DK627" s="33"/>
      <c r="DL627" s="33"/>
      <c r="DM627" s="33"/>
      <c r="DN627" s="33"/>
      <c r="DO627" s="33"/>
      <c r="DP627" s="33"/>
      <c r="DQ627" s="33"/>
      <c r="DR627" s="33"/>
      <c r="DS627" s="33"/>
      <c r="DT627" s="33"/>
      <c r="DU627" s="33"/>
      <c r="DV627" s="33"/>
      <c r="DW627" s="33"/>
      <c r="DX627" s="33"/>
      <c r="DY627" s="33"/>
      <c r="DZ627" s="33"/>
      <c r="EA627" s="33"/>
      <c r="EB627" s="33"/>
      <c r="EC627" s="33"/>
      <c r="ED627" s="33"/>
      <c r="EE627" s="33"/>
      <c r="EF627" s="33"/>
      <c r="EG627" s="33"/>
      <c r="EH627" s="33"/>
      <c r="EI627" s="33"/>
      <c r="EJ627" s="33"/>
      <c r="EK627" s="33"/>
      <c r="EL627" s="33"/>
      <c r="EM627" s="33"/>
      <c r="EN627" s="33"/>
      <c r="EO627" s="33"/>
      <c r="EP627" s="33"/>
      <c r="EQ627" s="33"/>
      <c r="ER627" s="33"/>
      <c r="ES627" s="33"/>
    </row>
    <row r="628">
      <c r="A628" s="33"/>
      <c r="B628" s="33"/>
      <c r="C628" s="33"/>
      <c r="D628" s="33"/>
      <c r="E628" s="33"/>
      <c r="F628" s="33"/>
      <c r="G628" s="85"/>
      <c r="H628" s="85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33"/>
      <c r="Y628" s="33"/>
      <c r="Z628" s="33"/>
      <c r="AA628" s="33"/>
      <c r="AB628" s="33"/>
      <c r="AC628" s="33"/>
      <c r="AD628" s="33"/>
      <c r="AE628" s="33"/>
      <c r="AF628" s="33"/>
      <c r="AG628" s="33"/>
      <c r="AH628" s="33"/>
      <c r="AI628" s="33"/>
      <c r="AJ628" s="33"/>
      <c r="AK628" s="33"/>
      <c r="AL628" s="33"/>
      <c r="AM628" s="33"/>
      <c r="AN628" s="33"/>
      <c r="AO628" s="33"/>
      <c r="AP628" s="33"/>
      <c r="AQ628" s="33"/>
      <c r="AR628" s="33"/>
      <c r="AS628" s="33"/>
      <c r="AT628" s="33"/>
      <c r="AU628" s="33"/>
      <c r="AV628" s="33"/>
      <c r="AW628" s="33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  <c r="BI628" s="33"/>
      <c r="BJ628" s="33"/>
      <c r="BK628" s="33"/>
      <c r="BL628" s="33"/>
      <c r="BM628" s="33"/>
      <c r="BN628" s="33"/>
      <c r="BO628" s="33"/>
      <c r="BP628" s="33"/>
      <c r="BQ628" s="33"/>
      <c r="BR628" s="33"/>
      <c r="BS628" s="33"/>
      <c r="BT628" s="33"/>
      <c r="BU628" s="33"/>
      <c r="BV628" s="33"/>
      <c r="BW628" s="33"/>
      <c r="BX628" s="33"/>
      <c r="BY628" s="33"/>
      <c r="BZ628" s="33"/>
      <c r="CA628" s="33"/>
      <c r="CB628" s="33"/>
      <c r="CC628" s="33"/>
      <c r="CD628" s="33"/>
      <c r="CE628" s="33"/>
      <c r="CF628" s="33"/>
      <c r="CG628" s="33"/>
      <c r="CH628" s="33"/>
      <c r="CI628" s="33"/>
      <c r="CJ628" s="33"/>
      <c r="CK628" s="33"/>
      <c r="CL628" s="33"/>
      <c r="CM628" s="33"/>
      <c r="CN628" s="33"/>
      <c r="CO628" s="33"/>
      <c r="CP628" s="33"/>
      <c r="CQ628" s="33"/>
      <c r="CR628" s="33"/>
      <c r="CS628" s="33"/>
      <c r="CT628" s="33"/>
      <c r="CU628" s="33"/>
      <c r="CV628" s="33"/>
      <c r="CW628" s="33"/>
      <c r="CX628" s="33"/>
      <c r="CY628" s="33"/>
      <c r="CZ628" s="33"/>
      <c r="DA628" s="33"/>
      <c r="DB628" s="33"/>
      <c r="DC628" s="33"/>
      <c r="DD628" s="33"/>
      <c r="DE628" s="33"/>
      <c r="DF628" s="33"/>
      <c r="DG628" s="33"/>
      <c r="DH628" s="33"/>
      <c r="DI628" s="33"/>
      <c r="DJ628" s="33"/>
      <c r="DK628" s="33"/>
      <c r="DL628" s="33"/>
      <c r="DM628" s="33"/>
      <c r="DN628" s="33"/>
      <c r="DO628" s="33"/>
      <c r="DP628" s="33"/>
      <c r="DQ628" s="33"/>
      <c r="DR628" s="33"/>
      <c r="DS628" s="33"/>
      <c r="DT628" s="33"/>
      <c r="DU628" s="33"/>
      <c r="DV628" s="33"/>
      <c r="DW628" s="33"/>
      <c r="DX628" s="33"/>
      <c r="DY628" s="33"/>
      <c r="DZ628" s="33"/>
      <c r="EA628" s="33"/>
      <c r="EB628" s="33"/>
      <c r="EC628" s="33"/>
      <c r="ED628" s="33"/>
      <c r="EE628" s="33"/>
      <c r="EF628" s="33"/>
      <c r="EG628" s="33"/>
      <c r="EH628" s="33"/>
      <c r="EI628" s="33"/>
      <c r="EJ628" s="33"/>
      <c r="EK628" s="33"/>
      <c r="EL628" s="33"/>
      <c r="EM628" s="33"/>
      <c r="EN628" s="33"/>
      <c r="EO628" s="33"/>
      <c r="EP628" s="33"/>
      <c r="EQ628" s="33"/>
      <c r="ER628" s="33"/>
      <c r="ES628" s="33"/>
    </row>
    <row r="629">
      <c r="A629" s="33"/>
      <c r="B629" s="33"/>
      <c r="C629" s="33"/>
      <c r="D629" s="33"/>
      <c r="E629" s="33"/>
      <c r="F629" s="33"/>
      <c r="G629" s="85"/>
      <c r="H629" s="85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33"/>
      <c r="Y629" s="33"/>
      <c r="Z629" s="33"/>
      <c r="AA629" s="33"/>
      <c r="AB629" s="33"/>
      <c r="AC629" s="33"/>
      <c r="AD629" s="33"/>
      <c r="AE629" s="33"/>
      <c r="AF629" s="33"/>
      <c r="AG629" s="33"/>
      <c r="AH629" s="33"/>
      <c r="AI629" s="33"/>
      <c r="AJ629" s="33"/>
      <c r="AK629" s="33"/>
      <c r="AL629" s="33"/>
      <c r="AM629" s="33"/>
      <c r="AN629" s="33"/>
      <c r="AO629" s="33"/>
      <c r="AP629" s="33"/>
      <c r="AQ629" s="33"/>
      <c r="AR629" s="33"/>
      <c r="AS629" s="33"/>
      <c r="AT629" s="33"/>
      <c r="AU629" s="33"/>
      <c r="AV629" s="33"/>
      <c r="AW629" s="33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  <c r="BI629" s="33"/>
      <c r="BJ629" s="33"/>
      <c r="BK629" s="33"/>
      <c r="BL629" s="33"/>
      <c r="BM629" s="33"/>
      <c r="BN629" s="33"/>
      <c r="BO629" s="33"/>
      <c r="BP629" s="33"/>
      <c r="BQ629" s="33"/>
      <c r="BR629" s="33"/>
      <c r="BS629" s="33"/>
      <c r="BT629" s="33"/>
      <c r="BU629" s="33"/>
      <c r="BV629" s="33"/>
      <c r="BW629" s="33"/>
      <c r="BX629" s="33"/>
      <c r="BY629" s="33"/>
      <c r="BZ629" s="33"/>
      <c r="CA629" s="33"/>
      <c r="CB629" s="33"/>
      <c r="CC629" s="33"/>
      <c r="CD629" s="33"/>
      <c r="CE629" s="33"/>
      <c r="CF629" s="33"/>
      <c r="CG629" s="33"/>
      <c r="CH629" s="33"/>
      <c r="CI629" s="33"/>
      <c r="CJ629" s="33"/>
      <c r="CK629" s="33"/>
      <c r="CL629" s="33"/>
      <c r="CM629" s="33"/>
      <c r="CN629" s="33"/>
      <c r="CO629" s="33"/>
      <c r="CP629" s="33"/>
      <c r="CQ629" s="33"/>
      <c r="CR629" s="33"/>
      <c r="CS629" s="33"/>
      <c r="CT629" s="33"/>
      <c r="CU629" s="33"/>
      <c r="CV629" s="33"/>
      <c r="CW629" s="33"/>
      <c r="CX629" s="33"/>
      <c r="CY629" s="33"/>
      <c r="CZ629" s="33"/>
      <c r="DA629" s="33"/>
      <c r="DB629" s="33"/>
      <c r="DC629" s="33"/>
      <c r="DD629" s="33"/>
      <c r="DE629" s="33"/>
      <c r="DF629" s="33"/>
      <c r="DG629" s="33"/>
      <c r="DH629" s="33"/>
      <c r="DI629" s="33"/>
      <c r="DJ629" s="33"/>
      <c r="DK629" s="33"/>
      <c r="DL629" s="33"/>
      <c r="DM629" s="33"/>
      <c r="DN629" s="33"/>
      <c r="DO629" s="33"/>
      <c r="DP629" s="33"/>
      <c r="DQ629" s="33"/>
      <c r="DR629" s="33"/>
      <c r="DS629" s="33"/>
      <c r="DT629" s="33"/>
      <c r="DU629" s="33"/>
      <c r="DV629" s="33"/>
      <c r="DW629" s="33"/>
      <c r="DX629" s="33"/>
      <c r="DY629" s="33"/>
      <c r="DZ629" s="33"/>
      <c r="EA629" s="33"/>
      <c r="EB629" s="33"/>
      <c r="EC629" s="33"/>
      <c r="ED629" s="33"/>
      <c r="EE629" s="33"/>
      <c r="EF629" s="33"/>
      <c r="EG629" s="33"/>
      <c r="EH629" s="33"/>
      <c r="EI629" s="33"/>
      <c r="EJ629" s="33"/>
      <c r="EK629" s="33"/>
      <c r="EL629" s="33"/>
      <c r="EM629" s="33"/>
      <c r="EN629" s="33"/>
      <c r="EO629" s="33"/>
      <c r="EP629" s="33"/>
      <c r="EQ629" s="33"/>
      <c r="ER629" s="33"/>
      <c r="ES629" s="33"/>
    </row>
    <row r="630">
      <c r="A630" s="33"/>
      <c r="B630" s="33"/>
      <c r="C630" s="33"/>
      <c r="D630" s="33"/>
      <c r="E630" s="33"/>
      <c r="F630" s="33"/>
      <c r="G630" s="85"/>
      <c r="H630" s="85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33"/>
      <c r="Y630" s="33"/>
      <c r="Z630" s="33"/>
      <c r="AA630" s="33"/>
      <c r="AB630" s="33"/>
      <c r="AC630" s="33"/>
      <c r="AD630" s="33"/>
      <c r="AE630" s="33"/>
      <c r="AF630" s="33"/>
      <c r="AG630" s="33"/>
      <c r="AH630" s="33"/>
      <c r="AI630" s="33"/>
      <c r="AJ630" s="33"/>
      <c r="AK630" s="33"/>
      <c r="AL630" s="33"/>
      <c r="AM630" s="33"/>
      <c r="AN630" s="33"/>
      <c r="AO630" s="33"/>
      <c r="AP630" s="33"/>
      <c r="AQ630" s="33"/>
      <c r="AR630" s="33"/>
      <c r="AS630" s="33"/>
      <c r="AT630" s="33"/>
      <c r="AU630" s="33"/>
      <c r="AV630" s="33"/>
      <c r="AW630" s="33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  <c r="BI630" s="33"/>
      <c r="BJ630" s="33"/>
      <c r="BK630" s="33"/>
      <c r="BL630" s="33"/>
      <c r="BM630" s="33"/>
      <c r="BN630" s="33"/>
      <c r="BO630" s="33"/>
      <c r="BP630" s="33"/>
      <c r="BQ630" s="33"/>
      <c r="BR630" s="33"/>
      <c r="BS630" s="33"/>
      <c r="BT630" s="33"/>
      <c r="BU630" s="33"/>
      <c r="BV630" s="33"/>
      <c r="BW630" s="33"/>
      <c r="BX630" s="33"/>
      <c r="BY630" s="33"/>
      <c r="BZ630" s="33"/>
      <c r="CA630" s="33"/>
      <c r="CB630" s="33"/>
      <c r="CC630" s="33"/>
      <c r="CD630" s="33"/>
      <c r="CE630" s="33"/>
      <c r="CF630" s="33"/>
      <c r="CG630" s="33"/>
      <c r="CH630" s="33"/>
      <c r="CI630" s="33"/>
      <c r="CJ630" s="33"/>
      <c r="CK630" s="33"/>
      <c r="CL630" s="33"/>
      <c r="CM630" s="33"/>
      <c r="CN630" s="33"/>
      <c r="CO630" s="33"/>
      <c r="CP630" s="33"/>
      <c r="CQ630" s="33"/>
      <c r="CR630" s="33"/>
      <c r="CS630" s="33"/>
      <c r="CT630" s="33"/>
      <c r="CU630" s="33"/>
      <c r="CV630" s="33"/>
      <c r="CW630" s="33"/>
      <c r="CX630" s="33"/>
      <c r="CY630" s="33"/>
      <c r="CZ630" s="33"/>
      <c r="DA630" s="33"/>
      <c r="DB630" s="33"/>
      <c r="DC630" s="33"/>
      <c r="DD630" s="33"/>
      <c r="DE630" s="33"/>
      <c r="DF630" s="33"/>
      <c r="DG630" s="33"/>
      <c r="DH630" s="33"/>
      <c r="DI630" s="33"/>
      <c r="DJ630" s="33"/>
      <c r="DK630" s="33"/>
      <c r="DL630" s="33"/>
      <c r="DM630" s="33"/>
      <c r="DN630" s="33"/>
      <c r="DO630" s="33"/>
      <c r="DP630" s="33"/>
      <c r="DQ630" s="33"/>
      <c r="DR630" s="33"/>
      <c r="DS630" s="33"/>
      <c r="DT630" s="33"/>
      <c r="DU630" s="33"/>
      <c r="DV630" s="33"/>
      <c r="DW630" s="33"/>
      <c r="DX630" s="33"/>
      <c r="DY630" s="33"/>
      <c r="DZ630" s="33"/>
      <c r="EA630" s="33"/>
      <c r="EB630" s="33"/>
      <c r="EC630" s="33"/>
      <c r="ED630" s="33"/>
      <c r="EE630" s="33"/>
      <c r="EF630" s="33"/>
      <c r="EG630" s="33"/>
      <c r="EH630" s="33"/>
      <c r="EI630" s="33"/>
      <c r="EJ630" s="33"/>
      <c r="EK630" s="33"/>
      <c r="EL630" s="33"/>
      <c r="EM630" s="33"/>
      <c r="EN630" s="33"/>
      <c r="EO630" s="33"/>
      <c r="EP630" s="33"/>
      <c r="EQ630" s="33"/>
      <c r="ER630" s="33"/>
      <c r="ES630" s="33"/>
    </row>
    <row r="631">
      <c r="A631" s="33"/>
      <c r="B631" s="33"/>
      <c r="C631" s="33"/>
      <c r="D631" s="33"/>
      <c r="E631" s="33"/>
      <c r="F631" s="33"/>
      <c r="G631" s="85"/>
      <c r="H631" s="85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33"/>
      <c r="Y631" s="33"/>
      <c r="Z631" s="33"/>
      <c r="AA631" s="33"/>
      <c r="AB631" s="33"/>
      <c r="AC631" s="33"/>
      <c r="AD631" s="33"/>
      <c r="AE631" s="33"/>
      <c r="AF631" s="33"/>
      <c r="AG631" s="33"/>
      <c r="AH631" s="33"/>
      <c r="AI631" s="33"/>
      <c r="AJ631" s="33"/>
      <c r="AK631" s="33"/>
      <c r="AL631" s="33"/>
      <c r="AM631" s="33"/>
      <c r="AN631" s="33"/>
      <c r="AO631" s="33"/>
      <c r="AP631" s="33"/>
      <c r="AQ631" s="33"/>
      <c r="AR631" s="33"/>
      <c r="AS631" s="33"/>
      <c r="AT631" s="33"/>
      <c r="AU631" s="33"/>
      <c r="AV631" s="33"/>
      <c r="AW631" s="33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  <c r="BI631" s="33"/>
      <c r="BJ631" s="33"/>
      <c r="BK631" s="33"/>
      <c r="BL631" s="33"/>
      <c r="BM631" s="33"/>
      <c r="BN631" s="33"/>
      <c r="BO631" s="33"/>
      <c r="BP631" s="33"/>
      <c r="BQ631" s="33"/>
      <c r="BR631" s="33"/>
      <c r="BS631" s="33"/>
      <c r="BT631" s="33"/>
      <c r="BU631" s="33"/>
      <c r="BV631" s="33"/>
      <c r="BW631" s="33"/>
      <c r="BX631" s="33"/>
      <c r="BY631" s="33"/>
      <c r="BZ631" s="33"/>
      <c r="CA631" s="33"/>
      <c r="CB631" s="33"/>
      <c r="CC631" s="33"/>
      <c r="CD631" s="33"/>
      <c r="CE631" s="33"/>
      <c r="CF631" s="33"/>
      <c r="CG631" s="33"/>
      <c r="CH631" s="33"/>
      <c r="CI631" s="33"/>
      <c r="CJ631" s="33"/>
      <c r="CK631" s="33"/>
      <c r="CL631" s="33"/>
      <c r="CM631" s="33"/>
      <c r="CN631" s="33"/>
      <c r="CO631" s="33"/>
      <c r="CP631" s="33"/>
      <c r="CQ631" s="33"/>
      <c r="CR631" s="33"/>
      <c r="CS631" s="33"/>
      <c r="CT631" s="33"/>
      <c r="CU631" s="33"/>
      <c r="CV631" s="33"/>
      <c r="CW631" s="33"/>
      <c r="CX631" s="33"/>
      <c r="CY631" s="33"/>
      <c r="CZ631" s="33"/>
      <c r="DA631" s="33"/>
      <c r="DB631" s="33"/>
      <c r="DC631" s="33"/>
      <c r="DD631" s="33"/>
      <c r="DE631" s="33"/>
      <c r="DF631" s="33"/>
      <c r="DG631" s="33"/>
      <c r="DH631" s="33"/>
      <c r="DI631" s="33"/>
      <c r="DJ631" s="33"/>
      <c r="DK631" s="33"/>
      <c r="DL631" s="33"/>
      <c r="DM631" s="33"/>
      <c r="DN631" s="33"/>
      <c r="DO631" s="33"/>
      <c r="DP631" s="33"/>
      <c r="DQ631" s="33"/>
      <c r="DR631" s="33"/>
      <c r="DS631" s="33"/>
      <c r="DT631" s="33"/>
      <c r="DU631" s="33"/>
      <c r="DV631" s="33"/>
      <c r="DW631" s="33"/>
      <c r="DX631" s="33"/>
      <c r="DY631" s="33"/>
      <c r="DZ631" s="33"/>
      <c r="EA631" s="33"/>
      <c r="EB631" s="33"/>
      <c r="EC631" s="33"/>
      <c r="ED631" s="33"/>
      <c r="EE631" s="33"/>
      <c r="EF631" s="33"/>
      <c r="EG631" s="33"/>
      <c r="EH631" s="33"/>
      <c r="EI631" s="33"/>
      <c r="EJ631" s="33"/>
      <c r="EK631" s="33"/>
      <c r="EL631" s="33"/>
      <c r="EM631" s="33"/>
      <c r="EN631" s="33"/>
      <c r="EO631" s="33"/>
      <c r="EP631" s="33"/>
      <c r="EQ631" s="33"/>
      <c r="ER631" s="33"/>
      <c r="ES631" s="33"/>
    </row>
    <row r="632">
      <c r="A632" s="33"/>
      <c r="B632" s="33"/>
      <c r="C632" s="33"/>
      <c r="D632" s="33"/>
      <c r="E632" s="33"/>
      <c r="F632" s="33"/>
      <c r="G632" s="85"/>
      <c r="H632" s="85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33"/>
      <c r="Y632" s="33"/>
      <c r="Z632" s="33"/>
      <c r="AA632" s="33"/>
      <c r="AB632" s="33"/>
      <c r="AC632" s="33"/>
      <c r="AD632" s="33"/>
      <c r="AE632" s="33"/>
      <c r="AF632" s="33"/>
      <c r="AG632" s="33"/>
      <c r="AH632" s="33"/>
      <c r="AI632" s="33"/>
      <c r="AJ632" s="33"/>
      <c r="AK632" s="33"/>
      <c r="AL632" s="33"/>
      <c r="AM632" s="33"/>
      <c r="AN632" s="33"/>
      <c r="AO632" s="33"/>
      <c r="AP632" s="33"/>
      <c r="AQ632" s="33"/>
      <c r="AR632" s="33"/>
      <c r="AS632" s="33"/>
      <c r="AT632" s="33"/>
      <c r="AU632" s="33"/>
      <c r="AV632" s="33"/>
      <c r="AW632" s="33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  <c r="BI632" s="33"/>
      <c r="BJ632" s="33"/>
      <c r="BK632" s="33"/>
      <c r="BL632" s="33"/>
      <c r="BM632" s="33"/>
      <c r="BN632" s="33"/>
      <c r="BO632" s="33"/>
      <c r="BP632" s="33"/>
      <c r="BQ632" s="33"/>
      <c r="BR632" s="33"/>
      <c r="BS632" s="33"/>
      <c r="BT632" s="33"/>
      <c r="BU632" s="33"/>
      <c r="BV632" s="33"/>
      <c r="BW632" s="33"/>
      <c r="BX632" s="33"/>
      <c r="BY632" s="33"/>
      <c r="BZ632" s="33"/>
      <c r="CA632" s="33"/>
      <c r="CB632" s="33"/>
      <c r="CC632" s="33"/>
      <c r="CD632" s="33"/>
      <c r="CE632" s="33"/>
      <c r="CF632" s="33"/>
      <c r="CG632" s="33"/>
      <c r="CH632" s="33"/>
      <c r="CI632" s="33"/>
      <c r="CJ632" s="33"/>
      <c r="CK632" s="33"/>
      <c r="CL632" s="33"/>
      <c r="CM632" s="33"/>
      <c r="CN632" s="33"/>
      <c r="CO632" s="33"/>
      <c r="CP632" s="33"/>
      <c r="CQ632" s="33"/>
      <c r="CR632" s="33"/>
      <c r="CS632" s="33"/>
      <c r="CT632" s="33"/>
      <c r="CU632" s="33"/>
      <c r="CV632" s="33"/>
      <c r="CW632" s="33"/>
      <c r="CX632" s="33"/>
      <c r="CY632" s="33"/>
      <c r="CZ632" s="33"/>
      <c r="DA632" s="33"/>
      <c r="DB632" s="33"/>
      <c r="DC632" s="33"/>
      <c r="DD632" s="33"/>
      <c r="DE632" s="33"/>
      <c r="DF632" s="33"/>
      <c r="DG632" s="33"/>
      <c r="DH632" s="33"/>
      <c r="DI632" s="33"/>
      <c r="DJ632" s="33"/>
      <c r="DK632" s="33"/>
      <c r="DL632" s="33"/>
      <c r="DM632" s="33"/>
      <c r="DN632" s="33"/>
      <c r="DO632" s="33"/>
      <c r="DP632" s="33"/>
      <c r="DQ632" s="33"/>
      <c r="DR632" s="33"/>
      <c r="DS632" s="33"/>
      <c r="DT632" s="33"/>
      <c r="DU632" s="33"/>
      <c r="DV632" s="33"/>
      <c r="DW632" s="33"/>
      <c r="DX632" s="33"/>
      <c r="DY632" s="33"/>
      <c r="DZ632" s="33"/>
      <c r="EA632" s="33"/>
      <c r="EB632" s="33"/>
      <c r="EC632" s="33"/>
      <c r="ED632" s="33"/>
      <c r="EE632" s="33"/>
      <c r="EF632" s="33"/>
      <c r="EG632" s="33"/>
      <c r="EH632" s="33"/>
      <c r="EI632" s="33"/>
      <c r="EJ632" s="33"/>
      <c r="EK632" s="33"/>
      <c r="EL632" s="33"/>
      <c r="EM632" s="33"/>
      <c r="EN632" s="33"/>
      <c r="EO632" s="33"/>
      <c r="EP632" s="33"/>
      <c r="EQ632" s="33"/>
      <c r="ER632" s="33"/>
      <c r="ES632" s="33"/>
    </row>
    <row r="633">
      <c r="A633" s="33"/>
      <c r="B633" s="33"/>
      <c r="C633" s="33"/>
      <c r="D633" s="33"/>
      <c r="E633" s="33"/>
      <c r="F633" s="33"/>
      <c r="G633" s="85"/>
      <c r="H633" s="85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33"/>
      <c r="Y633" s="33"/>
      <c r="Z633" s="33"/>
      <c r="AA633" s="33"/>
      <c r="AB633" s="33"/>
      <c r="AC633" s="33"/>
      <c r="AD633" s="33"/>
      <c r="AE633" s="33"/>
      <c r="AF633" s="33"/>
      <c r="AG633" s="33"/>
      <c r="AH633" s="33"/>
      <c r="AI633" s="33"/>
      <c r="AJ633" s="33"/>
      <c r="AK633" s="33"/>
      <c r="AL633" s="33"/>
      <c r="AM633" s="33"/>
      <c r="AN633" s="33"/>
      <c r="AO633" s="33"/>
      <c r="AP633" s="33"/>
      <c r="AQ633" s="33"/>
      <c r="AR633" s="33"/>
      <c r="AS633" s="33"/>
      <c r="AT633" s="33"/>
      <c r="AU633" s="33"/>
      <c r="AV633" s="33"/>
      <c r="AW633" s="33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  <c r="BI633" s="33"/>
      <c r="BJ633" s="33"/>
      <c r="BK633" s="33"/>
      <c r="BL633" s="33"/>
      <c r="BM633" s="33"/>
      <c r="BN633" s="33"/>
      <c r="BO633" s="33"/>
      <c r="BP633" s="33"/>
      <c r="BQ633" s="33"/>
      <c r="BR633" s="33"/>
      <c r="BS633" s="33"/>
      <c r="BT633" s="33"/>
      <c r="BU633" s="33"/>
      <c r="BV633" s="33"/>
      <c r="BW633" s="33"/>
      <c r="BX633" s="33"/>
      <c r="BY633" s="33"/>
      <c r="BZ633" s="33"/>
      <c r="CA633" s="33"/>
      <c r="CB633" s="33"/>
      <c r="CC633" s="33"/>
      <c r="CD633" s="33"/>
      <c r="CE633" s="33"/>
      <c r="CF633" s="33"/>
      <c r="CG633" s="33"/>
      <c r="CH633" s="33"/>
      <c r="CI633" s="33"/>
      <c r="CJ633" s="33"/>
      <c r="CK633" s="33"/>
      <c r="CL633" s="33"/>
      <c r="CM633" s="33"/>
      <c r="CN633" s="33"/>
      <c r="CO633" s="33"/>
      <c r="CP633" s="33"/>
      <c r="CQ633" s="33"/>
      <c r="CR633" s="33"/>
      <c r="CS633" s="33"/>
      <c r="CT633" s="33"/>
      <c r="CU633" s="33"/>
      <c r="CV633" s="33"/>
      <c r="CW633" s="33"/>
      <c r="CX633" s="33"/>
      <c r="CY633" s="33"/>
      <c r="CZ633" s="33"/>
      <c r="DA633" s="33"/>
      <c r="DB633" s="33"/>
      <c r="DC633" s="33"/>
      <c r="DD633" s="33"/>
      <c r="DE633" s="33"/>
      <c r="DF633" s="33"/>
      <c r="DG633" s="33"/>
      <c r="DH633" s="33"/>
      <c r="DI633" s="33"/>
      <c r="DJ633" s="33"/>
      <c r="DK633" s="33"/>
      <c r="DL633" s="33"/>
      <c r="DM633" s="33"/>
      <c r="DN633" s="33"/>
      <c r="DO633" s="33"/>
      <c r="DP633" s="33"/>
      <c r="DQ633" s="33"/>
      <c r="DR633" s="33"/>
      <c r="DS633" s="33"/>
      <c r="DT633" s="33"/>
      <c r="DU633" s="33"/>
      <c r="DV633" s="33"/>
      <c r="DW633" s="33"/>
      <c r="DX633" s="33"/>
      <c r="DY633" s="33"/>
      <c r="DZ633" s="33"/>
      <c r="EA633" s="33"/>
      <c r="EB633" s="33"/>
      <c r="EC633" s="33"/>
      <c r="ED633" s="33"/>
      <c r="EE633" s="33"/>
      <c r="EF633" s="33"/>
      <c r="EG633" s="33"/>
      <c r="EH633" s="33"/>
      <c r="EI633" s="33"/>
      <c r="EJ633" s="33"/>
      <c r="EK633" s="33"/>
      <c r="EL633" s="33"/>
      <c r="EM633" s="33"/>
      <c r="EN633" s="33"/>
      <c r="EO633" s="33"/>
      <c r="EP633" s="33"/>
      <c r="EQ633" s="33"/>
      <c r="ER633" s="33"/>
      <c r="ES633" s="33"/>
    </row>
    <row r="634">
      <c r="A634" s="33"/>
      <c r="B634" s="33"/>
      <c r="C634" s="33"/>
      <c r="D634" s="33"/>
      <c r="E634" s="33"/>
      <c r="F634" s="33"/>
      <c r="G634" s="85"/>
      <c r="H634" s="85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33"/>
      <c r="Y634" s="33"/>
      <c r="Z634" s="33"/>
      <c r="AA634" s="33"/>
      <c r="AB634" s="33"/>
      <c r="AC634" s="33"/>
      <c r="AD634" s="33"/>
      <c r="AE634" s="33"/>
      <c r="AF634" s="33"/>
      <c r="AG634" s="33"/>
      <c r="AH634" s="33"/>
      <c r="AI634" s="33"/>
      <c r="AJ634" s="33"/>
      <c r="AK634" s="33"/>
      <c r="AL634" s="33"/>
      <c r="AM634" s="33"/>
      <c r="AN634" s="33"/>
      <c r="AO634" s="33"/>
      <c r="AP634" s="33"/>
      <c r="AQ634" s="33"/>
      <c r="AR634" s="33"/>
      <c r="AS634" s="33"/>
      <c r="AT634" s="33"/>
      <c r="AU634" s="33"/>
      <c r="AV634" s="33"/>
      <c r="AW634" s="33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  <c r="BI634" s="33"/>
      <c r="BJ634" s="33"/>
      <c r="BK634" s="33"/>
      <c r="BL634" s="33"/>
      <c r="BM634" s="33"/>
      <c r="BN634" s="33"/>
      <c r="BO634" s="33"/>
      <c r="BP634" s="33"/>
      <c r="BQ634" s="33"/>
      <c r="BR634" s="33"/>
      <c r="BS634" s="33"/>
      <c r="BT634" s="33"/>
      <c r="BU634" s="33"/>
      <c r="BV634" s="33"/>
      <c r="BW634" s="33"/>
      <c r="BX634" s="33"/>
      <c r="BY634" s="33"/>
      <c r="BZ634" s="33"/>
      <c r="CA634" s="33"/>
      <c r="CB634" s="33"/>
      <c r="CC634" s="33"/>
      <c r="CD634" s="33"/>
      <c r="CE634" s="33"/>
      <c r="CF634" s="33"/>
      <c r="CG634" s="33"/>
      <c r="CH634" s="33"/>
      <c r="CI634" s="33"/>
      <c r="CJ634" s="33"/>
      <c r="CK634" s="33"/>
      <c r="CL634" s="33"/>
      <c r="CM634" s="33"/>
      <c r="CN634" s="33"/>
      <c r="CO634" s="33"/>
      <c r="CP634" s="33"/>
      <c r="CQ634" s="33"/>
      <c r="CR634" s="33"/>
      <c r="CS634" s="33"/>
      <c r="CT634" s="33"/>
      <c r="CU634" s="33"/>
      <c r="CV634" s="33"/>
      <c r="CW634" s="33"/>
      <c r="CX634" s="33"/>
      <c r="CY634" s="33"/>
      <c r="CZ634" s="33"/>
      <c r="DA634" s="33"/>
      <c r="DB634" s="33"/>
      <c r="DC634" s="33"/>
      <c r="DD634" s="33"/>
      <c r="DE634" s="33"/>
      <c r="DF634" s="33"/>
      <c r="DG634" s="33"/>
      <c r="DH634" s="33"/>
      <c r="DI634" s="33"/>
      <c r="DJ634" s="33"/>
      <c r="DK634" s="33"/>
      <c r="DL634" s="33"/>
      <c r="DM634" s="33"/>
      <c r="DN634" s="33"/>
      <c r="DO634" s="33"/>
      <c r="DP634" s="33"/>
      <c r="DQ634" s="33"/>
      <c r="DR634" s="33"/>
      <c r="DS634" s="33"/>
      <c r="DT634" s="33"/>
      <c r="DU634" s="33"/>
      <c r="DV634" s="33"/>
      <c r="DW634" s="33"/>
      <c r="DX634" s="33"/>
      <c r="DY634" s="33"/>
      <c r="DZ634" s="33"/>
      <c r="EA634" s="33"/>
      <c r="EB634" s="33"/>
      <c r="EC634" s="33"/>
      <c r="ED634" s="33"/>
      <c r="EE634" s="33"/>
      <c r="EF634" s="33"/>
      <c r="EG634" s="33"/>
      <c r="EH634" s="33"/>
      <c r="EI634" s="33"/>
      <c r="EJ634" s="33"/>
      <c r="EK634" s="33"/>
      <c r="EL634" s="33"/>
      <c r="EM634" s="33"/>
      <c r="EN634" s="33"/>
      <c r="EO634" s="33"/>
      <c r="EP634" s="33"/>
      <c r="EQ634" s="33"/>
      <c r="ER634" s="33"/>
      <c r="ES634" s="33"/>
    </row>
    <row r="635">
      <c r="A635" s="33"/>
      <c r="B635" s="33"/>
      <c r="C635" s="33"/>
      <c r="D635" s="33"/>
      <c r="E635" s="33"/>
      <c r="F635" s="33"/>
      <c r="G635" s="85"/>
      <c r="H635" s="85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33"/>
      <c r="Y635" s="33"/>
      <c r="Z635" s="33"/>
      <c r="AA635" s="33"/>
      <c r="AB635" s="33"/>
      <c r="AC635" s="33"/>
      <c r="AD635" s="33"/>
      <c r="AE635" s="33"/>
      <c r="AF635" s="33"/>
      <c r="AG635" s="33"/>
      <c r="AH635" s="33"/>
      <c r="AI635" s="33"/>
      <c r="AJ635" s="33"/>
      <c r="AK635" s="33"/>
      <c r="AL635" s="33"/>
      <c r="AM635" s="33"/>
      <c r="AN635" s="33"/>
      <c r="AO635" s="33"/>
      <c r="AP635" s="33"/>
      <c r="AQ635" s="33"/>
      <c r="AR635" s="33"/>
      <c r="AS635" s="33"/>
      <c r="AT635" s="33"/>
      <c r="AU635" s="33"/>
      <c r="AV635" s="33"/>
      <c r="AW635" s="33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  <c r="BI635" s="33"/>
      <c r="BJ635" s="33"/>
      <c r="BK635" s="33"/>
      <c r="BL635" s="33"/>
      <c r="BM635" s="33"/>
      <c r="BN635" s="33"/>
      <c r="BO635" s="33"/>
      <c r="BP635" s="33"/>
      <c r="BQ635" s="33"/>
      <c r="BR635" s="33"/>
      <c r="BS635" s="33"/>
      <c r="BT635" s="33"/>
      <c r="BU635" s="33"/>
      <c r="BV635" s="33"/>
      <c r="BW635" s="33"/>
      <c r="BX635" s="33"/>
      <c r="BY635" s="33"/>
      <c r="BZ635" s="33"/>
      <c r="CA635" s="33"/>
      <c r="CB635" s="33"/>
      <c r="CC635" s="33"/>
      <c r="CD635" s="33"/>
      <c r="CE635" s="33"/>
      <c r="CF635" s="33"/>
      <c r="CG635" s="33"/>
      <c r="CH635" s="33"/>
      <c r="CI635" s="33"/>
      <c r="CJ635" s="33"/>
      <c r="CK635" s="33"/>
      <c r="CL635" s="33"/>
      <c r="CM635" s="33"/>
      <c r="CN635" s="33"/>
      <c r="CO635" s="33"/>
      <c r="CP635" s="33"/>
      <c r="CQ635" s="33"/>
      <c r="CR635" s="33"/>
      <c r="CS635" s="33"/>
      <c r="CT635" s="33"/>
      <c r="CU635" s="33"/>
      <c r="CV635" s="33"/>
      <c r="CW635" s="33"/>
      <c r="CX635" s="33"/>
      <c r="CY635" s="33"/>
      <c r="CZ635" s="33"/>
      <c r="DA635" s="33"/>
      <c r="DB635" s="33"/>
      <c r="DC635" s="33"/>
      <c r="DD635" s="33"/>
      <c r="DE635" s="33"/>
      <c r="DF635" s="33"/>
      <c r="DG635" s="33"/>
      <c r="DH635" s="33"/>
      <c r="DI635" s="33"/>
      <c r="DJ635" s="33"/>
      <c r="DK635" s="33"/>
      <c r="DL635" s="33"/>
      <c r="DM635" s="33"/>
      <c r="DN635" s="33"/>
      <c r="DO635" s="33"/>
      <c r="DP635" s="33"/>
      <c r="DQ635" s="33"/>
      <c r="DR635" s="33"/>
      <c r="DS635" s="33"/>
      <c r="DT635" s="33"/>
      <c r="DU635" s="33"/>
      <c r="DV635" s="33"/>
      <c r="DW635" s="33"/>
      <c r="DX635" s="33"/>
      <c r="DY635" s="33"/>
      <c r="DZ635" s="33"/>
      <c r="EA635" s="33"/>
      <c r="EB635" s="33"/>
      <c r="EC635" s="33"/>
      <c r="ED635" s="33"/>
      <c r="EE635" s="33"/>
      <c r="EF635" s="33"/>
      <c r="EG635" s="33"/>
      <c r="EH635" s="33"/>
      <c r="EI635" s="33"/>
      <c r="EJ635" s="33"/>
      <c r="EK635" s="33"/>
      <c r="EL635" s="33"/>
      <c r="EM635" s="33"/>
      <c r="EN635" s="33"/>
      <c r="EO635" s="33"/>
      <c r="EP635" s="33"/>
      <c r="EQ635" s="33"/>
      <c r="ER635" s="33"/>
      <c r="ES635" s="33"/>
    </row>
    <row r="636">
      <c r="A636" s="33"/>
      <c r="B636" s="33"/>
      <c r="C636" s="33"/>
      <c r="D636" s="33"/>
      <c r="E636" s="33"/>
      <c r="F636" s="33"/>
      <c r="G636" s="85"/>
      <c r="H636" s="85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33"/>
      <c r="Y636" s="33"/>
      <c r="Z636" s="33"/>
      <c r="AA636" s="33"/>
      <c r="AB636" s="33"/>
      <c r="AC636" s="33"/>
      <c r="AD636" s="33"/>
      <c r="AE636" s="33"/>
      <c r="AF636" s="33"/>
      <c r="AG636" s="33"/>
      <c r="AH636" s="33"/>
      <c r="AI636" s="33"/>
      <c r="AJ636" s="33"/>
      <c r="AK636" s="33"/>
      <c r="AL636" s="33"/>
      <c r="AM636" s="33"/>
      <c r="AN636" s="33"/>
      <c r="AO636" s="33"/>
      <c r="AP636" s="33"/>
      <c r="AQ636" s="33"/>
      <c r="AR636" s="33"/>
      <c r="AS636" s="33"/>
      <c r="AT636" s="33"/>
      <c r="AU636" s="33"/>
      <c r="AV636" s="33"/>
      <c r="AW636" s="33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  <c r="BI636" s="33"/>
      <c r="BJ636" s="33"/>
      <c r="BK636" s="33"/>
      <c r="BL636" s="33"/>
      <c r="BM636" s="33"/>
      <c r="BN636" s="33"/>
      <c r="BO636" s="33"/>
      <c r="BP636" s="33"/>
      <c r="BQ636" s="33"/>
      <c r="BR636" s="33"/>
      <c r="BS636" s="33"/>
      <c r="BT636" s="33"/>
      <c r="BU636" s="33"/>
      <c r="BV636" s="33"/>
      <c r="BW636" s="33"/>
      <c r="BX636" s="33"/>
      <c r="BY636" s="33"/>
      <c r="BZ636" s="33"/>
      <c r="CA636" s="33"/>
      <c r="CB636" s="33"/>
      <c r="CC636" s="33"/>
      <c r="CD636" s="33"/>
      <c r="CE636" s="33"/>
      <c r="CF636" s="33"/>
      <c r="CG636" s="33"/>
      <c r="CH636" s="33"/>
      <c r="CI636" s="33"/>
      <c r="CJ636" s="33"/>
      <c r="CK636" s="33"/>
      <c r="CL636" s="33"/>
      <c r="CM636" s="33"/>
      <c r="CN636" s="33"/>
      <c r="CO636" s="33"/>
      <c r="CP636" s="33"/>
      <c r="CQ636" s="33"/>
      <c r="CR636" s="33"/>
      <c r="CS636" s="33"/>
      <c r="CT636" s="33"/>
      <c r="CU636" s="33"/>
      <c r="CV636" s="33"/>
      <c r="CW636" s="33"/>
      <c r="CX636" s="33"/>
      <c r="CY636" s="33"/>
      <c r="CZ636" s="33"/>
      <c r="DA636" s="33"/>
      <c r="DB636" s="33"/>
      <c r="DC636" s="33"/>
      <c r="DD636" s="33"/>
      <c r="DE636" s="33"/>
      <c r="DF636" s="33"/>
      <c r="DG636" s="33"/>
      <c r="DH636" s="33"/>
      <c r="DI636" s="33"/>
      <c r="DJ636" s="33"/>
      <c r="DK636" s="33"/>
      <c r="DL636" s="33"/>
      <c r="DM636" s="33"/>
      <c r="DN636" s="33"/>
      <c r="DO636" s="33"/>
      <c r="DP636" s="33"/>
      <c r="DQ636" s="33"/>
      <c r="DR636" s="33"/>
      <c r="DS636" s="33"/>
      <c r="DT636" s="33"/>
      <c r="DU636" s="33"/>
      <c r="DV636" s="33"/>
      <c r="DW636" s="33"/>
      <c r="DX636" s="33"/>
      <c r="DY636" s="33"/>
      <c r="DZ636" s="33"/>
      <c r="EA636" s="33"/>
      <c r="EB636" s="33"/>
      <c r="EC636" s="33"/>
      <c r="ED636" s="33"/>
      <c r="EE636" s="33"/>
      <c r="EF636" s="33"/>
      <c r="EG636" s="33"/>
      <c r="EH636" s="33"/>
      <c r="EI636" s="33"/>
      <c r="EJ636" s="33"/>
      <c r="EK636" s="33"/>
      <c r="EL636" s="33"/>
      <c r="EM636" s="33"/>
      <c r="EN636" s="33"/>
      <c r="EO636" s="33"/>
      <c r="EP636" s="33"/>
      <c r="EQ636" s="33"/>
      <c r="ER636" s="33"/>
      <c r="ES636" s="33"/>
    </row>
    <row r="637">
      <c r="A637" s="33"/>
      <c r="B637" s="33"/>
      <c r="C637" s="33"/>
      <c r="D637" s="33"/>
      <c r="E637" s="33"/>
      <c r="F637" s="33"/>
      <c r="G637" s="85"/>
      <c r="H637" s="85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33"/>
      <c r="Y637" s="33"/>
      <c r="Z637" s="33"/>
      <c r="AA637" s="33"/>
      <c r="AB637" s="33"/>
      <c r="AC637" s="33"/>
      <c r="AD637" s="33"/>
      <c r="AE637" s="33"/>
      <c r="AF637" s="33"/>
      <c r="AG637" s="33"/>
      <c r="AH637" s="33"/>
      <c r="AI637" s="33"/>
      <c r="AJ637" s="33"/>
      <c r="AK637" s="33"/>
      <c r="AL637" s="33"/>
      <c r="AM637" s="33"/>
      <c r="AN637" s="33"/>
      <c r="AO637" s="33"/>
      <c r="AP637" s="33"/>
      <c r="AQ637" s="33"/>
      <c r="AR637" s="33"/>
      <c r="AS637" s="33"/>
      <c r="AT637" s="33"/>
      <c r="AU637" s="33"/>
      <c r="AV637" s="33"/>
      <c r="AW637" s="33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  <c r="BI637" s="33"/>
      <c r="BJ637" s="33"/>
      <c r="BK637" s="33"/>
      <c r="BL637" s="33"/>
      <c r="BM637" s="33"/>
      <c r="BN637" s="33"/>
      <c r="BO637" s="33"/>
      <c r="BP637" s="33"/>
      <c r="BQ637" s="33"/>
      <c r="BR637" s="33"/>
      <c r="BS637" s="33"/>
      <c r="BT637" s="33"/>
      <c r="BU637" s="33"/>
      <c r="BV637" s="33"/>
      <c r="BW637" s="33"/>
      <c r="BX637" s="33"/>
      <c r="BY637" s="33"/>
      <c r="BZ637" s="33"/>
      <c r="CA637" s="33"/>
      <c r="CB637" s="33"/>
      <c r="CC637" s="33"/>
      <c r="CD637" s="33"/>
      <c r="CE637" s="33"/>
      <c r="CF637" s="33"/>
      <c r="CG637" s="33"/>
      <c r="CH637" s="33"/>
      <c r="CI637" s="33"/>
      <c r="CJ637" s="33"/>
      <c r="CK637" s="33"/>
      <c r="CL637" s="33"/>
      <c r="CM637" s="33"/>
      <c r="CN637" s="33"/>
      <c r="CO637" s="33"/>
      <c r="CP637" s="33"/>
      <c r="CQ637" s="33"/>
      <c r="CR637" s="33"/>
      <c r="CS637" s="33"/>
      <c r="CT637" s="33"/>
      <c r="CU637" s="33"/>
      <c r="CV637" s="33"/>
      <c r="CW637" s="33"/>
      <c r="CX637" s="33"/>
      <c r="CY637" s="33"/>
      <c r="CZ637" s="33"/>
      <c r="DA637" s="33"/>
      <c r="DB637" s="33"/>
      <c r="DC637" s="33"/>
      <c r="DD637" s="33"/>
      <c r="DE637" s="33"/>
      <c r="DF637" s="33"/>
      <c r="DG637" s="33"/>
      <c r="DH637" s="33"/>
      <c r="DI637" s="33"/>
      <c r="DJ637" s="33"/>
      <c r="DK637" s="33"/>
      <c r="DL637" s="33"/>
      <c r="DM637" s="33"/>
      <c r="DN637" s="33"/>
      <c r="DO637" s="33"/>
      <c r="DP637" s="33"/>
      <c r="DQ637" s="33"/>
      <c r="DR637" s="33"/>
      <c r="DS637" s="33"/>
      <c r="DT637" s="33"/>
      <c r="DU637" s="33"/>
      <c r="DV637" s="33"/>
      <c r="DW637" s="33"/>
      <c r="DX637" s="33"/>
      <c r="DY637" s="33"/>
      <c r="DZ637" s="33"/>
      <c r="EA637" s="33"/>
      <c r="EB637" s="33"/>
      <c r="EC637" s="33"/>
      <c r="ED637" s="33"/>
      <c r="EE637" s="33"/>
      <c r="EF637" s="33"/>
      <c r="EG637" s="33"/>
      <c r="EH637" s="33"/>
      <c r="EI637" s="33"/>
      <c r="EJ637" s="33"/>
      <c r="EK637" s="33"/>
      <c r="EL637" s="33"/>
      <c r="EM637" s="33"/>
      <c r="EN637" s="33"/>
      <c r="EO637" s="33"/>
      <c r="EP637" s="33"/>
      <c r="EQ637" s="33"/>
      <c r="ER637" s="33"/>
      <c r="ES637" s="33"/>
    </row>
    <row r="638">
      <c r="A638" s="33"/>
      <c r="B638" s="33"/>
      <c r="C638" s="33"/>
      <c r="D638" s="33"/>
      <c r="E638" s="33"/>
      <c r="F638" s="33"/>
      <c r="G638" s="85"/>
      <c r="H638" s="85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3"/>
      <c r="AA638" s="33"/>
      <c r="AB638" s="33"/>
      <c r="AC638" s="33"/>
      <c r="AD638" s="33"/>
      <c r="AE638" s="33"/>
      <c r="AF638" s="33"/>
      <c r="AG638" s="33"/>
      <c r="AH638" s="33"/>
      <c r="AI638" s="33"/>
      <c r="AJ638" s="33"/>
      <c r="AK638" s="33"/>
      <c r="AL638" s="33"/>
      <c r="AM638" s="33"/>
      <c r="AN638" s="33"/>
      <c r="AO638" s="33"/>
      <c r="AP638" s="33"/>
      <c r="AQ638" s="33"/>
      <c r="AR638" s="33"/>
      <c r="AS638" s="33"/>
      <c r="AT638" s="33"/>
      <c r="AU638" s="33"/>
      <c r="AV638" s="33"/>
      <c r="AW638" s="33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  <c r="BI638" s="33"/>
      <c r="BJ638" s="33"/>
      <c r="BK638" s="33"/>
      <c r="BL638" s="33"/>
      <c r="BM638" s="33"/>
      <c r="BN638" s="33"/>
      <c r="BO638" s="33"/>
      <c r="BP638" s="33"/>
      <c r="BQ638" s="33"/>
      <c r="BR638" s="33"/>
      <c r="BS638" s="33"/>
      <c r="BT638" s="33"/>
      <c r="BU638" s="33"/>
      <c r="BV638" s="33"/>
      <c r="BW638" s="33"/>
      <c r="BX638" s="33"/>
      <c r="BY638" s="33"/>
      <c r="BZ638" s="33"/>
      <c r="CA638" s="33"/>
      <c r="CB638" s="33"/>
      <c r="CC638" s="33"/>
      <c r="CD638" s="33"/>
      <c r="CE638" s="33"/>
      <c r="CF638" s="33"/>
      <c r="CG638" s="33"/>
      <c r="CH638" s="33"/>
      <c r="CI638" s="33"/>
      <c r="CJ638" s="33"/>
      <c r="CK638" s="33"/>
      <c r="CL638" s="33"/>
      <c r="CM638" s="33"/>
      <c r="CN638" s="33"/>
      <c r="CO638" s="33"/>
      <c r="CP638" s="33"/>
      <c r="CQ638" s="33"/>
      <c r="CR638" s="33"/>
      <c r="CS638" s="33"/>
      <c r="CT638" s="33"/>
      <c r="CU638" s="33"/>
      <c r="CV638" s="33"/>
      <c r="CW638" s="33"/>
      <c r="CX638" s="33"/>
      <c r="CY638" s="33"/>
      <c r="CZ638" s="33"/>
      <c r="DA638" s="33"/>
      <c r="DB638" s="33"/>
      <c r="DC638" s="33"/>
      <c r="DD638" s="33"/>
      <c r="DE638" s="33"/>
      <c r="DF638" s="33"/>
      <c r="DG638" s="33"/>
      <c r="DH638" s="33"/>
      <c r="DI638" s="33"/>
      <c r="DJ638" s="33"/>
      <c r="DK638" s="33"/>
      <c r="DL638" s="33"/>
      <c r="DM638" s="33"/>
      <c r="DN638" s="33"/>
      <c r="DO638" s="33"/>
      <c r="DP638" s="33"/>
      <c r="DQ638" s="33"/>
      <c r="DR638" s="33"/>
      <c r="DS638" s="33"/>
      <c r="DT638" s="33"/>
      <c r="DU638" s="33"/>
      <c r="DV638" s="33"/>
      <c r="DW638" s="33"/>
      <c r="DX638" s="33"/>
      <c r="DY638" s="33"/>
      <c r="DZ638" s="33"/>
      <c r="EA638" s="33"/>
      <c r="EB638" s="33"/>
      <c r="EC638" s="33"/>
      <c r="ED638" s="33"/>
      <c r="EE638" s="33"/>
      <c r="EF638" s="33"/>
      <c r="EG638" s="33"/>
      <c r="EH638" s="33"/>
      <c r="EI638" s="33"/>
      <c r="EJ638" s="33"/>
      <c r="EK638" s="33"/>
      <c r="EL638" s="33"/>
      <c r="EM638" s="33"/>
      <c r="EN638" s="33"/>
      <c r="EO638" s="33"/>
      <c r="EP638" s="33"/>
      <c r="EQ638" s="33"/>
      <c r="ER638" s="33"/>
      <c r="ES638" s="33"/>
    </row>
    <row r="639">
      <c r="A639" s="33"/>
      <c r="B639" s="33"/>
      <c r="C639" s="33"/>
      <c r="D639" s="33"/>
      <c r="E639" s="33"/>
      <c r="F639" s="33"/>
      <c r="G639" s="85"/>
      <c r="H639" s="85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33"/>
      <c r="Y639" s="33"/>
      <c r="Z639" s="33"/>
      <c r="AA639" s="33"/>
      <c r="AB639" s="33"/>
      <c r="AC639" s="33"/>
      <c r="AD639" s="33"/>
      <c r="AE639" s="33"/>
      <c r="AF639" s="33"/>
      <c r="AG639" s="33"/>
      <c r="AH639" s="33"/>
      <c r="AI639" s="33"/>
      <c r="AJ639" s="33"/>
      <c r="AK639" s="33"/>
      <c r="AL639" s="33"/>
      <c r="AM639" s="33"/>
      <c r="AN639" s="33"/>
      <c r="AO639" s="33"/>
      <c r="AP639" s="33"/>
      <c r="AQ639" s="33"/>
      <c r="AR639" s="33"/>
      <c r="AS639" s="33"/>
      <c r="AT639" s="33"/>
      <c r="AU639" s="33"/>
      <c r="AV639" s="33"/>
      <c r="AW639" s="33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  <c r="BI639" s="33"/>
      <c r="BJ639" s="33"/>
      <c r="BK639" s="33"/>
      <c r="BL639" s="33"/>
      <c r="BM639" s="33"/>
      <c r="BN639" s="33"/>
      <c r="BO639" s="33"/>
      <c r="BP639" s="33"/>
      <c r="BQ639" s="33"/>
      <c r="BR639" s="33"/>
      <c r="BS639" s="33"/>
      <c r="BT639" s="33"/>
      <c r="BU639" s="33"/>
      <c r="BV639" s="33"/>
      <c r="BW639" s="33"/>
      <c r="BX639" s="33"/>
      <c r="BY639" s="33"/>
      <c r="BZ639" s="33"/>
      <c r="CA639" s="33"/>
      <c r="CB639" s="33"/>
      <c r="CC639" s="33"/>
      <c r="CD639" s="33"/>
      <c r="CE639" s="33"/>
      <c r="CF639" s="33"/>
      <c r="CG639" s="33"/>
      <c r="CH639" s="33"/>
      <c r="CI639" s="33"/>
      <c r="CJ639" s="33"/>
      <c r="CK639" s="33"/>
      <c r="CL639" s="33"/>
      <c r="CM639" s="33"/>
      <c r="CN639" s="33"/>
      <c r="CO639" s="33"/>
      <c r="CP639" s="33"/>
      <c r="CQ639" s="33"/>
      <c r="CR639" s="33"/>
      <c r="CS639" s="33"/>
      <c r="CT639" s="33"/>
      <c r="CU639" s="33"/>
      <c r="CV639" s="33"/>
      <c r="CW639" s="33"/>
      <c r="CX639" s="33"/>
      <c r="CY639" s="33"/>
      <c r="CZ639" s="33"/>
      <c r="DA639" s="33"/>
      <c r="DB639" s="33"/>
      <c r="DC639" s="33"/>
      <c r="DD639" s="33"/>
      <c r="DE639" s="33"/>
      <c r="DF639" s="33"/>
      <c r="DG639" s="33"/>
      <c r="DH639" s="33"/>
      <c r="DI639" s="33"/>
      <c r="DJ639" s="33"/>
      <c r="DK639" s="33"/>
      <c r="DL639" s="33"/>
      <c r="DM639" s="33"/>
      <c r="DN639" s="33"/>
      <c r="DO639" s="33"/>
      <c r="DP639" s="33"/>
      <c r="DQ639" s="33"/>
      <c r="DR639" s="33"/>
      <c r="DS639" s="33"/>
      <c r="DT639" s="33"/>
      <c r="DU639" s="33"/>
      <c r="DV639" s="33"/>
      <c r="DW639" s="33"/>
      <c r="DX639" s="33"/>
      <c r="DY639" s="33"/>
      <c r="DZ639" s="33"/>
      <c r="EA639" s="33"/>
      <c r="EB639" s="33"/>
      <c r="EC639" s="33"/>
      <c r="ED639" s="33"/>
      <c r="EE639" s="33"/>
      <c r="EF639" s="33"/>
      <c r="EG639" s="33"/>
      <c r="EH639" s="33"/>
      <c r="EI639" s="33"/>
      <c r="EJ639" s="33"/>
      <c r="EK639" s="33"/>
      <c r="EL639" s="33"/>
      <c r="EM639" s="33"/>
      <c r="EN639" s="33"/>
      <c r="EO639" s="33"/>
      <c r="EP639" s="33"/>
      <c r="EQ639" s="33"/>
      <c r="ER639" s="33"/>
      <c r="ES639" s="33"/>
    </row>
    <row r="640">
      <c r="A640" s="33"/>
      <c r="B640" s="33"/>
      <c r="C640" s="33"/>
      <c r="D640" s="33"/>
      <c r="E640" s="33"/>
      <c r="F640" s="33"/>
      <c r="G640" s="85"/>
      <c r="H640" s="85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33"/>
      <c r="Y640" s="33"/>
      <c r="Z640" s="33"/>
      <c r="AA640" s="33"/>
      <c r="AB640" s="33"/>
      <c r="AC640" s="33"/>
      <c r="AD640" s="33"/>
      <c r="AE640" s="33"/>
      <c r="AF640" s="33"/>
      <c r="AG640" s="33"/>
      <c r="AH640" s="33"/>
      <c r="AI640" s="33"/>
      <c r="AJ640" s="33"/>
      <c r="AK640" s="33"/>
      <c r="AL640" s="33"/>
      <c r="AM640" s="33"/>
      <c r="AN640" s="33"/>
      <c r="AO640" s="33"/>
      <c r="AP640" s="33"/>
      <c r="AQ640" s="33"/>
      <c r="AR640" s="33"/>
      <c r="AS640" s="33"/>
      <c r="AT640" s="33"/>
      <c r="AU640" s="33"/>
      <c r="AV640" s="33"/>
      <c r="AW640" s="33"/>
      <c r="AX640" s="33"/>
      <c r="AY640" s="33"/>
      <c r="AZ640" s="33"/>
      <c r="BA640" s="33"/>
      <c r="BB640" s="33"/>
      <c r="BC640" s="33"/>
      <c r="BD640" s="33"/>
      <c r="BE640" s="33"/>
      <c r="BF640" s="33"/>
      <c r="BG640" s="33"/>
      <c r="BH640" s="33"/>
      <c r="BI640" s="33"/>
      <c r="BJ640" s="33"/>
      <c r="BK640" s="33"/>
      <c r="BL640" s="33"/>
      <c r="BM640" s="33"/>
      <c r="BN640" s="33"/>
      <c r="BO640" s="33"/>
      <c r="BP640" s="33"/>
      <c r="BQ640" s="33"/>
      <c r="BR640" s="33"/>
      <c r="BS640" s="33"/>
      <c r="BT640" s="33"/>
      <c r="BU640" s="33"/>
      <c r="BV640" s="33"/>
      <c r="BW640" s="33"/>
      <c r="BX640" s="33"/>
      <c r="BY640" s="33"/>
      <c r="BZ640" s="33"/>
      <c r="CA640" s="33"/>
      <c r="CB640" s="33"/>
      <c r="CC640" s="33"/>
      <c r="CD640" s="33"/>
      <c r="CE640" s="33"/>
      <c r="CF640" s="33"/>
      <c r="CG640" s="33"/>
      <c r="CH640" s="33"/>
      <c r="CI640" s="33"/>
      <c r="CJ640" s="33"/>
      <c r="CK640" s="33"/>
      <c r="CL640" s="33"/>
      <c r="CM640" s="33"/>
      <c r="CN640" s="33"/>
      <c r="CO640" s="33"/>
      <c r="CP640" s="33"/>
      <c r="CQ640" s="33"/>
      <c r="CR640" s="33"/>
      <c r="CS640" s="33"/>
      <c r="CT640" s="33"/>
      <c r="CU640" s="33"/>
      <c r="CV640" s="33"/>
      <c r="CW640" s="33"/>
      <c r="CX640" s="33"/>
      <c r="CY640" s="33"/>
      <c r="CZ640" s="33"/>
      <c r="DA640" s="33"/>
      <c r="DB640" s="33"/>
      <c r="DC640" s="33"/>
      <c r="DD640" s="33"/>
      <c r="DE640" s="33"/>
      <c r="DF640" s="33"/>
      <c r="DG640" s="33"/>
      <c r="DH640" s="33"/>
      <c r="DI640" s="33"/>
      <c r="DJ640" s="33"/>
      <c r="DK640" s="33"/>
      <c r="DL640" s="33"/>
      <c r="DM640" s="33"/>
      <c r="DN640" s="33"/>
      <c r="DO640" s="33"/>
      <c r="DP640" s="33"/>
      <c r="DQ640" s="33"/>
      <c r="DR640" s="33"/>
      <c r="DS640" s="33"/>
      <c r="DT640" s="33"/>
      <c r="DU640" s="33"/>
      <c r="DV640" s="33"/>
      <c r="DW640" s="33"/>
      <c r="DX640" s="33"/>
      <c r="DY640" s="33"/>
      <c r="DZ640" s="33"/>
      <c r="EA640" s="33"/>
      <c r="EB640" s="33"/>
      <c r="EC640" s="33"/>
      <c r="ED640" s="33"/>
      <c r="EE640" s="33"/>
      <c r="EF640" s="33"/>
      <c r="EG640" s="33"/>
      <c r="EH640" s="33"/>
      <c r="EI640" s="33"/>
      <c r="EJ640" s="33"/>
      <c r="EK640" s="33"/>
      <c r="EL640" s="33"/>
      <c r="EM640" s="33"/>
      <c r="EN640" s="33"/>
      <c r="EO640" s="33"/>
      <c r="EP640" s="33"/>
      <c r="EQ640" s="33"/>
      <c r="ER640" s="33"/>
      <c r="ES640" s="33"/>
    </row>
    <row r="641">
      <c r="A641" s="33"/>
      <c r="B641" s="33"/>
      <c r="C641" s="33"/>
      <c r="D641" s="33"/>
      <c r="E641" s="33"/>
      <c r="F641" s="33"/>
      <c r="G641" s="85"/>
      <c r="H641" s="85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33"/>
      <c r="Y641" s="33"/>
      <c r="Z641" s="33"/>
      <c r="AA641" s="33"/>
      <c r="AB641" s="33"/>
      <c r="AC641" s="33"/>
      <c r="AD641" s="33"/>
      <c r="AE641" s="33"/>
      <c r="AF641" s="33"/>
      <c r="AG641" s="33"/>
      <c r="AH641" s="33"/>
      <c r="AI641" s="33"/>
      <c r="AJ641" s="33"/>
      <c r="AK641" s="33"/>
      <c r="AL641" s="33"/>
      <c r="AM641" s="33"/>
      <c r="AN641" s="33"/>
      <c r="AO641" s="33"/>
      <c r="AP641" s="33"/>
      <c r="AQ641" s="33"/>
      <c r="AR641" s="33"/>
      <c r="AS641" s="33"/>
      <c r="AT641" s="33"/>
      <c r="AU641" s="33"/>
      <c r="AV641" s="33"/>
      <c r="AW641" s="33"/>
      <c r="AX641" s="33"/>
      <c r="AY641" s="33"/>
      <c r="AZ641" s="33"/>
      <c r="BA641" s="33"/>
      <c r="BB641" s="33"/>
      <c r="BC641" s="33"/>
      <c r="BD641" s="33"/>
      <c r="BE641" s="33"/>
      <c r="BF641" s="33"/>
      <c r="BG641" s="33"/>
      <c r="BH641" s="33"/>
      <c r="BI641" s="33"/>
      <c r="BJ641" s="33"/>
      <c r="BK641" s="33"/>
      <c r="BL641" s="33"/>
      <c r="BM641" s="33"/>
      <c r="BN641" s="33"/>
      <c r="BO641" s="33"/>
      <c r="BP641" s="33"/>
      <c r="BQ641" s="33"/>
      <c r="BR641" s="33"/>
      <c r="BS641" s="33"/>
      <c r="BT641" s="33"/>
      <c r="BU641" s="33"/>
      <c r="BV641" s="33"/>
      <c r="BW641" s="33"/>
      <c r="BX641" s="33"/>
      <c r="BY641" s="33"/>
      <c r="BZ641" s="33"/>
      <c r="CA641" s="33"/>
      <c r="CB641" s="33"/>
      <c r="CC641" s="33"/>
      <c r="CD641" s="33"/>
      <c r="CE641" s="33"/>
      <c r="CF641" s="33"/>
      <c r="CG641" s="33"/>
      <c r="CH641" s="33"/>
      <c r="CI641" s="33"/>
      <c r="CJ641" s="33"/>
      <c r="CK641" s="33"/>
      <c r="CL641" s="33"/>
      <c r="CM641" s="33"/>
      <c r="CN641" s="33"/>
      <c r="CO641" s="33"/>
      <c r="CP641" s="33"/>
      <c r="CQ641" s="33"/>
      <c r="CR641" s="33"/>
      <c r="CS641" s="33"/>
      <c r="CT641" s="33"/>
      <c r="CU641" s="33"/>
      <c r="CV641" s="33"/>
      <c r="CW641" s="33"/>
      <c r="CX641" s="33"/>
      <c r="CY641" s="33"/>
      <c r="CZ641" s="33"/>
      <c r="DA641" s="33"/>
      <c r="DB641" s="33"/>
      <c r="DC641" s="33"/>
      <c r="DD641" s="33"/>
      <c r="DE641" s="33"/>
      <c r="DF641" s="33"/>
      <c r="DG641" s="33"/>
      <c r="DH641" s="33"/>
      <c r="DI641" s="33"/>
      <c r="DJ641" s="33"/>
      <c r="DK641" s="33"/>
      <c r="DL641" s="33"/>
      <c r="DM641" s="33"/>
      <c r="DN641" s="33"/>
      <c r="DO641" s="33"/>
      <c r="DP641" s="33"/>
      <c r="DQ641" s="33"/>
      <c r="DR641" s="33"/>
      <c r="DS641" s="33"/>
      <c r="DT641" s="33"/>
      <c r="DU641" s="33"/>
      <c r="DV641" s="33"/>
      <c r="DW641" s="33"/>
      <c r="DX641" s="33"/>
      <c r="DY641" s="33"/>
      <c r="DZ641" s="33"/>
      <c r="EA641" s="33"/>
      <c r="EB641" s="33"/>
      <c r="EC641" s="33"/>
      <c r="ED641" s="33"/>
      <c r="EE641" s="33"/>
      <c r="EF641" s="33"/>
      <c r="EG641" s="33"/>
      <c r="EH641" s="33"/>
      <c r="EI641" s="33"/>
      <c r="EJ641" s="33"/>
      <c r="EK641" s="33"/>
      <c r="EL641" s="33"/>
      <c r="EM641" s="33"/>
      <c r="EN641" s="33"/>
      <c r="EO641" s="33"/>
      <c r="EP641" s="33"/>
      <c r="EQ641" s="33"/>
      <c r="ER641" s="33"/>
      <c r="ES641" s="33"/>
    </row>
    <row r="642">
      <c r="A642" s="33"/>
      <c r="B642" s="33"/>
      <c r="C642" s="33"/>
      <c r="D642" s="33"/>
      <c r="E642" s="33"/>
      <c r="F642" s="33"/>
      <c r="G642" s="85"/>
      <c r="H642" s="85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33"/>
      <c r="Y642" s="33"/>
      <c r="Z642" s="33"/>
      <c r="AA642" s="33"/>
      <c r="AB642" s="33"/>
      <c r="AC642" s="33"/>
      <c r="AD642" s="33"/>
      <c r="AE642" s="33"/>
      <c r="AF642" s="33"/>
      <c r="AG642" s="33"/>
      <c r="AH642" s="33"/>
      <c r="AI642" s="33"/>
      <c r="AJ642" s="33"/>
      <c r="AK642" s="33"/>
      <c r="AL642" s="33"/>
      <c r="AM642" s="33"/>
      <c r="AN642" s="33"/>
      <c r="AO642" s="33"/>
      <c r="AP642" s="33"/>
      <c r="AQ642" s="33"/>
      <c r="AR642" s="33"/>
      <c r="AS642" s="33"/>
      <c r="AT642" s="33"/>
      <c r="AU642" s="33"/>
      <c r="AV642" s="33"/>
      <c r="AW642" s="33"/>
      <c r="AX642" s="33"/>
      <c r="AY642" s="33"/>
      <c r="AZ642" s="33"/>
      <c r="BA642" s="33"/>
      <c r="BB642" s="33"/>
      <c r="BC642" s="33"/>
      <c r="BD642" s="33"/>
      <c r="BE642" s="33"/>
      <c r="BF642" s="33"/>
      <c r="BG642" s="33"/>
      <c r="BH642" s="33"/>
      <c r="BI642" s="33"/>
      <c r="BJ642" s="33"/>
      <c r="BK642" s="33"/>
      <c r="BL642" s="33"/>
      <c r="BM642" s="33"/>
      <c r="BN642" s="33"/>
      <c r="BO642" s="33"/>
      <c r="BP642" s="33"/>
      <c r="BQ642" s="33"/>
      <c r="BR642" s="33"/>
      <c r="BS642" s="33"/>
      <c r="BT642" s="33"/>
      <c r="BU642" s="33"/>
      <c r="BV642" s="33"/>
      <c r="BW642" s="33"/>
      <c r="BX642" s="33"/>
      <c r="BY642" s="33"/>
      <c r="BZ642" s="33"/>
      <c r="CA642" s="33"/>
      <c r="CB642" s="33"/>
      <c r="CC642" s="33"/>
      <c r="CD642" s="33"/>
      <c r="CE642" s="33"/>
      <c r="CF642" s="33"/>
      <c r="CG642" s="33"/>
      <c r="CH642" s="33"/>
      <c r="CI642" s="33"/>
      <c r="CJ642" s="33"/>
      <c r="CK642" s="33"/>
      <c r="CL642" s="33"/>
      <c r="CM642" s="33"/>
      <c r="CN642" s="33"/>
      <c r="CO642" s="33"/>
      <c r="CP642" s="33"/>
      <c r="CQ642" s="33"/>
      <c r="CR642" s="33"/>
      <c r="CS642" s="33"/>
      <c r="CT642" s="33"/>
      <c r="CU642" s="33"/>
      <c r="CV642" s="33"/>
      <c r="CW642" s="33"/>
      <c r="CX642" s="33"/>
      <c r="CY642" s="33"/>
      <c r="CZ642" s="33"/>
      <c r="DA642" s="33"/>
      <c r="DB642" s="33"/>
      <c r="DC642" s="33"/>
      <c r="DD642" s="33"/>
      <c r="DE642" s="33"/>
      <c r="DF642" s="33"/>
      <c r="DG642" s="33"/>
      <c r="DH642" s="33"/>
      <c r="DI642" s="33"/>
      <c r="DJ642" s="33"/>
      <c r="DK642" s="33"/>
      <c r="DL642" s="33"/>
      <c r="DM642" s="33"/>
      <c r="DN642" s="33"/>
      <c r="DO642" s="33"/>
      <c r="DP642" s="33"/>
      <c r="DQ642" s="33"/>
      <c r="DR642" s="33"/>
      <c r="DS642" s="33"/>
      <c r="DT642" s="33"/>
      <c r="DU642" s="33"/>
      <c r="DV642" s="33"/>
      <c r="DW642" s="33"/>
      <c r="DX642" s="33"/>
      <c r="DY642" s="33"/>
      <c r="DZ642" s="33"/>
      <c r="EA642" s="33"/>
      <c r="EB642" s="33"/>
      <c r="EC642" s="33"/>
      <c r="ED642" s="33"/>
      <c r="EE642" s="33"/>
      <c r="EF642" s="33"/>
      <c r="EG642" s="33"/>
      <c r="EH642" s="33"/>
      <c r="EI642" s="33"/>
      <c r="EJ642" s="33"/>
      <c r="EK642" s="33"/>
      <c r="EL642" s="33"/>
      <c r="EM642" s="33"/>
      <c r="EN642" s="33"/>
      <c r="EO642" s="33"/>
      <c r="EP642" s="33"/>
      <c r="EQ642" s="33"/>
      <c r="ER642" s="33"/>
      <c r="ES642" s="33"/>
    </row>
    <row r="643">
      <c r="A643" s="33"/>
      <c r="B643" s="33"/>
      <c r="C643" s="33"/>
      <c r="D643" s="33"/>
      <c r="E643" s="33"/>
      <c r="F643" s="33"/>
      <c r="G643" s="85"/>
      <c r="H643" s="85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33"/>
      <c r="Y643" s="33"/>
      <c r="Z643" s="33"/>
      <c r="AA643" s="33"/>
      <c r="AB643" s="33"/>
      <c r="AC643" s="33"/>
      <c r="AD643" s="33"/>
      <c r="AE643" s="33"/>
      <c r="AF643" s="33"/>
      <c r="AG643" s="33"/>
      <c r="AH643" s="33"/>
      <c r="AI643" s="33"/>
      <c r="AJ643" s="33"/>
      <c r="AK643" s="33"/>
      <c r="AL643" s="33"/>
      <c r="AM643" s="33"/>
      <c r="AN643" s="33"/>
      <c r="AO643" s="33"/>
      <c r="AP643" s="33"/>
      <c r="AQ643" s="33"/>
      <c r="AR643" s="33"/>
      <c r="AS643" s="33"/>
      <c r="AT643" s="33"/>
      <c r="AU643" s="33"/>
      <c r="AV643" s="33"/>
      <c r="AW643" s="33"/>
      <c r="AX643" s="33"/>
      <c r="AY643" s="33"/>
      <c r="AZ643" s="33"/>
      <c r="BA643" s="33"/>
      <c r="BB643" s="33"/>
      <c r="BC643" s="33"/>
      <c r="BD643" s="33"/>
      <c r="BE643" s="33"/>
      <c r="BF643" s="33"/>
      <c r="BG643" s="33"/>
      <c r="BH643" s="33"/>
      <c r="BI643" s="33"/>
      <c r="BJ643" s="33"/>
      <c r="BK643" s="33"/>
      <c r="BL643" s="33"/>
      <c r="BM643" s="33"/>
      <c r="BN643" s="33"/>
      <c r="BO643" s="33"/>
      <c r="BP643" s="33"/>
      <c r="BQ643" s="33"/>
      <c r="BR643" s="33"/>
      <c r="BS643" s="33"/>
      <c r="BT643" s="33"/>
      <c r="BU643" s="33"/>
      <c r="BV643" s="33"/>
      <c r="BW643" s="33"/>
      <c r="BX643" s="33"/>
      <c r="BY643" s="33"/>
      <c r="BZ643" s="33"/>
      <c r="CA643" s="33"/>
      <c r="CB643" s="33"/>
      <c r="CC643" s="33"/>
      <c r="CD643" s="33"/>
      <c r="CE643" s="33"/>
      <c r="CF643" s="33"/>
      <c r="CG643" s="33"/>
      <c r="CH643" s="33"/>
      <c r="CI643" s="33"/>
      <c r="CJ643" s="33"/>
      <c r="CK643" s="33"/>
      <c r="CL643" s="33"/>
      <c r="CM643" s="33"/>
      <c r="CN643" s="33"/>
      <c r="CO643" s="33"/>
      <c r="CP643" s="33"/>
      <c r="CQ643" s="33"/>
      <c r="CR643" s="33"/>
      <c r="CS643" s="33"/>
      <c r="CT643" s="33"/>
      <c r="CU643" s="33"/>
      <c r="CV643" s="33"/>
      <c r="CW643" s="33"/>
      <c r="CX643" s="33"/>
      <c r="CY643" s="33"/>
      <c r="CZ643" s="33"/>
      <c r="DA643" s="33"/>
      <c r="DB643" s="33"/>
      <c r="DC643" s="33"/>
      <c r="DD643" s="33"/>
      <c r="DE643" s="33"/>
      <c r="DF643" s="33"/>
      <c r="DG643" s="33"/>
      <c r="DH643" s="33"/>
      <c r="DI643" s="33"/>
      <c r="DJ643" s="33"/>
      <c r="DK643" s="33"/>
      <c r="DL643" s="33"/>
      <c r="DM643" s="33"/>
      <c r="DN643" s="33"/>
      <c r="DO643" s="33"/>
      <c r="DP643" s="33"/>
      <c r="DQ643" s="33"/>
      <c r="DR643" s="33"/>
      <c r="DS643" s="33"/>
      <c r="DT643" s="33"/>
      <c r="DU643" s="33"/>
      <c r="DV643" s="33"/>
      <c r="DW643" s="33"/>
      <c r="DX643" s="33"/>
      <c r="DY643" s="33"/>
      <c r="DZ643" s="33"/>
      <c r="EA643" s="33"/>
      <c r="EB643" s="33"/>
      <c r="EC643" s="33"/>
      <c r="ED643" s="33"/>
      <c r="EE643" s="33"/>
      <c r="EF643" s="33"/>
      <c r="EG643" s="33"/>
      <c r="EH643" s="33"/>
      <c r="EI643" s="33"/>
      <c r="EJ643" s="33"/>
      <c r="EK643" s="33"/>
      <c r="EL643" s="33"/>
      <c r="EM643" s="33"/>
      <c r="EN643" s="33"/>
      <c r="EO643" s="33"/>
      <c r="EP643" s="33"/>
      <c r="EQ643" s="33"/>
      <c r="ER643" s="33"/>
      <c r="ES643" s="33"/>
    </row>
    <row r="644">
      <c r="A644" s="33"/>
      <c r="B644" s="33"/>
      <c r="C644" s="33"/>
      <c r="D644" s="33"/>
      <c r="E644" s="33"/>
      <c r="F644" s="33"/>
      <c r="G644" s="85"/>
      <c r="H644" s="85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33"/>
      <c r="Y644" s="33"/>
      <c r="Z644" s="33"/>
      <c r="AA644" s="33"/>
      <c r="AB644" s="33"/>
      <c r="AC644" s="33"/>
      <c r="AD644" s="33"/>
      <c r="AE644" s="33"/>
      <c r="AF644" s="33"/>
      <c r="AG644" s="33"/>
      <c r="AH644" s="33"/>
      <c r="AI644" s="33"/>
      <c r="AJ644" s="33"/>
      <c r="AK644" s="33"/>
      <c r="AL644" s="33"/>
      <c r="AM644" s="33"/>
      <c r="AN644" s="33"/>
      <c r="AO644" s="33"/>
      <c r="AP644" s="33"/>
      <c r="AQ644" s="33"/>
      <c r="AR644" s="33"/>
      <c r="AS644" s="33"/>
      <c r="AT644" s="33"/>
      <c r="AU644" s="33"/>
      <c r="AV644" s="33"/>
      <c r="AW644" s="33"/>
      <c r="AX644" s="33"/>
      <c r="AY644" s="33"/>
      <c r="AZ644" s="33"/>
      <c r="BA644" s="33"/>
      <c r="BB644" s="33"/>
      <c r="BC644" s="33"/>
      <c r="BD644" s="33"/>
      <c r="BE644" s="33"/>
      <c r="BF644" s="33"/>
      <c r="BG644" s="33"/>
      <c r="BH644" s="33"/>
      <c r="BI644" s="33"/>
      <c r="BJ644" s="33"/>
      <c r="BK644" s="33"/>
      <c r="BL644" s="33"/>
      <c r="BM644" s="33"/>
      <c r="BN644" s="33"/>
      <c r="BO644" s="33"/>
      <c r="BP644" s="33"/>
      <c r="BQ644" s="33"/>
      <c r="BR644" s="33"/>
      <c r="BS644" s="33"/>
      <c r="BT644" s="33"/>
      <c r="BU644" s="33"/>
      <c r="BV644" s="33"/>
      <c r="BW644" s="33"/>
      <c r="BX644" s="33"/>
      <c r="BY644" s="33"/>
      <c r="BZ644" s="33"/>
      <c r="CA644" s="33"/>
      <c r="CB644" s="33"/>
      <c r="CC644" s="33"/>
      <c r="CD644" s="33"/>
      <c r="CE644" s="33"/>
      <c r="CF644" s="33"/>
      <c r="CG644" s="33"/>
      <c r="CH644" s="33"/>
      <c r="CI644" s="33"/>
      <c r="CJ644" s="33"/>
      <c r="CK644" s="33"/>
      <c r="CL644" s="33"/>
      <c r="CM644" s="33"/>
      <c r="CN644" s="33"/>
      <c r="CO644" s="33"/>
      <c r="CP644" s="33"/>
      <c r="CQ644" s="33"/>
      <c r="CR644" s="33"/>
      <c r="CS644" s="33"/>
      <c r="CT644" s="33"/>
      <c r="CU644" s="33"/>
      <c r="CV644" s="33"/>
      <c r="CW644" s="33"/>
      <c r="CX644" s="33"/>
      <c r="CY644" s="33"/>
      <c r="CZ644" s="33"/>
      <c r="DA644" s="33"/>
      <c r="DB644" s="33"/>
      <c r="DC644" s="33"/>
      <c r="DD644" s="33"/>
      <c r="DE644" s="33"/>
      <c r="DF644" s="33"/>
      <c r="DG644" s="33"/>
      <c r="DH644" s="33"/>
      <c r="DI644" s="33"/>
      <c r="DJ644" s="33"/>
      <c r="DK644" s="33"/>
      <c r="DL644" s="33"/>
      <c r="DM644" s="33"/>
      <c r="DN644" s="33"/>
      <c r="DO644" s="33"/>
      <c r="DP644" s="33"/>
      <c r="DQ644" s="33"/>
      <c r="DR644" s="33"/>
      <c r="DS644" s="33"/>
      <c r="DT644" s="33"/>
      <c r="DU644" s="33"/>
      <c r="DV644" s="33"/>
      <c r="DW644" s="33"/>
      <c r="DX644" s="33"/>
      <c r="DY644" s="33"/>
      <c r="DZ644" s="33"/>
      <c r="EA644" s="33"/>
      <c r="EB644" s="33"/>
      <c r="EC644" s="33"/>
      <c r="ED644" s="33"/>
      <c r="EE644" s="33"/>
      <c r="EF644" s="33"/>
      <c r="EG644" s="33"/>
      <c r="EH644" s="33"/>
      <c r="EI644" s="33"/>
      <c r="EJ644" s="33"/>
      <c r="EK644" s="33"/>
      <c r="EL644" s="33"/>
      <c r="EM644" s="33"/>
      <c r="EN644" s="33"/>
      <c r="EO644" s="33"/>
      <c r="EP644" s="33"/>
      <c r="EQ644" s="33"/>
      <c r="ER644" s="33"/>
      <c r="ES644" s="33"/>
    </row>
    <row r="645">
      <c r="A645" s="33"/>
      <c r="B645" s="33"/>
      <c r="C645" s="33"/>
      <c r="D645" s="33"/>
      <c r="E645" s="33"/>
      <c r="F645" s="33"/>
      <c r="G645" s="85"/>
      <c r="H645" s="85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33"/>
      <c r="Y645" s="33"/>
      <c r="Z645" s="33"/>
      <c r="AA645" s="33"/>
      <c r="AB645" s="33"/>
      <c r="AC645" s="33"/>
      <c r="AD645" s="33"/>
      <c r="AE645" s="33"/>
      <c r="AF645" s="33"/>
      <c r="AG645" s="33"/>
      <c r="AH645" s="33"/>
      <c r="AI645" s="33"/>
      <c r="AJ645" s="33"/>
      <c r="AK645" s="33"/>
      <c r="AL645" s="33"/>
      <c r="AM645" s="33"/>
      <c r="AN645" s="33"/>
      <c r="AO645" s="33"/>
      <c r="AP645" s="33"/>
      <c r="AQ645" s="33"/>
      <c r="AR645" s="33"/>
      <c r="AS645" s="33"/>
      <c r="AT645" s="33"/>
      <c r="AU645" s="33"/>
      <c r="AV645" s="33"/>
      <c r="AW645" s="33"/>
      <c r="AX645" s="33"/>
      <c r="AY645" s="33"/>
      <c r="AZ645" s="33"/>
      <c r="BA645" s="33"/>
      <c r="BB645" s="33"/>
      <c r="BC645" s="33"/>
      <c r="BD645" s="33"/>
      <c r="BE645" s="33"/>
      <c r="BF645" s="33"/>
      <c r="BG645" s="33"/>
      <c r="BH645" s="33"/>
      <c r="BI645" s="33"/>
      <c r="BJ645" s="33"/>
      <c r="BK645" s="33"/>
      <c r="BL645" s="33"/>
      <c r="BM645" s="33"/>
      <c r="BN645" s="33"/>
      <c r="BO645" s="33"/>
      <c r="BP645" s="33"/>
      <c r="BQ645" s="33"/>
      <c r="BR645" s="33"/>
      <c r="BS645" s="33"/>
      <c r="BT645" s="33"/>
      <c r="BU645" s="33"/>
      <c r="BV645" s="33"/>
      <c r="BW645" s="33"/>
      <c r="BX645" s="33"/>
      <c r="BY645" s="33"/>
      <c r="BZ645" s="33"/>
      <c r="CA645" s="33"/>
      <c r="CB645" s="33"/>
      <c r="CC645" s="33"/>
      <c r="CD645" s="33"/>
      <c r="CE645" s="33"/>
      <c r="CF645" s="33"/>
      <c r="CG645" s="33"/>
      <c r="CH645" s="33"/>
      <c r="CI645" s="33"/>
      <c r="CJ645" s="33"/>
      <c r="CK645" s="33"/>
      <c r="CL645" s="33"/>
      <c r="CM645" s="33"/>
      <c r="CN645" s="33"/>
      <c r="CO645" s="33"/>
      <c r="CP645" s="33"/>
      <c r="CQ645" s="33"/>
      <c r="CR645" s="33"/>
      <c r="CS645" s="33"/>
      <c r="CT645" s="33"/>
      <c r="CU645" s="33"/>
      <c r="CV645" s="33"/>
      <c r="CW645" s="33"/>
      <c r="CX645" s="33"/>
      <c r="CY645" s="33"/>
      <c r="CZ645" s="33"/>
      <c r="DA645" s="33"/>
      <c r="DB645" s="33"/>
      <c r="DC645" s="33"/>
      <c r="DD645" s="33"/>
      <c r="DE645" s="33"/>
      <c r="DF645" s="33"/>
      <c r="DG645" s="33"/>
      <c r="DH645" s="33"/>
      <c r="DI645" s="33"/>
      <c r="DJ645" s="33"/>
      <c r="DK645" s="33"/>
      <c r="DL645" s="33"/>
      <c r="DM645" s="33"/>
      <c r="DN645" s="33"/>
      <c r="DO645" s="33"/>
      <c r="DP645" s="33"/>
      <c r="DQ645" s="33"/>
      <c r="DR645" s="33"/>
      <c r="DS645" s="33"/>
      <c r="DT645" s="33"/>
      <c r="DU645" s="33"/>
      <c r="DV645" s="33"/>
      <c r="DW645" s="33"/>
      <c r="DX645" s="33"/>
      <c r="DY645" s="33"/>
      <c r="DZ645" s="33"/>
      <c r="EA645" s="33"/>
      <c r="EB645" s="33"/>
      <c r="EC645" s="33"/>
      <c r="ED645" s="33"/>
      <c r="EE645" s="33"/>
      <c r="EF645" s="33"/>
      <c r="EG645" s="33"/>
      <c r="EH645" s="33"/>
      <c r="EI645" s="33"/>
      <c r="EJ645" s="33"/>
      <c r="EK645" s="33"/>
      <c r="EL645" s="33"/>
      <c r="EM645" s="33"/>
      <c r="EN645" s="33"/>
      <c r="EO645" s="33"/>
      <c r="EP645" s="33"/>
      <c r="EQ645" s="33"/>
      <c r="ER645" s="33"/>
      <c r="ES645" s="33"/>
    </row>
    <row r="646">
      <c r="A646" s="33"/>
      <c r="B646" s="33"/>
      <c r="C646" s="33"/>
      <c r="D646" s="33"/>
      <c r="E646" s="33"/>
      <c r="F646" s="33"/>
      <c r="G646" s="85"/>
      <c r="H646" s="85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33"/>
      <c r="Y646" s="33"/>
      <c r="Z646" s="33"/>
      <c r="AA646" s="33"/>
      <c r="AB646" s="33"/>
      <c r="AC646" s="33"/>
      <c r="AD646" s="33"/>
      <c r="AE646" s="33"/>
      <c r="AF646" s="33"/>
      <c r="AG646" s="33"/>
      <c r="AH646" s="33"/>
      <c r="AI646" s="33"/>
      <c r="AJ646" s="33"/>
      <c r="AK646" s="33"/>
      <c r="AL646" s="33"/>
      <c r="AM646" s="33"/>
      <c r="AN646" s="33"/>
      <c r="AO646" s="33"/>
      <c r="AP646" s="33"/>
      <c r="AQ646" s="33"/>
      <c r="AR646" s="33"/>
      <c r="AS646" s="33"/>
      <c r="AT646" s="33"/>
      <c r="AU646" s="33"/>
      <c r="AV646" s="33"/>
      <c r="AW646" s="33"/>
      <c r="AX646" s="33"/>
      <c r="AY646" s="33"/>
      <c r="AZ646" s="33"/>
      <c r="BA646" s="33"/>
      <c r="BB646" s="33"/>
      <c r="BC646" s="33"/>
      <c r="BD646" s="33"/>
      <c r="BE646" s="33"/>
      <c r="BF646" s="33"/>
      <c r="BG646" s="33"/>
      <c r="BH646" s="33"/>
      <c r="BI646" s="33"/>
      <c r="BJ646" s="33"/>
      <c r="BK646" s="33"/>
      <c r="BL646" s="33"/>
      <c r="BM646" s="33"/>
      <c r="BN646" s="33"/>
      <c r="BO646" s="33"/>
      <c r="BP646" s="33"/>
      <c r="BQ646" s="33"/>
      <c r="BR646" s="33"/>
      <c r="BS646" s="33"/>
      <c r="BT646" s="33"/>
      <c r="BU646" s="33"/>
      <c r="BV646" s="33"/>
      <c r="BW646" s="33"/>
      <c r="BX646" s="33"/>
      <c r="BY646" s="33"/>
      <c r="BZ646" s="33"/>
      <c r="CA646" s="33"/>
      <c r="CB646" s="33"/>
      <c r="CC646" s="33"/>
      <c r="CD646" s="33"/>
      <c r="CE646" s="33"/>
      <c r="CF646" s="33"/>
      <c r="CG646" s="33"/>
      <c r="CH646" s="33"/>
      <c r="CI646" s="33"/>
      <c r="CJ646" s="33"/>
      <c r="CK646" s="33"/>
      <c r="CL646" s="33"/>
      <c r="CM646" s="33"/>
      <c r="CN646" s="33"/>
      <c r="CO646" s="33"/>
      <c r="CP646" s="33"/>
      <c r="CQ646" s="33"/>
      <c r="CR646" s="33"/>
      <c r="CS646" s="33"/>
      <c r="CT646" s="33"/>
      <c r="CU646" s="33"/>
      <c r="CV646" s="33"/>
      <c r="CW646" s="33"/>
      <c r="CX646" s="33"/>
      <c r="CY646" s="33"/>
      <c r="CZ646" s="33"/>
      <c r="DA646" s="33"/>
      <c r="DB646" s="33"/>
      <c r="DC646" s="33"/>
      <c r="DD646" s="33"/>
      <c r="DE646" s="33"/>
      <c r="DF646" s="33"/>
      <c r="DG646" s="33"/>
      <c r="DH646" s="33"/>
      <c r="DI646" s="33"/>
      <c r="DJ646" s="33"/>
      <c r="DK646" s="33"/>
      <c r="DL646" s="33"/>
      <c r="DM646" s="33"/>
      <c r="DN646" s="33"/>
      <c r="DO646" s="33"/>
      <c r="DP646" s="33"/>
      <c r="DQ646" s="33"/>
      <c r="DR646" s="33"/>
      <c r="DS646" s="33"/>
      <c r="DT646" s="33"/>
      <c r="DU646" s="33"/>
      <c r="DV646" s="33"/>
      <c r="DW646" s="33"/>
      <c r="DX646" s="33"/>
      <c r="DY646" s="33"/>
      <c r="DZ646" s="33"/>
      <c r="EA646" s="33"/>
      <c r="EB646" s="33"/>
      <c r="EC646" s="33"/>
      <c r="ED646" s="33"/>
      <c r="EE646" s="33"/>
      <c r="EF646" s="33"/>
      <c r="EG646" s="33"/>
      <c r="EH646" s="33"/>
      <c r="EI646" s="33"/>
      <c r="EJ646" s="33"/>
      <c r="EK646" s="33"/>
      <c r="EL646" s="33"/>
      <c r="EM646" s="33"/>
      <c r="EN646" s="33"/>
      <c r="EO646" s="33"/>
      <c r="EP646" s="33"/>
      <c r="EQ646" s="33"/>
      <c r="ER646" s="33"/>
      <c r="ES646" s="33"/>
    </row>
    <row r="647">
      <c r="A647" s="33"/>
      <c r="B647" s="33"/>
      <c r="C647" s="33"/>
      <c r="D647" s="33"/>
      <c r="E647" s="33"/>
      <c r="F647" s="33"/>
      <c r="G647" s="85"/>
      <c r="H647" s="85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33"/>
      <c r="Y647" s="33"/>
      <c r="Z647" s="33"/>
      <c r="AA647" s="33"/>
      <c r="AB647" s="33"/>
      <c r="AC647" s="33"/>
      <c r="AD647" s="33"/>
      <c r="AE647" s="33"/>
      <c r="AF647" s="33"/>
      <c r="AG647" s="33"/>
      <c r="AH647" s="33"/>
      <c r="AI647" s="33"/>
      <c r="AJ647" s="33"/>
      <c r="AK647" s="33"/>
      <c r="AL647" s="33"/>
      <c r="AM647" s="33"/>
      <c r="AN647" s="33"/>
      <c r="AO647" s="33"/>
      <c r="AP647" s="33"/>
      <c r="AQ647" s="33"/>
      <c r="AR647" s="33"/>
      <c r="AS647" s="33"/>
      <c r="AT647" s="33"/>
      <c r="AU647" s="33"/>
      <c r="AV647" s="33"/>
      <c r="AW647" s="33"/>
      <c r="AX647" s="33"/>
      <c r="AY647" s="33"/>
      <c r="AZ647" s="33"/>
      <c r="BA647" s="33"/>
      <c r="BB647" s="33"/>
      <c r="BC647" s="33"/>
      <c r="BD647" s="33"/>
      <c r="BE647" s="33"/>
      <c r="BF647" s="33"/>
      <c r="BG647" s="33"/>
      <c r="BH647" s="33"/>
      <c r="BI647" s="33"/>
      <c r="BJ647" s="33"/>
      <c r="BK647" s="33"/>
      <c r="BL647" s="33"/>
      <c r="BM647" s="33"/>
      <c r="BN647" s="33"/>
      <c r="BO647" s="33"/>
      <c r="BP647" s="33"/>
      <c r="BQ647" s="33"/>
      <c r="BR647" s="33"/>
      <c r="BS647" s="33"/>
      <c r="BT647" s="33"/>
      <c r="BU647" s="33"/>
      <c r="BV647" s="33"/>
      <c r="BW647" s="33"/>
      <c r="BX647" s="33"/>
      <c r="BY647" s="33"/>
      <c r="BZ647" s="33"/>
      <c r="CA647" s="33"/>
      <c r="CB647" s="33"/>
      <c r="CC647" s="33"/>
      <c r="CD647" s="33"/>
      <c r="CE647" s="33"/>
      <c r="CF647" s="33"/>
      <c r="CG647" s="33"/>
      <c r="CH647" s="33"/>
      <c r="CI647" s="33"/>
      <c r="CJ647" s="33"/>
      <c r="CK647" s="33"/>
      <c r="CL647" s="33"/>
      <c r="CM647" s="33"/>
      <c r="CN647" s="33"/>
      <c r="CO647" s="33"/>
      <c r="CP647" s="33"/>
      <c r="CQ647" s="33"/>
      <c r="CR647" s="33"/>
      <c r="CS647" s="33"/>
      <c r="CT647" s="33"/>
      <c r="CU647" s="33"/>
      <c r="CV647" s="33"/>
      <c r="CW647" s="33"/>
      <c r="CX647" s="33"/>
      <c r="CY647" s="33"/>
      <c r="CZ647" s="33"/>
      <c r="DA647" s="33"/>
      <c r="DB647" s="33"/>
      <c r="DC647" s="33"/>
      <c r="DD647" s="33"/>
      <c r="DE647" s="33"/>
      <c r="DF647" s="33"/>
      <c r="DG647" s="33"/>
      <c r="DH647" s="33"/>
      <c r="DI647" s="33"/>
      <c r="DJ647" s="33"/>
      <c r="DK647" s="33"/>
      <c r="DL647" s="33"/>
      <c r="DM647" s="33"/>
      <c r="DN647" s="33"/>
      <c r="DO647" s="33"/>
      <c r="DP647" s="33"/>
      <c r="DQ647" s="33"/>
      <c r="DR647" s="33"/>
      <c r="DS647" s="33"/>
      <c r="DT647" s="33"/>
      <c r="DU647" s="33"/>
      <c r="DV647" s="33"/>
      <c r="DW647" s="33"/>
      <c r="DX647" s="33"/>
      <c r="DY647" s="33"/>
      <c r="DZ647" s="33"/>
      <c r="EA647" s="33"/>
      <c r="EB647" s="33"/>
      <c r="EC647" s="33"/>
      <c r="ED647" s="33"/>
      <c r="EE647" s="33"/>
      <c r="EF647" s="33"/>
      <c r="EG647" s="33"/>
      <c r="EH647" s="33"/>
      <c r="EI647" s="33"/>
      <c r="EJ647" s="33"/>
      <c r="EK647" s="33"/>
      <c r="EL647" s="33"/>
      <c r="EM647" s="33"/>
      <c r="EN647" s="33"/>
      <c r="EO647" s="33"/>
      <c r="EP647" s="33"/>
      <c r="EQ647" s="33"/>
      <c r="ER647" s="33"/>
      <c r="ES647" s="33"/>
    </row>
    <row r="648">
      <c r="A648" s="33"/>
      <c r="B648" s="33"/>
      <c r="C648" s="33"/>
      <c r="D648" s="33"/>
      <c r="E648" s="33"/>
      <c r="F648" s="33"/>
      <c r="G648" s="85"/>
      <c r="H648" s="85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33"/>
      <c r="Y648" s="33"/>
      <c r="Z648" s="33"/>
      <c r="AA648" s="33"/>
      <c r="AB648" s="33"/>
      <c r="AC648" s="33"/>
      <c r="AD648" s="33"/>
      <c r="AE648" s="33"/>
      <c r="AF648" s="33"/>
      <c r="AG648" s="33"/>
      <c r="AH648" s="33"/>
      <c r="AI648" s="33"/>
      <c r="AJ648" s="33"/>
      <c r="AK648" s="33"/>
      <c r="AL648" s="33"/>
      <c r="AM648" s="33"/>
      <c r="AN648" s="33"/>
      <c r="AO648" s="33"/>
      <c r="AP648" s="33"/>
      <c r="AQ648" s="33"/>
      <c r="AR648" s="33"/>
      <c r="AS648" s="33"/>
      <c r="AT648" s="33"/>
      <c r="AU648" s="33"/>
      <c r="AV648" s="33"/>
      <c r="AW648" s="33"/>
      <c r="AX648" s="33"/>
      <c r="AY648" s="33"/>
      <c r="AZ648" s="33"/>
      <c r="BA648" s="33"/>
      <c r="BB648" s="33"/>
      <c r="BC648" s="33"/>
      <c r="BD648" s="33"/>
      <c r="BE648" s="33"/>
      <c r="BF648" s="33"/>
      <c r="BG648" s="33"/>
      <c r="BH648" s="33"/>
      <c r="BI648" s="33"/>
      <c r="BJ648" s="33"/>
      <c r="BK648" s="33"/>
      <c r="BL648" s="33"/>
      <c r="BM648" s="33"/>
      <c r="BN648" s="33"/>
      <c r="BO648" s="33"/>
      <c r="BP648" s="33"/>
      <c r="BQ648" s="33"/>
      <c r="BR648" s="33"/>
      <c r="BS648" s="33"/>
      <c r="BT648" s="33"/>
      <c r="BU648" s="33"/>
      <c r="BV648" s="33"/>
      <c r="BW648" s="33"/>
      <c r="BX648" s="33"/>
      <c r="BY648" s="33"/>
      <c r="BZ648" s="33"/>
      <c r="CA648" s="33"/>
      <c r="CB648" s="33"/>
      <c r="CC648" s="33"/>
      <c r="CD648" s="33"/>
      <c r="CE648" s="33"/>
      <c r="CF648" s="33"/>
      <c r="CG648" s="33"/>
      <c r="CH648" s="33"/>
      <c r="CI648" s="33"/>
      <c r="CJ648" s="33"/>
      <c r="CK648" s="33"/>
      <c r="CL648" s="33"/>
      <c r="CM648" s="33"/>
      <c r="CN648" s="33"/>
      <c r="CO648" s="33"/>
      <c r="CP648" s="33"/>
      <c r="CQ648" s="33"/>
      <c r="CR648" s="33"/>
      <c r="CS648" s="33"/>
      <c r="CT648" s="33"/>
      <c r="CU648" s="33"/>
      <c r="CV648" s="33"/>
      <c r="CW648" s="33"/>
      <c r="CX648" s="33"/>
      <c r="CY648" s="33"/>
      <c r="CZ648" s="33"/>
      <c r="DA648" s="33"/>
      <c r="DB648" s="33"/>
      <c r="DC648" s="33"/>
      <c r="DD648" s="33"/>
      <c r="DE648" s="33"/>
      <c r="DF648" s="33"/>
      <c r="DG648" s="33"/>
      <c r="DH648" s="33"/>
      <c r="DI648" s="33"/>
      <c r="DJ648" s="33"/>
      <c r="DK648" s="33"/>
      <c r="DL648" s="33"/>
      <c r="DM648" s="33"/>
      <c r="DN648" s="33"/>
      <c r="DO648" s="33"/>
      <c r="DP648" s="33"/>
      <c r="DQ648" s="33"/>
      <c r="DR648" s="33"/>
      <c r="DS648" s="33"/>
      <c r="DT648" s="33"/>
      <c r="DU648" s="33"/>
      <c r="DV648" s="33"/>
      <c r="DW648" s="33"/>
      <c r="DX648" s="33"/>
      <c r="DY648" s="33"/>
      <c r="DZ648" s="33"/>
      <c r="EA648" s="33"/>
      <c r="EB648" s="33"/>
      <c r="EC648" s="33"/>
      <c r="ED648" s="33"/>
      <c r="EE648" s="33"/>
      <c r="EF648" s="33"/>
      <c r="EG648" s="33"/>
      <c r="EH648" s="33"/>
      <c r="EI648" s="33"/>
      <c r="EJ648" s="33"/>
      <c r="EK648" s="33"/>
      <c r="EL648" s="33"/>
      <c r="EM648" s="33"/>
      <c r="EN648" s="33"/>
      <c r="EO648" s="33"/>
      <c r="EP648" s="33"/>
      <c r="EQ648" s="33"/>
      <c r="ER648" s="33"/>
      <c r="ES648" s="33"/>
    </row>
    <row r="649">
      <c r="A649" s="33"/>
      <c r="B649" s="33"/>
      <c r="C649" s="33"/>
      <c r="D649" s="33"/>
      <c r="E649" s="33"/>
      <c r="F649" s="33"/>
      <c r="G649" s="85"/>
      <c r="H649" s="85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33"/>
      <c r="Y649" s="33"/>
      <c r="Z649" s="33"/>
      <c r="AA649" s="33"/>
      <c r="AB649" s="33"/>
      <c r="AC649" s="33"/>
      <c r="AD649" s="33"/>
      <c r="AE649" s="33"/>
      <c r="AF649" s="33"/>
      <c r="AG649" s="33"/>
      <c r="AH649" s="33"/>
      <c r="AI649" s="33"/>
      <c r="AJ649" s="33"/>
      <c r="AK649" s="33"/>
      <c r="AL649" s="33"/>
      <c r="AM649" s="33"/>
      <c r="AN649" s="33"/>
      <c r="AO649" s="33"/>
      <c r="AP649" s="33"/>
      <c r="AQ649" s="33"/>
      <c r="AR649" s="33"/>
      <c r="AS649" s="33"/>
      <c r="AT649" s="33"/>
      <c r="AU649" s="33"/>
      <c r="AV649" s="33"/>
      <c r="AW649" s="33"/>
      <c r="AX649" s="33"/>
      <c r="AY649" s="33"/>
      <c r="AZ649" s="33"/>
      <c r="BA649" s="33"/>
      <c r="BB649" s="33"/>
      <c r="BC649" s="33"/>
      <c r="BD649" s="33"/>
      <c r="BE649" s="33"/>
      <c r="BF649" s="33"/>
      <c r="BG649" s="33"/>
      <c r="BH649" s="33"/>
      <c r="BI649" s="33"/>
      <c r="BJ649" s="33"/>
      <c r="BK649" s="33"/>
      <c r="BL649" s="33"/>
      <c r="BM649" s="33"/>
      <c r="BN649" s="33"/>
      <c r="BO649" s="33"/>
      <c r="BP649" s="33"/>
      <c r="BQ649" s="33"/>
      <c r="BR649" s="33"/>
      <c r="BS649" s="33"/>
      <c r="BT649" s="33"/>
      <c r="BU649" s="33"/>
      <c r="BV649" s="33"/>
      <c r="BW649" s="33"/>
      <c r="BX649" s="33"/>
      <c r="BY649" s="33"/>
      <c r="BZ649" s="33"/>
      <c r="CA649" s="33"/>
      <c r="CB649" s="33"/>
      <c r="CC649" s="33"/>
      <c r="CD649" s="33"/>
      <c r="CE649" s="33"/>
      <c r="CF649" s="33"/>
      <c r="CG649" s="33"/>
      <c r="CH649" s="33"/>
      <c r="CI649" s="33"/>
      <c r="CJ649" s="33"/>
      <c r="CK649" s="33"/>
      <c r="CL649" s="33"/>
      <c r="CM649" s="33"/>
      <c r="CN649" s="33"/>
      <c r="CO649" s="33"/>
      <c r="CP649" s="33"/>
      <c r="CQ649" s="33"/>
      <c r="CR649" s="33"/>
      <c r="CS649" s="33"/>
      <c r="CT649" s="33"/>
      <c r="CU649" s="33"/>
      <c r="CV649" s="33"/>
      <c r="CW649" s="33"/>
      <c r="CX649" s="33"/>
      <c r="CY649" s="33"/>
      <c r="CZ649" s="33"/>
      <c r="DA649" s="33"/>
      <c r="DB649" s="33"/>
      <c r="DC649" s="33"/>
      <c r="DD649" s="33"/>
      <c r="DE649" s="33"/>
      <c r="DF649" s="33"/>
      <c r="DG649" s="33"/>
      <c r="DH649" s="33"/>
      <c r="DI649" s="33"/>
      <c r="DJ649" s="33"/>
      <c r="DK649" s="33"/>
      <c r="DL649" s="33"/>
      <c r="DM649" s="33"/>
      <c r="DN649" s="33"/>
      <c r="DO649" s="33"/>
      <c r="DP649" s="33"/>
      <c r="DQ649" s="33"/>
      <c r="DR649" s="33"/>
      <c r="DS649" s="33"/>
      <c r="DT649" s="33"/>
      <c r="DU649" s="33"/>
      <c r="DV649" s="33"/>
      <c r="DW649" s="33"/>
      <c r="DX649" s="33"/>
      <c r="DY649" s="33"/>
      <c r="DZ649" s="33"/>
      <c r="EA649" s="33"/>
      <c r="EB649" s="33"/>
      <c r="EC649" s="33"/>
      <c r="ED649" s="33"/>
      <c r="EE649" s="33"/>
      <c r="EF649" s="33"/>
      <c r="EG649" s="33"/>
      <c r="EH649" s="33"/>
      <c r="EI649" s="33"/>
      <c r="EJ649" s="33"/>
      <c r="EK649" s="33"/>
      <c r="EL649" s="33"/>
      <c r="EM649" s="33"/>
      <c r="EN649" s="33"/>
      <c r="EO649" s="33"/>
      <c r="EP649" s="33"/>
      <c r="EQ649" s="33"/>
      <c r="ER649" s="33"/>
      <c r="ES649" s="33"/>
    </row>
    <row r="650">
      <c r="A650" s="33"/>
      <c r="B650" s="33"/>
      <c r="C650" s="33"/>
      <c r="D650" s="33"/>
      <c r="E650" s="33"/>
      <c r="F650" s="33"/>
      <c r="G650" s="85"/>
      <c r="H650" s="85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33"/>
      <c r="Y650" s="33"/>
      <c r="Z650" s="33"/>
      <c r="AA650" s="33"/>
      <c r="AB650" s="33"/>
      <c r="AC650" s="33"/>
      <c r="AD650" s="33"/>
      <c r="AE650" s="33"/>
      <c r="AF650" s="33"/>
      <c r="AG650" s="33"/>
      <c r="AH650" s="33"/>
      <c r="AI650" s="33"/>
      <c r="AJ650" s="33"/>
      <c r="AK650" s="33"/>
      <c r="AL650" s="33"/>
      <c r="AM650" s="33"/>
      <c r="AN650" s="33"/>
      <c r="AO650" s="33"/>
      <c r="AP650" s="33"/>
      <c r="AQ650" s="33"/>
      <c r="AR650" s="33"/>
      <c r="AS650" s="33"/>
      <c r="AT650" s="33"/>
      <c r="AU650" s="33"/>
      <c r="AV650" s="33"/>
      <c r="AW650" s="33"/>
      <c r="AX650" s="33"/>
      <c r="AY650" s="33"/>
      <c r="AZ650" s="33"/>
      <c r="BA650" s="33"/>
      <c r="BB650" s="33"/>
      <c r="BC650" s="33"/>
      <c r="BD650" s="33"/>
      <c r="BE650" s="33"/>
      <c r="BF650" s="33"/>
      <c r="BG650" s="33"/>
      <c r="BH650" s="33"/>
      <c r="BI650" s="33"/>
      <c r="BJ650" s="33"/>
      <c r="BK650" s="33"/>
      <c r="BL650" s="33"/>
      <c r="BM650" s="33"/>
      <c r="BN650" s="33"/>
      <c r="BO650" s="33"/>
      <c r="BP650" s="33"/>
      <c r="BQ650" s="33"/>
      <c r="BR650" s="33"/>
      <c r="BS650" s="33"/>
      <c r="BT650" s="33"/>
      <c r="BU650" s="33"/>
      <c r="BV650" s="33"/>
      <c r="BW650" s="33"/>
      <c r="BX650" s="33"/>
      <c r="BY650" s="33"/>
      <c r="BZ650" s="33"/>
      <c r="CA650" s="33"/>
      <c r="CB650" s="33"/>
      <c r="CC650" s="33"/>
      <c r="CD650" s="33"/>
      <c r="CE650" s="33"/>
      <c r="CF650" s="33"/>
      <c r="CG650" s="33"/>
      <c r="CH650" s="33"/>
      <c r="CI650" s="33"/>
      <c r="CJ650" s="33"/>
      <c r="CK650" s="33"/>
      <c r="CL650" s="33"/>
      <c r="CM650" s="33"/>
      <c r="CN650" s="33"/>
      <c r="CO650" s="33"/>
      <c r="CP650" s="33"/>
      <c r="CQ650" s="33"/>
      <c r="CR650" s="33"/>
      <c r="CS650" s="33"/>
      <c r="CT650" s="33"/>
      <c r="CU650" s="33"/>
      <c r="CV650" s="33"/>
      <c r="CW650" s="33"/>
      <c r="CX650" s="33"/>
      <c r="CY650" s="33"/>
      <c r="CZ650" s="33"/>
      <c r="DA650" s="33"/>
      <c r="DB650" s="33"/>
      <c r="DC650" s="33"/>
      <c r="DD650" s="33"/>
      <c r="DE650" s="33"/>
      <c r="DF650" s="33"/>
      <c r="DG650" s="33"/>
      <c r="DH650" s="33"/>
      <c r="DI650" s="33"/>
      <c r="DJ650" s="33"/>
      <c r="DK650" s="33"/>
      <c r="DL650" s="33"/>
      <c r="DM650" s="33"/>
      <c r="DN650" s="33"/>
      <c r="DO650" s="33"/>
      <c r="DP650" s="33"/>
      <c r="DQ650" s="33"/>
      <c r="DR650" s="33"/>
      <c r="DS650" s="33"/>
      <c r="DT650" s="33"/>
      <c r="DU650" s="33"/>
      <c r="DV650" s="33"/>
      <c r="DW650" s="33"/>
      <c r="DX650" s="33"/>
      <c r="DY650" s="33"/>
      <c r="DZ650" s="33"/>
      <c r="EA650" s="33"/>
      <c r="EB650" s="33"/>
      <c r="EC650" s="33"/>
      <c r="ED650" s="33"/>
      <c r="EE650" s="33"/>
      <c r="EF650" s="33"/>
      <c r="EG650" s="33"/>
      <c r="EH650" s="33"/>
      <c r="EI650" s="33"/>
      <c r="EJ650" s="33"/>
      <c r="EK650" s="33"/>
      <c r="EL650" s="33"/>
      <c r="EM650" s="33"/>
      <c r="EN650" s="33"/>
      <c r="EO650" s="33"/>
      <c r="EP650" s="33"/>
      <c r="EQ650" s="33"/>
      <c r="ER650" s="33"/>
      <c r="ES650" s="33"/>
    </row>
    <row r="651">
      <c r="A651" s="33"/>
      <c r="B651" s="33"/>
      <c r="C651" s="33"/>
      <c r="D651" s="33"/>
      <c r="E651" s="33"/>
      <c r="F651" s="33"/>
      <c r="G651" s="85"/>
      <c r="H651" s="85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33"/>
      <c r="Y651" s="33"/>
      <c r="Z651" s="33"/>
      <c r="AA651" s="33"/>
      <c r="AB651" s="33"/>
      <c r="AC651" s="33"/>
      <c r="AD651" s="33"/>
      <c r="AE651" s="33"/>
      <c r="AF651" s="33"/>
      <c r="AG651" s="33"/>
      <c r="AH651" s="33"/>
      <c r="AI651" s="33"/>
      <c r="AJ651" s="33"/>
      <c r="AK651" s="33"/>
      <c r="AL651" s="33"/>
      <c r="AM651" s="33"/>
      <c r="AN651" s="33"/>
      <c r="AO651" s="33"/>
      <c r="AP651" s="33"/>
      <c r="AQ651" s="33"/>
      <c r="AR651" s="33"/>
      <c r="AS651" s="33"/>
      <c r="AT651" s="33"/>
      <c r="AU651" s="33"/>
      <c r="AV651" s="33"/>
      <c r="AW651" s="33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  <c r="BI651" s="33"/>
      <c r="BJ651" s="33"/>
      <c r="BK651" s="33"/>
      <c r="BL651" s="33"/>
      <c r="BM651" s="33"/>
      <c r="BN651" s="33"/>
      <c r="BO651" s="33"/>
      <c r="BP651" s="33"/>
      <c r="BQ651" s="33"/>
      <c r="BR651" s="33"/>
      <c r="BS651" s="33"/>
      <c r="BT651" s="33"/>
      <c r="BU651" s="33"/>
      <c r="BV651" s="33"/>
      <c r="BW651" s="33"/>
      <c r="BX651" s="33"/>
      <c r="BY651" s="33"/>
      <c r="BZ651" s="33"/>
      <c r="CA651" s="33"/>
      <c r="CB651" s="33"/>
      <c r="CC651" s="33"/>
      <c r="CD651" s="33"/>
      <c r="CE651" s="33"/>
      <c r="CF651" s="33"/>
      <c r="CG651" s="33"/>
      <c r="CH651" s="33"/>
      <c r="CI651" s="33"/>
      <c r="CJ651" s="33"/>
      <c r="CK651" s="33"/>
      <c r="CL651" s="33"/>
      <c r="CM651" s="33"/>
      <c r="CN651" s="33"/>
      <c r="CO651" s="33"/>
      <c r="CP651" s="33"/>
      <c r="CQ651" s="33"/>
      <c r="CR651" s="33"/>
      <c r="CS651" s="33"/>
      <c r="CT651" s="33"/>
      <c r="CU651" s="33"/>
      <c r="CV651" s="33"/>
      <c r="CW651" s="33"/>
      <c r="CX651" s="33"/>
      <c r="CY651" s="33"/>
      <c r="CZ651" s="33"/>
      <c r="DA651" s="33"/>
      <c r="DB651" s="33"/>
      <c r="DC651" s="33"/>
      <c r="DD651" s="33"/>
      <c r="DE651" s="33"/>
      <c r="DF651" s="33"/>
      <c r="DG651" s="33"/>
      <c r="DH651" s="33"/>
      <c r="DI651" s="33"/>
      <c r="DJ651" s="33"/>
      <c r="DK651" s="33"/>
      <c r="DL651" s="33"/>
      <c r="DM651" s="33"/>
      <c r="DN651" s="33"/>
      <c r="DO651" s="33"/>
      <c r="DP651" s="33"/>
      <c r="DQ651" s="33"/>
      <c r="DR651" s="33"/>
      <c r="DS651" s="33"/>
      <c r="DT651" s="33"/>
      <c r="DU651" s="33"/>
      <c r="DV651" s="33"/>
      <c r="DW651" s="33"/>
      <c r="DX651" s="33"/>
      <c r="DY651" s="33"/>
      <c r="DZ651" s="33"/>
      <c r="EA651" s="33"/>
      <c r="EB651" s="33"/>
      <c r="EC651" s="33"/>
      <c r="ED651" s="33"/>
      <c r="EE651" s="33"/>
      <c r="EF651" s="33"/>
      <c r="EG651" s="33"/>
      <c r="EH651" s="33"/>
      <c r="EI651" s="33"/>
      <c r="EJ651" s="33"/>
      <c r="EK651" s="33"/>
      <c r="EL651" s="33"/>
      <c r="EM651" s="33"/>
      <c r="EN651" s="33"/>
      <c r="EO651" s="33"/>
      <c r="EP651" s="33"/>
      <c r="EQ651" s="33"/>
      <c r="ER651" s="33"/>
      <c r="ES651" s="33"/>
    </row>
    <row r="652">
      <c r="A652" s="33"/>
      <c r="B652" s="33"/>
      <c r="C652" s="33"/>
      <c r="D652" s="33"/>
      <c r="E652" s="33"/>
      <c r="F652" s="33"/>
      <c r="G652" s="85"/>
      <c r="H652" s="85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33"/>
      <c r="Y652" s="33"/>
      <c r="Z652" s="33"/>
      <c r="AA652" s="33"/>
      <c r="AB652" s="33"/>
      <c r="AC652" s="33"/>
      <c r="AD652" s="33"/>
      <c r="AE652" s="33"/>
      <c r="AF652" s="33"/>
      <c r="AG652" s="33"/>
      <c r="AH652" s="33"/>
      <c r="AI652" s="33"/>
      <c r="AJ652" s="33"/>
      <c r="AK652" s="33"/>
      <c r="AL652" s="33"/>
      <c r="AM652" s="33"/>
      <c r="AN652" s="33"/>
      <c r="AO652" s="33"/>
      <c r="AP652" s="33"/>
      <c r="AQ652" s="33"/>
      <c r="AR652" s="33"/>
      <c r="AS652" s="33"/>
      <c r="AT652" s="33"/>
      <c r="AU652" s="33"/>
      <c r="AV652" s="33"/>
      <c r="AW652" s="33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  <c r="BI652" s="33"/>
      <c r="BJ652" s="33"/>
      <c r="BK652" s="33"/>
      <c r="BL652" s="33"/>
      <c r="BM652" s="33"/>
      <c r="BN652" s="33"/>
      <c r="BO652" s="33"/>
      <c r="BP652" s="33"/>
      <c r="BQ652" s="33"/>
      <c r="BR652" s="33"/>
      <c r="BS652" s="33"/>
      <c r="BT652" s="33"/>
      <c r="BU652" s="33"/>
      <c r="BV652" s="33"/>
      <c r="BW652" s="33"/>
      <c r="BX652" s="33"/>
      <c r="BY652" s="33"/>
      <c r="BZ652" s="33"/>
      <c r="CA652" s="33"/>
      <c r="CB652" s="33"/>
      <c r="CC652" s="33"/>
      <c r="CD652" s="33"/>
      <c r="CE652" s="33"/>
      <c r="CF652" s="33"/>
      <c r="CG652" s="33"/>
      <c r="CH652" s="33"/>
      <c r="CI652" s="33"/>
      <c r="CJ652" s="33"/>
      <c r="CK652" s="33"/>
      <c r="CL652" s="33"/>
      <c r="CM652" s="33"/>
      <c r="CN652" s="33"/>
      <c r="CO652" s="33"/>
      <c r="CP652" s="33"/>
      <c r="CQ652" s="33"/>
      <c r="CR652" s="33"/>
      <c r="CS652" s="33"/>
      <c r="CT652" s="33"/>
      <c r="CU652" s="33"/>
      <c r="CV652" s="33"/>
      <c r="CW652" s="33"/>
      <c r="CX652" s="33"/>
      <c r="CY652" s="33"/>
      <c r="CZ652" s="33"/>
      <c r="DA652" s="33"/>
      <c r="DB652" s="33"/>
      <c r="DC652" s="33"/>
      <c r="DD652" s="33"/>
      <c r="DE652" s="33"/>
      <c r="DF652" s="33"/>
      <c r="DG652" s="33"/>
      <c r="DH652" s="33"/>
      <c r="DI652" s="33"/>
      <c r="DJ652" s="33"/>
      <c r="DK652" s="33"/>
      <c r="DL652" s="33"/>
      <c r="DM652" s="33"/>
      <c r="DN652" s="33"/>
      <c r="DO652" s="33"/>
      <c r="DP652" s="33"/>
      <c r="DQ652" s="33"/>
      <c r="DR652" s="33"/>
      <c r="DS652" s="33"/>
      <c r="DT652" s="33"/>
      <c r="DU652" s="33"/>
      <c r="DV652" s="33"/>
      <c r="DW652" s="33"/>
      <c r="DX652" s="33"/>
      <c r="DY652" s="33"/>
      <c r="DZ652" s="33"/>
      <c r="EA652" s="33"/>
      <c r="EB652" s="33"/>
      <c r="EC652" s="33"/>
      <c r="ED652" s="33"/>
      <c r="EE652" s="33"/>
      <c r="EF652" s="33"/>
      <c r="EG652" s="33"/>
      <c r="EH652" s="33"/>
      <c r="EI652" s="33"/>
      <c r="EJ652" s="33"/>
      <c r="EK652" s="33"/>
      <c r="EL652" s="33"/>
      <c r="EM652" s="33"/>
      <c r="EN652" s="33"/>
      <c r="EO652" s="33"/>
      <c r="EP652" s="33"/>
      <c r="EQ652" s="33"/>
      <c r="ER652" s="33"/>
      <c r="ES652" s="33"/>
    </row>
    <row r="653">
      <c r="A653" s="33"/>
      <c r="B653" s="33"/>
      <c r="C653" s="33"/>
      <c r="D653" s="33"/>
      <c r="E653" s="33"/>
      <c r="F653" s="33"/>
      <c r="G653" s="85"/>
      <c r="H653" s="85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33"/>
      <c r="Y653" s="33"/>
      <c r="Z653" s="33"/>
      <c r="AA653" s="33"/>
      <c r="AB653" s="33"/>
      <c r="AC653" s="33"/>
      <c r="AD653" s="33"/>
      <c r="AE653" s="33"/>
      <c r="AF653" s="33"/>
      <c r="AG653" s="33"/>
      <c r="AH653" s="33"/>
      <c r="AI653" s="33"/>
      <c r="AJ653" s="33"/>
      <c r="AK653" s="33"/>
      <c r="AL653" s="33"/>
      <c r="AM653" s="33"/>
      <c r="AN653" s="33"/>
      <c r="AO653" s="33"/>
      <c r="AP653" s="33"/>
      <c r="AQ653" s="33"/>
      <c r="AR653" s="33"/>
      <c r="AS653" s="33"/>
      <c r="AT653" s="33"/>
      <c r="AU653" s="33"/>
      <c r="AV653" s="33"/>
      <c r="AW653" s="33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  <c r="BI653" s="33"/>
      <c r="BJ653" s="33"/>
      <c r="BK653" s="33"/>
      <c r="BL653" s="33"/>
      <c r="BM653" s="33"/>
      <c r="BN653" s="33"/>
      <c r="BO653" s="33"/>
      <c r="BP653" s="33"/>
      <c r="BQ653" s="33"/>
      <c r="BR653" s="33"/>
      <c r="BS653" s="33"/>
      <c r="BT653" s="33"/>
      <c r="BU653" s="33"/>
      <c r="BV653" s="33"/>
      <c r="BW653" s="33"/>
      <c r="BX653" s="33"/>
      <c r="BY653" s="33"/>
      <c r="BZ653" s="33"/>
      <c r="CA653" s="33"/>
      <c r="CB653" s="33"/>
      <c r="CC653" s="33"/>
      <c r="CD653" s="33"/>
      <c r="CE653" s="33"/>
      <c r="CF653" s="33"/>
      <c r="CG653" s="33"/>
      <c r="CH653" s="33"/>
      <c r="CI653" s="33"/>
      <c r="CJ653" s="33"/>
      <c r="CK653" s="33"/>
      <c r="CL653" s="33"/>
      <c r="CM653" s="33"/>
      <c r="CN653" s="33"/>
      <c r="CO653" s="33"/>
      <c r="CP653" s="33"/>
      <c r="CQ653" s="33"/>
      <c r="CR653" s="33"/>
      <c r="CS653" s="33"/>
      <c r="CT653" s="33"/>
      <c r="CU653" s="33"/>
      <c r="CV653" s="33"/>
      <c r="CW653" s="33"/>
      <c r="CX653" s="33"/>
      <c r="CY653" s="33"/>
      <c r="CZ653" s="33"/>
      <c r="DA653" s="33"/>
      <c r="DB653" s="33"/>
      <c r="DC653" s="33"/>
      <c r="DD653" s="33"/>
      <c r="DE653" s="33"/>
      <c r="DF653" s="33"/>
      <c r="DG653" s="33"/>
      <c r="DH653" s="33"/>
      <c r="DI653" s="33"/>
      <c r="DJ653" s="33"/>
      <c r="DK653" s="33"/>
      <c r="DL653" s="33"/>
      <c r="DM653" s="33"/>
      <c r="DN653" s="33"/>
      <c r="DO653" s="33"/>
      <c r="DP653" s="33"/>
      <c r="DQ653" s="33"/>
      <c r="DR653" s="33"/>
      <c r="DS653" s="33"/>
      <c r="DT653" s="33"/>
      <c r="DU653" s="33"/>
      <c r="DV653" s="33"/>
      <c r="DW653" s="33"/>
      <c r="DX653" s="33"/>
      <c r="DY653" s="33"/>
      <c r="DZ653" s="33"/>
      <c r="EA653" s="33"/>
      <c r="EB653" s="33"/>
      <c r="EC653" s="33"/>
      <c r="ED653" s="33"/>
      <c r="EE653" s="33"/>
      <c r="EF653" s="33"/>
      <c r="EG653" s="33"/>
      <c r="EH653" s="33"/>
      <c r="EI653" s="33"/>
      <c r="EJ653" s="33"/>
      <c r="EK653" s="33"/>
      <c r="EL653" s="33"/>
      <c r="EM653" s="33"/>
      <c r="EN653" s="33"/>
      <c r="EO653" s="33"/>
      <c r="EP653" s="33"/>
      <c r="EQ653" s="33"/>
      <c r="ER653" s="33"/>
      <c r="ES653" s="33"/>
    </row>
    <row r="654">
      <c r="A654" s="33"/>
      <c r="B654" s="33"/>
      <c r="C654" s="33"/>
      <c r="D654" s="33"/>
      <c r="E654" s="33"/>
      <c r="F654" s="33"/>
      <c r="G654" s="85"/>
      <c r="H654" s="85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33"/>
      <c r="Y654" s="33"/>
      <c r="Z654" s="33"/>
      <c r="AA654" s="33"/>
      <c r="AB654" s="33"/>
      <c r="AC654" s="33"/>
      <c r="AD654" s="33"/>
      <c r="AE654" s="33"/>
      <c r="AF654" s="33"/>
      <c r="AG654" s="33"/>
      <c r="AH654" s="33"/>
      <c r="AI654" s="33"/>
      <c r="AJ654" s="33"/>
      <c r="AK654" s="33"/>
      <c r="AL654" s="33"/>
      <c r="AM654" s="33"/>
      <c r="AN654" s="33"/>
      <c r="AO654" s="33"/>
      <c r="AP654" s="33"/>
      <c r="AQ654" s="33"/>
      <c r="AR654" s="33"/>
      <c r="AS654" s="33"/>
      <c r="AT654" s="33"/>
      <c r="AU654" s="33"/>
      <c r="AV654" s="33"/>
      <c r="AW654" s="33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  <c r="BI654" s="33"/>
      <c r="BJ654" s="33"/>
      <c r="BK654" s="33"/>
      <c r="BL654" s="33"/>
      <c r="BM654" s="33"/>
      <c r="BN654" s="33"/>
      <c r="BO654" s="33"/>
      <c r="BP654" s="33"/>
      <c r="BQ654" s="33"/>
      <c r="BR654" s="33"/>
      <c r="BS654" s="33"/>
      <c r="BT654" s="33"/>
      <c r="BU654" s="33"/>
      <c r="BV654" s="33"/>
      <c r="BW654" s="33"/>
      <c r="BX654" s="33"/>
      <c r="BY654" s="33"/>
      <c r="BZ654" s="33"/>
      <c r="CA654" s="33"/>
      <c r="CB654" s="33"/>
      <c r="CC654" s="33"/>
      <c r="CD654" s="33"/>
      <c r="CE654" s="33"/>
      <c r="CF654" s="33"/>
      <c r="CG654" s="33"/>
      <c r="CH654" s="33"/>
      <c r="CI654" s="33"/>
      <c r="CJ654" s="33"/>
      <c r="CK654" s="33"/>
      <c r="CL654" s="33"/>
      <c r="CM654" s="33"/>
      <c r="CN654" s="33"/>
      <c r="CO654" s="33"/>
      <c r="CP654" s="33"/>
      <c r="CQ654" s="33"/>
      <c r="CR654" s="33"/>
      <c r="CS654" s="33"/>
      <c r="CT654" s="33"/>
      <c r="CU654" s="33"/>
      <c r="CV654" s="33"/>
      <c r="CW654" s="33"/>
      <c r="CX654" s="33"/>
      <c r="CY654" s="33"/>
      <c r="CZ654" s="33"/>
      <c r="DA654" s="33"/>
      <c r="DB654" s="33"/>
      <c r="DC654" s="33"/>
      <c r="DD654" s="33"/>
      <c r="DE654" s="33"/>
      <c r="DF654" s="33"/>
      <c r="DG654" s="33"/>
      <c r="DH654" s="33"/>
      <c r="DI654" s="33"/>
      <c r="DJ654" s="33"/>
      <c r="DK654" s="33"/>
      <c r="DL654" s="33"/>
      <c r="DM654" s="33"/>
      <c r="DN654" s="33"/>
      <c r="DO654" s="33"/>
      <c r="DP654" s="33"/>
      <c r="DQ654" s="33"/>
      <c r="DR654" s="33"/>
      <c r="DS654" s="33"/>
      <c r="DT654" s="33"/>
      <c r="DU654" s="33"/>
      <c r="DV654" s="33"/>
      <c r="DW654" s="33"/>
      <c r="DX654" s="33"/>
      <c r="DY654" s="33"/>
      <c r="DZ654" s="33"/>
      <c r="EA654" s="33"/>
      <c r="EB654" s="33"/>
      <c r="EC654" s="33"/>
      <c r="ED654" s="33"/>
      <c r="EE654" s="33"/>
      <c r="EF654" s="33"/>
      <c r="EG654" s="33"/>
      <c r="EH654" s="33"/>
      <c r="EI654" s="33"/>
      <c r="EJ654" s="33"/>
      <c r="EK654" s="33"/>
      <c r="EL654" s="33"/>
      <c r="EM654" s="33"/>
      <c r="EN654" s="33"/>
      <c r="EO654" s="33"/>
      <c r="EP654" s="33"/>
      <c r="EQ654" s="33"/>
      <c r="ER654" s="33"/>
      <c r="ES654" s="33"/>
    </row>
    <row r="655">
      <c r="A655" s="33"/>
      <c r="B655" s="33"/>
      <c r="C655" s="33"/>
      <c r="D655" s="33"/>
      <c r="E655" s="33"/>
      <c r="F655" s="33"/>
      <c r="G655" s="85"/>
      <c r="H655" s="85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33"/>
      <c r="Y655" s="33"/>
      <c r="Z655" s="33"/>
      <c r="AA655" s="33"/>
      <c r="AB655" s="33"/>
      <c r="AC655" s="33"/>
      <c r="AD655" s="33"/>
      <c r="AE655" s="33"/>
      <c r="AF655" s="33"/>
      <c r="AG655" s="33"/>
      <c r="AH655" s="33"/>
      <c r="AI655" s="33"/>
      <c r="AJ655" s="33"/>
      <c r="AK655" s="33"/>
      <c r="AL655" s="33"/>
      <c r="AM655" s="33"/>
      <c r="AN655" s="33"/>
      <c r="AO655" s="33"/>
      <c r="AP655" s="33"/>
      <c r="AQ655" s="33"/>
      <c r="AR655" s="33"/>
      <c r="AS655" s="33"/>
      <c r="AT655" s="33"/>
      <c r="AU655" s="33"/>
      <c r="AV655" s="33"/>
      <c r="AW655" s="33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  <c r="BI655" s="33"/>
      <c r="BJ655" s="33"/>
      <c r="BK655" s="33"/>
      <c r="BL655" s="33"/>
      <c r="BM655" s="33"/>
      <c r="BN655" s="33"/>
      <c r="BO655" s="33"/>
      <c r="BP655" s="33"/>
      <c r="BQ655" s="33"/>
      <c r="BR655" s="33"/>
      <c r="BS655" s="33"/>
      <c r="BT655" s="33"/>
      <c r="BU655" s="33"/>
      <c r="BV655" s="33"/>
      <c r="BW655" s="33"/>
      <c r="BX655" s="33"/>
      <c r="BY655" s="33"/>
      <c r="BZ655" s="33"/>
      <c r="CA655" s="33"/>
      <c r="CB655" s="33"/>
      <c r="CC655" s="33"/>
      <c r="CD655" s="33"/>
      <c r="CE655" s="33"/>
      <c r="CF655" s="33"/>
      <c r="CG655" s="33"/>
      <c r="CH655" s="33"/>
      <c r="CI655" s="33"/>
      <c r="CJ655" s="33"/>
      <c r="CK655" s="33"/>
      <c r="CL655" s="33"/>
      <c r="CM655" s="33"/>
      <c r="CN655" s="33"/>
      <c r="CO655" s="33"/>
      <c r="CP655" s="33"/>
      <c r="CQ655" s="33"/>
      <c r="CR655" s="33"/>
      <c r="CS655" s="33"/>
      <c r="CT655" s="33"/>
      <c r="CU655" s="33"/>
      <c r="CV655" s="33"/>
      <c r="CW655" s="33"/>
      <c r="CX655" s="33"/>
      <c r="CY655" s="33"/>
      <c r="CZ655" s="33"/>
      <c r="DA655" s="33"/>
      <c r="DB655" s="33"/>
      <c r="DC655" s="33"/>
      <c r="DD655" s="33"/>
      <c r="DE655" s="33"/>
      <c r="DF655" s="33"/>
      <c r="DG655" s="33"/>
      <c r="DH655" s="33"/>
      <c r="DI655" s="33"/>
      <c r="DJ655" s="33"/>
      <c r="DK655" s="33"/>
      <c r="DL655" s="33"/>
      <c r="DM655" s="33"/>
      <c r="DN655" s="33"/>
      <c r="DO655" s="33"/>
      <c r="DP655" s="33"/>
      <c r="DQ655" s="33"/>
      <c r="DR655" s="33"/>
      <c r="DS655" s="33"/>
      <c r="DT655" s="33"/>
      <c r="DU655" s="33"/>
      <c r="DV655" s="33"/>
      <c r="DW655" s="33"/>
      <c r="DX655" s="33"/>
      <c r="DY655" s="33"/>
      <c r="DZ655" s="33"/>
      <c r="EA655" s="33"/>
      <c r="EB655" s="33"/>
      <c r="EC655" s="33"/>
      <c r="ED655" s="33"/>
      <c r="EE655" s="33"/>
      <c r="EF655" s="33"/>
      <c r="EG655" s="33"/>
      <c r="EH655" s="33"/>
      <c r="EI655" s="33"/>
      <c r="EJ655" s="33"/>
      <c r="EK655" s="33"/>
      <c r="EL655" s="33"/>
      <c r="EM655" s="33"/>
      <c r="EN655" s="33"/>
      <c r="EO655" s="33"/>
      <c r="EP655" s="33"/>
      <c r="EQ655" s="33"/>
      <c r="ER655" s="33"/>
      <c r="ES655" s="33"/>
    </row>
    <row r="656">
      <c r="A656" s="33"/>
      <c r="B656" s="33"/>
      <c r="C656" s="33"/>
      <c r="D656" s="33"/>
      <c r="E656" s="33"/>
      <c r="F656" s="33"/>
      <c r="G656" s="85"/>
      <c r="H656" s="85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33"/>
      <c r="Y656" s="33"/>
      <c r="Z656" s="33"/>
      <c r="AA656" s="33"/>
      <c r="AB656" s="33"/>
      <c r="AC656" s="33"/>
      <c r="AD656" s="33"/>
      <c r="AE656" s="33"/>
      <c r="AF656" s="33"/>
      <c r="AG656" s="33"/>
      <c r="AH656" s="33"/>
      <c r="AI656" s="33"/>
      <c r="AJ656" s="33"/>
      <c r="AK656" s="33"/>
      <c r="AL656" s="33"/>
      <c r="AM656" s="33"/>
      <c r="AN656" s="33"/>
      <c r="AO656" s="33"/>
      <c r="AP656" s="33"/>
      <c r="AQ656" s="33"/>
      <c r="AR656" s="33"/>
      <c r="AS656" s="33"/>
      <c r="AT656" s="33"/>
      <c r="AU656" s="33"/>
      <c r="AV656" s="33"/>
      <c r="AW656" s="33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  <c r="BI656" s="33"/>
      <c r="BJ656" s="33"/>
      <c r="BK656" s="33"/>
      <c r="BL656" s="33"/>
      <c r="BM656" s="33"/>
      <c r="BN656" s="33"/>
      <c r="BO656" s="33"/>
      <c r="BP656" s="33"/>
      <c r="BQ656" s="33"/>
      <c r="BR656" s="33"/>
      <c r="BS656" s="33"/>
      <c r="BT656" s="33"/>
      <c r="BU656" s="33"/>
      <c r="BV656" s="33"/>
      <c r="BW656" s="33"/>
      <c r="BX656" s="33"/>
      <c r="BY656" s="33"/>
      <c r="BZ656" s="33"/>
      <c r="CA656" s="33"/>
      <c r="CB656" s="33"/>
      <c r="CC656" s="33"/>
      <c r="CD656" s="33"/>
      <c r="CE656" s="33"/>
      <c r="CF656" s="33"/>
      <c r="CG656" s="33"/>
      <c r="CH656" s="33"/>
      <c r="CI656" s="33"/>
      <c r="CJ656" s="33"/>
      <c r="CK656" s="33"/>
      <c r="CL656" s="33"/>
      <c r="CM656" s="33"/>
      <c r="CN656" s="33"/>
      <c r="CO656" s="33"/>
      <c r="CP656" s="33"/>
      <c r="CQ656" s="33"/>
      <c r="CR656" s="33"/>
      <c r="CS656" s="33"/>
      <c r="CT656" s="33"/>
      <c r="CU656" s="33"/>
      <c r="CV656" s="33"/>
      <c r="CW656" s="33"/>
      <c r="CX656" s="33"/>
      <c r="CY656" s="33"/>
      <c r="CZ656" s="33"/>
      <c r="DA656" s="33"/>
      <c r="DB656" s="33"/>
      <c r="DC656" s="33"/>
      <c r="DD656" s="33"/>
      <c r="DE656" s="33"/>
      <c r="DF656" s="33"/>
      <c r="DG656" s="33"/>
      <c r="DH656" s="33"/>
      <c r="DI656" s="33"/>
      <c r="DJ656" s="33"/>
      <c r="DK656" s="33"/>
      <c r="DL656" s="33"/>
      <c r="DM656" s="33"/>
      <c r="DN656" s="33"/>
      <c r="DO656" s="33"/>
      <c r="DP656" s="33"/>
      <c r="DQ656" s="33"/>
      <c r="DR656" s="33"/>
      <c r="DS656" s="33"/>
      <c r="DT656" s="33"/>
      <c r="DU656" s="33"/>
      <c r="DV656" s="33"/>
      <c r="DW656" s="33"/>
      <c r="DX656" s="33"/>
      <c r="DY656" s="33"/>
      <c r="DZ656" s="33"/>
      <c r="EA656" s="33"/>
      <c r="EB656" s="33"/>
      <c r="EC656" s="33"/>
      <c r="ED656" s="33"/>
      <c r="EE656" s="33"/>
      <c r="EF656" s="33"/>
      <c r="EG656" s="33"/>
      <c r="EH656" s="33"/>
      <c r="EI656" s="33"/>
      <c r="EJ656" s="33"/>
      <c r="EK656" s="33"/>
      <c r="EL656" s="33"/>
      <c r="EM656" s="33"/>
      <c r="EN656" s="33"/>
      <c r="EO656" s="33"/>
      <c r="EP656" s="33"/>
      <c r="EQ656" s="33"/>
      <c r="ER656" s="33"/>
      <c r="ES656" s="33"/>
    </row>
    <row r="657">
      <c r="A657" s="33"/>
      <c r="B657" s="33"/>
      <c r="C657" s="33"/>
      <c r="D657" s="33"/>
      <c r="E657" s="33"/>
      <c r="F657" s="33"/>
      <c r="G657" s="85"/>
      <c r="H657" s="85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33"/>
      <c r="Y657" s="33"/>
      <c r="Z657" s="33"/>
      <c r="AA657" s="33"/>
      <c r="AB657" s="33"/>
      <c r="AC657" s="33"/>
      <c r="AD657" s="33"/>
      <c r="AE657" s="33"/>
      <c r="AF657" s="33"/>
      <c r="AG657" s="33"/>
      <c r="AH657" s="33"/>
      <c r="AI657" s="33"/>
      <c r="AJ657" s="33"/>
      <c r="AK657" s="33"/>
      <c r="AL657" s="33"/>
      <c r="AM657" s="33"/>
      <c r="AN657" s="33"/>
      <c r="AO657" s="33"/>
      <c r="AP657" s="33"/>
      <c r="AQ657" s="33"/>
      <c r="AR657" s="33"/>
      <c r="AS657" s="33"/>
      <c r="AT657" s="33"/>
      <c r="AU657" s="33"/>
      <c r="AV657" s="33"/>
      <c r="AW657" s="33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  <c r="BI657" s="33"/>
      <c r="BJ657" s="33"/>
      <c r="BK657" s="33"/>
      <c r="BL657" s="33"/>
      <c r="BM657" s="33"/>
      <c r="BN657" s="33"/>
      <c r="BO657" s="33"/>
      <c r="BP657" s="33"/>
      <c r="BQ657" s="33"/>
      <c r="BR657" s="33"/>
      <c r="BS657" s="33"/>
      <c r="BT657" s="33"/>
      <c r="BU657" s="33"/>
      <c r="BV657" s="33"/>
      <c r="BW657" s="33"/>
      <c r="BX657" s="33"/>
      <c r="BY657" s="33"/>
      <c r="BZ657" s="33"/>
      <c r="CA657" s="33"/>
      <c r="CB657" s="33"/>
      <c r="CC657" s="33"/>
      <c r="CD657" s="33"/>
      <c r="CE657" s="33"/>
      <c r="CF657" s="33"/>
      <c r="CG657" s="33"/>
      <c r="CH657" s="33"/>
      <c r="CI657" s="33"/>
      <c r="CJ657" s="33"/>
      <c r="CK657" s="33"/>
      <c r="CL657" s="33"/>
      <c r="CM657" s="33"/>
      <c r="CN657" s="33"/>
      <c r="CO657" s="33"/>
      <c r="CP657" s="33"/>
      <c r="CQ657" s="33"/>
      <c r="CR657" s="33"/>
      <c r="CS657" s="33"/>
      <c r="CT657" s="33"/>
      <c r="CU657" s="33"/>
      <c r="CV657" s="33"/>
      <c r="CW657" s="33"/>
      <c r="CX657" s="33"/>
      <c r="CY657" s="33"/>
      <c r="CZ657" s="33"/>
      <c r="DA657" s="33"/>
      <c r="DB657" s="33"/>
      <c r="DC657" s="33"/>
      <c r="DD657" s="33"/>
      <c r="DE657" s="33"/>
      <c r="DF657" s="33"/>
      <c r="DG657" s="33"/>
      <c r="DH657" s="33"/>
      <c r="DI657" s="33"/>
      <c r="DJ657" s="33"/>
      <c r="DK657" s="33"/>
      <c r="DL657" s="33"/>
      <c r="DM657" s="33"/>
      <c r="DN657" s="33"/>
      <c r="DO657" s="33"/>
      <c r="DP657" s="33"/>
      <c r="DQ657" s="33"/>
      <c r="DR657" s="33"/>
      <c r="DS657" s="33"/>
      <c r="DT657" s="33"/>
      <c r="DU657" s="33"/>
      <c r="DV657" s="33"/>
      <c r="DW657" s="33"/>
      <c r="DX657" s="33"/>
      <c r="DY657" s="33"/>
      <c r="DZ657" s="33"/>
      <c r="EA657" s="33"/>
      <c r="EB657" s="33"/>
      <c r="EC657" s="33"/>
      <c r="ED657" s="33"/>
      <c r="EE657" s="33"/>
      <c r="EF657" s="33"/>
      <c r="EG657" s="33"/>
      <c r="EH657" s="33"/>
      <c r="EI657" s="33"/>
      <c r="EJ657" s="33"/>
      <c r="EK657" s="33"/>
      <c r="EL657" s="33"/>
      <c r="EM657" s="33"/>
      <c r="EN657" s="33"/>
      <c r="EO657" s="33"/>
      <c r="EP657" s="33"/>
      <c r="EQ657" s="33"/>
      <c r="ER657" s="33"/>
      <c r="ES657" s="33"/>
    </row>
    <row r="658">
      <c r="A658" s="33"/>
      <c r="B658" s="33"/>
      <c r="C658" s="33"/>
      <c r="D658" s="33"/>
      <c r="E658" s="33"/>
      <c r="F658" s="33"/>
      <c r="G658" s="85"/>
      <c r="H658" s="85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33"/>
      <c r="Y658" s="33"/>
      <c r="Z658" s="33"/>
      <c r="AA658" s="33"/>
      <c r="AB658" s="33"/>
      <c r="AC658" s="33"/>
      <c r="AD658" s="33"/>
      <c r="AE658" s="33"/>
      <c r="AF658" s="33"/>
      <c r="AG658" s="33"/>
      <c r="AH658" s="33"/>
      <c r="AI658" s="33"/>
      <c r="AJ658" s="33"/>
      <c r="AK658" s="33"/>
      <c r="AL658" s="33"/>
      <c r="AM658" s="33"/>
      <c r="AN658" s="33"/>
      <c r="AO658" s="33"/>
      <c r="AP658" s="33"/>
      <c r="AQ658" s="33"/>
      <c r="AR658" s="33"/>
      <c r="AS658" s="33"/>
      <c r="AT658" s="33"/>
      <c r="AU658" s="33"/>
      <c r="AV658" s="33"/>
      <c r="AW658" s="33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  <c r="BI658" s="33"/>
      <c r="BJ658" s="33"/>
      <c r="BK658" s="33"/>
      <c r="BL658" s="33"/>
      <c r="BM658" s="33"/>
      <c r="BN658" s="33"/>
      <c r="BO658" s="33"/>
      <c r="BP658" s="33"/>
      <c r="BQ658" s="33"/>
      <c r="BR658" s="33"/>
      <c r="BS658" s="33"/>
      <c r="BT658" s="33"/>
      <c r="BU658" s="33"/>
      <c r="BV658" s="33"/>
      <c r="BW658" s="33"/>
      <c r="BX658" s="33"/>
      <c r="BY658" s="33"/>
      <c r="BZ658" s="33"/>
      <c r="CA658" s="33"/>
      <c r="CB658" s="33"/>
      <c r="CC658" s="33"/>
      <c r="CD658" s="33"/>
      <c r="CE658" s="33"/>
      <c r="CF658" s="33"/>
      <c r="CG658" s="33"/>
      <c r="CH658" s="33"/>
      <c r="CI658" s="33"/>
      <c r="CJ658" s="33"/>
      <c r="CK658" s="33"/>
      <c r="CL658" s="33"/>
      <c r="CM658" s="33"/>
      <c r="CN658" s="33"/>
      <c r="CO658" s="33"/>
      <c r="CP658" s="33"/>
      <c r="CQ658" s="33"/>
      <c r="CR658" s="33"/>
      <c r="CS658" s="33"/>
      <c r="CT658" s="33"/>
      <c r="CU658" s="33"/>
      <c r="CV658" s="33"/>
      <c r="CW658" s="33"/>
      <c r="CX658" s="33"/>
      <c r="CY658" s="33"/>
      <c r="CZ658" s="33"/>
      <c r="DA658" s="33"/>
      <c r="DB658" s="33"/>
      <c r="DC658" s="33"/>
      <c r="DD658" s="33"/>
      <c r="DE658" s="33"/>
      <c r="DF658" s="33"/>
      <c r="DG658" s="33"/>
      <c r="DH658" s="33"/>
      <c r="DI658" s="33"/>
      <c r="DJ658" s="33"/>
      <c r="DK658" s="33"/>
      <c r="DL658" s="33"/>
      <c r="DM658" s="33"/>
      <c r="DN658" s="33"/>
      <c r="DO658" s="33"/>
      <c r="DP658" s="33"/>
      <c r="DQ658" s="33"/>
      <c r="DR658" s="33"/>
      <c r="DS658" s="33"/>
      <c r="DT658" s="33"/>
      <c r="DU658" s="33"/>
      <c r="DV658" s="33"/>
      <c r="DW658" s="33"/>
      <c r="DX658" s="33"/>
      <c r="DY658" s="33"/>
      <c r="DZ658" s="33"/>
      <c r="EA658" s="33"/>
      <c r="EB658" s="33"/>
      <c r="EC658" s="33"/>
      <c r="ED658" s="33"/>
      <c r="EE658" s="33"/>
      <c r="EF658" s="33"/>
      <c r="EG658" s="33"/>
      <c r="EH658" s="33"/>
      <c r="EI658" s="33"/>
      <c r="EJ658" s="33"/>
      <c r="EK658" s="33"/>
      <c r="EL658" s="33"/>
      <c r="EM658" s="33"/>
      <c r="EN658" s="33"/>
      <c r="EO658" s="33"/>
      <c r="EP658" s="33"/>
      <c r="EQ658" s="33"/>
      <c r="ER658" s="33"/>
      <c r="ES658" s="33"/>
    </row>
    <row r="659">
      <c r="A659" s="33"/>
      <c r="B659" s="33"/>
      <c r="C659" s="33"/>
      <c r="D659" s="33"/>
      <c r="E659" s="33"/>
      <c r="F659" s="33"/>
      <c r="G659" s="85"/>
      <c r="H659" s="85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33"/>
      <c r="Y659" s="33"/>
      <c r="Z659" s="33"/>
      <c r="AA659" s="33"/>
      <c r="AB659" s="33"/>
      <c r="AC659" s="33"/>
      <c r="AD659" s="33"/>
      <c r="AE659" s="33"/>
      <c r="AF659" s="33"/>
      <c r="AG659" s="33"/>
      <c r="AH659" s="33"/>
      <c r="AI659" s="33"/>
      <c r="AJ659" s="33"/>
      <c r="AK659" s="33"/>
      <c r="AL659" s="33"/>
      <c r="AM659" s="33"/>
      <c r="AN659" s="33"/>
      <c r="AO659" s="33"/>
      <c r="AP659" s="33"/>
      <c r="AQ659" s="33"/>
      <c r="AR659" s="33"/>
      <c r="AS659" s="33"/>
      <c r="AT659" s="33"/>
      <c r="AU659" s="33"/>
      <c r="AV659" s="33"/>
      <c r="AW659" s="33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  <c r="BI659" s="33"/>
      <c r="BJ659" s="33"/>
      <c r="BK659" s="33"/>
      <c r="BL659" s="33"/>
      <c r="BM659" s="33"/>
      <c r="BN659" s="33"/>
      <c r="BO659" s="33"/>
      <c r="BP659" s="33"/>
      <c r="BQ659" s="33"/>
      <c r="BR659" s="33"/>
      <c r="BS659" s="33"/>
      <c r="BT659" s="33"/>
      <c r="BU659" s="33"/>
      <c r="BV659" s="33"/>
      <c r="BW659" s="33"/>
      <c r="BX659" s="33"/>
      <c r="BY659" s="33"/>
      <c r="BZ659" s="33"/>
      <c r="CA659" s="33"/>
      <c r="CB659" s="33"/>
      <c r="CC659" s="33"/>
      <c r="CD659" s="33"/>
      <c r="CE659" s="33"/>
      <c r="CF659" s="33"/>
      <c r="CG659" s="33"/>
      <c r="CH659" s="33"/>
      <c r="CI659" s="33"/>
      <c r="CJ659" s="33"/>
      <c r="CK659" s="33"/>
      <c r="CL659" s="33"/>
      <c r="CM659" s="33"/>
      <c r="CN659" s="33"/>
      <c r="CO659" s="33"/>
      <c r="CP659" s="33"/>
      <c r="CQ659" s="33"/>
      <c r="CR659" s="33"/>
      <c r="CS659" s="33"/>
      <c r="CT659" s="33"/>
      <c r="CU659" s="33"/>
      <c r="CV659" s="33"/>
      <c r="CW659" s="33"/>
      <c r="CX659" s="33"/>
      <c r="CY659" s="33"/>
      <c r="CZ659" s="33"/>
      <c r="DA659" s="33"/>
      <c r="DB659" s="33"/>
      <c r="DC659" s="33"/>
      <c r="DD659" s="33"/>
      <c r="DE659" s="33"/>
      <c r="DF659" s="33"/>
      <c r="DG659" s="33"/>
      <c r="DH659" s="33"/>
      <c r="DI659" s="33"/>
      <c r="DJ659" s="33"/>
      <c r="DK659" s="33"/>
      <c r="DL659" s="33"/>
      <c r="DM659" s="33"/>
      <c r="DN659" s="33"/>
      <c r="DO659" s="33"/>
      <c r="DP659" s="33"/>
      <c r="DQ659" s="33"/>
      <c r="DR659" s="33"/>
      <c r="DS659" s="33"/>
      <c r="DT659" s="33"/>
      <c r="DU659" s="33"/>
      <c r="DV659" s="33"/>
      <c r="DW659" s="33"/>
      <c r="DX659" s="33"/>
      <c r="DY659" s="33"/>
      <c r="DZ659" s="33"/>
      <c r="EA659" s="33"/>
      <c r="EB659" s="33"/>
      <c r="EC659" s="33"/>
      <c r="ED659" s="33"/>
      <c r="EE659" s="33"/>
      <c r="EF659" s="33"/>
      <c r="EG659" s="33"/>
      <c r="EH659" s="33"/>
      <c r="EI659" s="33"/>
      <c r="EJ659" s="33"/>
      <c r="EK659" s="33"/>
      <c r="EL659" s="33"/>
      <c r="EM659" s="33"/>
      <c r="EN659" s="33"/>
      <c r="EO659" s="33"/>
      <c r="EP659" s="33"/>
      <c r="EQ659" s="33"/>
      <c r="ER659" s="33"/>
      <c r="ES659" s="33"/>
    </row>
    <row r="660">
      <c r="A660" s="33"/>
      <c r="B660" s="33"/>
      <c r="C660" s="33"/>
      <c r="D660" s="33"/>
      <c r="E660" s="33"/>
      <c r="F660" s="33"/>
      <c r="G660" s="85"/>
      <c r="H660" s="85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33"/>
      <c r="Y660" s="33"/>
      <c r="Z660" s="33"/>
      <c r="AA660" s="33"/>
      <c r="AB660" s="33"/>
      <c r="AC660" s="33"/>
      <c r="AD660" s="33"/>
      <c r="AE660" s="33"/>
      <c r="AF660" s="33"/>
      <c r="AG660" s="33"/>
      <c r="AH660" s="33"/>
      <c r="AI660" s="33"/>
      <c r="AJ660" s="33"/>
      <c r="AK660" s="33"/>
      <c r="AL660" s="33"/>
      <c r="AM660" s="33"/>
      <c r="AN660" s="33"/>
      <c r="AO660" s="33"/>
      <c r="AP660" s="33"/>
      <c r="AQ660" s="33"/>
      <c r="AR660" s="33"/>
      <c r="AS660" s="33"/>
      <c r="AT660" s="33"/>
      <c r="AU660" s="33"/>
      <c r="AV660" s="33"/>
      <c r="AW660" s="33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  <c r="BI660" s="33"/>
      <c r="BJ660" s="33"/>
      <c r="BK660" s="33"/>
      <c r="BL660" s="33"/>
      <c r="BM660" s="33"/>
      <c r="BN660" s="33"/>
      <c r="BO660" s="33"/>
      <c r="BP660" s="33"/>
      <c r="BQ660" s="33"/>
      <c r="BR660" s="33"/>
      <c r="BS660" s="33"/>
      <c r="BT660" s="33"/>
      <c r="BU660" s="33"/>
      <c r="BV660" s="33"/>
      <c r="BW660" s="33"/>
      <c r="BX660" s="33"/>
      <c r="BY660" s="33"/>
      <c r="BZ660" s="33"/>
      <c r="CA660" s="33"/>
      <c r="CB660" s="33"/>
      <c r="CC660" s="33"/>
      <c r="CD660" s="33"/>
      <c r="CE660" s="33"/>
      <c r="CF660" s="33"/>
      <c r="CG660" s="33"/>
      <c r="CH660" s="33"/>
      <c r="CI660" s="33"/>
      <c r="CJ660" s="33"/>
      <c r="CK660" s="33"/>
      <c r="CL660" s="33"/>
      <c r="CM660" s="33"/>
      <c r="CN660" s="33"/>
      <c r="CO660" s="33"/>
      <c r="CP660" s="33"/>
      <c r="CQ660" s="33"/>
      <c r="CR660" s="33"/>
      <c r="CS660" s="33"/>
      <c r="CT660" s="33"/>
      <c r="CU660" s="33"/>
      <c r="CV660" s="33"/>
      <c r="CW660" s="33"/>
      <c r="CX660" s="33"/>
      <c r="CY660" s="33"/>
      <c r="CZ660" s="33"/>
      <c r="DA660" s="33"/>
      <c r="DB660" s="33"/>
      <c r="DC660" s="33"/>
      <c r="DD660" s="33"/>
      <c r="DE660" s="33"/>
      <c r="DF660" s="33"/>
      <c r="DG660" s="33"/>
      <c r="DH660" s="33"/>
      <c r="DI660" s="33"/>
      <c r="DJ660" s="33"/>
      <c r="DK660" s="33"/>
      <c r="DL660" s="33"/>
      <c r="DM660" s="33"/>
      <c r="DN660" s="33"/>
      <c r="DO660" s="33"/>
      <c r="DP660" s="33"/>
      <c r="DQ660" s="33"/>
      <c r="DR660" s="33"/>
      <c r="DS660" s="33"/>
      <c r="DT660" s="33"/>
      <c r="DU660" s="33"/>
      <c r="DV660" s="33"/>
      <c r="DW660" s="33"/>
      <c r="DX660" s="33"/>
      <c r="DY660" s="33"/>
      <c r="DZ660" s="33"/>
      <c r="EA660" s="33"/>
      <c r="EB660" s="33"/>
      <c r="EC660" s="33"/>
      <c r="ED660" s="33"/>
      <c r="EE660" s="33"/>
      <c r="EF660" s="33"/>
      <c r="EG660" s="33"/>
      <c r="EH660" s="33"/>
      <c r="EI660" s="33"/>
      <c r="EJ660" s="33"/>
      <c r="EK660" s="33"/>
      <c r="EL660" s="33"/>
      <c r="EM660" s="33"/>
      <c r="EN660" s="33"/>
      <c r="EO660" s="33"/>
      <c r="EP660" s="33"/>
      <c r="EQ660" s="33"/>
      <c r="ER660" s="33"/>
      <c r="ES660" s="33"/>
    </row>
    <row r="661">
      <c r="A661" s="33"/>
      <c r="B661" s="33"/>
      <c r="C661" s="33"/>
      <c r="D661" s="33"/>
      <c r="E661" s="33"/>
      <c r="F661" s="33"/>
      <c r="G661" s="85"/>
      <c r="H661" s="85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33"/>
      <c r="Y661" s="33"/>
      <c r="Z661" s="33"/>
      <c r="AA661" s="33"/>
      <c r="AB661" s="33"/>
      <c r="AC661" s="33"/>
      <c r="AD661" s="33"/>
      <c r="AE661" s="33"/>
      <c r="AF661" s="33"/>
      <c r="AG661" s="33"/>
      <c r="AH661" s="33"/>
      <c r="AI661" s="33"/>
      <c r="AJ661" s="33"/>
      <c r="AK661" s="33"/>
      <c r="AL661" s="33"/>
      <c r="AM661" s="33"/>
      <c r="AN661" s="33"/>
      <c r="AO661" s="33"/>
      <c r="AP661" s="33"/>
      <c r="AQ661" s="33"/>
      <c r="AR661" s="33"/>
      <c r="AS661" s="33"/>
      <c r="AT661" s="33"/>
      <c r="AU661" s="33"/>
      <c r="AV661" s="33"/>
      <c r="AW661" s="33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  <c r="BI661" s="33"/>
      <c r="BJ661" s="33"/>
      <c r="BK661" s="33"/>
      <c r="BL661" s="33"/>
      <c r="BM661" s="33"/>
      <c r="BN661" s="33"/>
      <c r="BO661" s="33"/>
      <c r="BP661" s="33"/>
      <c r="BQ661" s="33"/>
      <c r="BR661" s="33"/>
      <c r="BS661" s="33"/>
      <c r="BT661" s="33"/>
      <c r="BU661" s="33"/>
      <c r="BV661" s="33"/>
      <c r="BW661" s="33"/>
      <c r="BX661" s="33"/>
      <c r="BY661" s="33"/>
      <c r="BZ661" s="33"/>
      <c r="CA661" s="33"/>
      <c r="CB661" s="33"/>
      <c r="CC661" s="33"/>
      <c r="CD661" s="33"/>
      <c r="CE661" s="33"/>
      <c r="CF661" s="33"/>
      <c r="CG661" s="33"/>
      <c r="CH661" s="33"/>
      <c r="CI661" s="33"/>
      <c r="CJ661" s="33"/>
      <c r="CK661" s="33"/>
      <c r="CL661" s="33"/>
      <c r="CM661" s="33"/>
      <c r="CN661" s="33"/>
      <c r="CO661" s="33"/>
      <c r="CP661" s="33"/>
      <c r="CQ661" s="33"/>
      <c r="CR661" s="33"/>
      <c r="CS661" s="33"/>
      <c r="CT661" s="33"/>
      <c r="CU661" s="33"/>
      <c r="CV661" s="33"/>
      <c r="CW661" s="33"/>
      <c r="CX661" s="33"/>
      <c r="CY661" s="33"/>
      <c r="CZ661" s="33"/>
      <c r="DA661" s="33"/>
      <c r="DB661" s="33"/>
      <c r="DC661" s="33"/>
      <c r="DD661" s="33"/>
      <c r="DE661" s="33"/>
      <c r="DF661" s="33"/>
      <c r="DG661" s="33"/>
      <c r="DH661" s="33"/>
      <c r="DI661" s="33"/>
      <c r="DJ661" s="33"/>
      <c r="DK661" s="33"/>
      <c r="DL661" s="33"/>
      <c r="DM661" s="33"/>
      <c r="DN661" s="33"/>
      <c r="DO661" s="33"/>
      <c r="DP661" s="33"/>
      <c r="DQ661" s="33"/>
      <c r="DR661" s="33"/>
      <c r="DS661" s="33"/>
      <c r="DT661" s="33"/>
      <c r="DU661" s="33"/>
      <c r="DV661" s="33"/>
      <c r="DW661" s="33"/>
      <c r="DX661" s="33"/>
      <c r="DY661" s="33"/>
      <c r="DZ661" s="33"/>
      <c r="EA661" s="33"/>
      <c r="EB661" s="33"/>
      <c r="EC661" s="33"/>
      <c r="ED661" s="33"/>
      <c r="EE661" s="33"/>
      <c r="EF661" s="33"/>
      <c r="EG661" s="33"/>
      <c r="EH661" s="33"/>
      <c r="EI661" s="33"/>
      <c r="EJ661" s="33"/>
      <c r="EK661" s="33"/>
      <c r="EL661" s="33"/>
      <c r="EM661" s="33"/>
      <c r="EN661" s="33"/>
      <c r="EO661" s="33"/>
      <c r="EP661" s="33"/>
      <c r="EQ661" s="33"/>
      <c r="ER661" s="33"/>
      <c r="ES661" s="33"/>
    </row>
    <row r="662">
      <c r="A662" s="33"/>
      <c r="B662" s="33"/>
      <c r="C662" s="33"/>
      <c r="D662" s="33"/>
      <c r="E662" s="33"/>
      <c r="F662" s="33"/>
      <c r="G662" s="85"/>
      <c r="H662" s="85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33"/>
      <c r="Y662" s="33"/>
      <c r="Z662" s="33"/>
      <c r="AA662" s="33"/>
      <c r="AB662" s="33"/>
      <c r="AC662" s="33"/>
      <c r="AD662" s="33"/>
      <c r="AE662" s="33"/>
      <c r="AF662" s="33"/>
      <c r="AG662" s="33"/>
      <c r="AH662" s="33"/>
      <c r="AI662" s="33"/>
      <c r="AJ662" s="33"/>
      <c r="AK662" s="33"/>
      <c r="AL662" s="33"/>
      <c r="AM662" s="33"/>
      <c r="AN662" s="33"/>
      <c r="AO662" s="33"/>
      <c r="AP662" s="33"/>
      <c r="AQ662" s="33"/>
      <c r="AR662" s="33"/>
      <c r="AS662" s="33"/>
      <c r="AT662" s="33"/>
      <c r="AU662" s="33"/>
      <c r="AV662" s="33"/>
      <c r="AW662" s="33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  <c r="BI662" s="33"/>
      <c r="BJ662" s="33"/>
      <c r="BK662" s="33"/>
      <c r="BL662" s="33"/>
      <c r="BM662" s="33"/>
      <c r="BN662" s="33"/>
      <c r="BO662" s="33"/>
      <c r="BP662" s="33"/>
      <c r="BQ662" s="33"/>
      <c r="BR662" s="33"/>
      <c r="BS662" s="33"/>
      <c r="BT662" s="33"/>
      <c r="BU662" s="33"/>
      <c r="BV662" s="33"/>
      <c r="BW662" s="33"/>
      <c r="BX662" s="33"/>
      <c r="BY662" s="33"/>
      <c r="BZ662" s="33"/>
      <c r="CA662" s="33"/>
      <c r="CB662" s="33"/>
      <c r="CC662" s="33"/>
      <c r="CD662" s="33"/>
      <c r="CE662" s="33"/>
      <c r="CF662" s="33"/>
      <c r="CG662" s="33"/>
      <c r="CH662" s="33"/>
      <c r="CI662" s="33"/>
      <c r="CJ662" s="33"/>
      <c r="CK662" s="33"/>
      <c r="CL662" s="33"/>
      <c r="CM662" s="33"/>
      <c r="CN662" s="33"/>
      <c r="CO662" s="33"/>
      <c r="CP662" s="33"/>
      <c r="CQ662" s="33"/>
      <c r="CR662" s="33"/>
      <c r="CS662" s="33"/>
      <c r="CT662" s="33"/>
      <c r="CU662" s="33"/>
      <c r="CV662" s="33"/>
      <c r="CW662" s="33"/>
      <c r="CX662" s="33"/>
      <c r="CY662" s="33"/>
      <c r="CZ662" s="33"/>
      <c r="DA662" s="33"/>
      <c r="DB662" s="33"/>
      <c r="DC662" s="33"/>
      <c r="DD662" s="33"/>
      <c r="DE662" s="33"/>
      <c r="DF662" s="33"/>
      <c r="DG662" s="33"/>
      <c r="DH662" s="33"/>
      <c r="DI662" s="33"/>
      <c r="DJ662" s="33"/>
      <c r="DK662" s="33"/>
      <c r="DL662" s="33"/>
      <c r="DM662" s="33"/>
      <c r="DN662" s="33"/>
      <c r="DO662" s="33"/>
      <c r="DP662" s="33"/>
      <c r="DQ662" s="33"/>
      <c r="DR662" s="33"/>
      <c r="DS662" s="33"/>
      <c r="DT662" s="33"/>
      <c r="DU662" s="33"/>
      <c r="DV662" s="33"/>
      <c r="DW662" s="33"/>
      <c r="DX662" s="33"/>
      <c r="DY662" s="33"/>
      <c r="DZ662" s="33"/>
      <c r="EA662" s="33"/>
      <c r="EB662" s="33"/>
      <c r="EC662" s="33"/>
      <c r="ED662" s="33"/>
      <c r="EE662" s="33"/>
      <c r="EF662" s="33"/>
      <c r="EG662" s="33"/>
      <c r="EH662" s="33"/>
      <c r="EI662" s="33"/>
      <c r="EJ662" s="33"/>
      <c r="EK662" s="33"/>
      <c r="EL662" s="33"/>
      <c r="EM662" s="33"/>
      <c r="EN662" s="33"/>
      <c r="EO662" s="33"/>
      <c r="EP662" s="33"/>
      <c r="EQ662" s="33"/>
      <c r="ER662" s="33"/>
      <c r="ES662" s="33"/>
    </row>
    <row r="663">
      <c r="A663" s="33"/>
      <c r="B663" s="33"/>
      <c r="C663" s="33"/>
      <c r="D663" s="33"/>
      <c r="E663" s="33"/>
      <c r="F663" s="33"/>
      <c r="G663" s="85"/>
      <c r="H663" s="85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33"/>
      <c r="Y663" s="33"/>
      <c r="Z663" s="33"/>
      <c r="AA663" s="33"/>
      <c r="AB663" s="33"/>
      <c r="AC663" s="33"/>
      <c r="AD663" s="33"/>
      <c r="AE663" s="33"/>
      <c r="AF663" s="33"/>
      <c r="AG663" s="33"/>
      <c r="AH663" s="33"/>
      <c r="AI663" s="33"/>
      <c r="AJ663" s="33"/>
      <c r="AK663" s="33"/>
      <c r="AL663" s="33"/>
      <c r="AM663" s="33"/>
      <c r="AN663" s="33"/>
      <c r="AO663" s="33"/>
      <c r="AP663" s="33"/>
      <c r="AQ663" s="33"/>
      <c r="AR663" s="33"/>
      <c r="AS663" s="33"/>
      <c r="AT663" s="33"/>
      <c r="AU663" s="33"/>
      <c r="AV663" s="33"/>
      <c r="AW663" s="33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  <c r="BI663" s="33"/>
      <c r="BJ663" s="33"/>
      <c r="BK663" s="33"/>
      <c r="BL663" s="33"/>
      <c r="BM663" s="33"/>
      <c r="BN663" s="33"/>
      <c r="BO663" s="33"/>
      <c r="BP663" s="33"/>
      <c r="BQ663" s="33"/>
      <c r="BR663" s="33"/>
      <c r="BS663" s="33"/>
      <c r="BT663" s="33"/>
      <c r="BU663" s="33"/>
      <c r="BV663" s="33"/>
      <c r="BW663" s="33"/>
      <c r="BX663" s="33"/>
      <c r="BY663" s="33"/>
      <c r="BZ663" s="33"/>
      <c r="CA663" s="33"/>
      <c r="CB663" s="33"/>
      <c r="CC663" s="33"/>
      <c r="CD663" s="33"/>
      <c r="CE663" s="33"/>
      <c r="CF663" s="33"/>
      <c r="CG663" s="33"/>
      <c r="CH663" s="33"/>
      <c r="CI663" s="33"/>
      <c r="CJ663" s="33"/>
      <c r="CK663" s="33"/>
      <c r="CL663" s="33"/>
      <c r="CM663" s="33"/>
      <c r="CN663" s="33"/>
      <c r="CO663" s="33"/>
      <c r="CP663" s="33"/>
      <c r="CQ663" s="33"/>
      <c r="CR663" s="33"/>
      <c r="CS663" s="33"/>
      <c r="CT663" s="33"/>
      <c r="CU663" s="33"/>
      <c r="CV663" s="33"/>
      <c r="CW663" s="33"/>
      <c r="CX663" s="33"/>
      <c r="CY663" s="33"/>
      <c r="CZ663" s="33"/>
      <c r="DA663" s="33"/>
      <c r="DB663" s="33"/>
      <c r="DC663" s="33"/>
      <c r="DD663" s="33"/>
      <c r="DE663" s="33"/>
      <c r="DF663" s="33"/>
      <c r="DG663" s="33"/>
      <c r="DH663" s="33"/>
      <c r="DI663" s="33"/>
      <c r="DJ663" s="33"/>
      <c r="DK663" s="33"/>
      <c r="DL663" s="33"/>
      <c r="DM663" s="33"/>
      <c r="DN663" s="33"/>
      <c r="DO663" s="33"/>
      <c r="DP663" s="33"/>
      <c r="DQ663" s="33"/>
      <c r="DR663" s="33"/>
      <c r="DS663" s="33"/>
      <c r="DT663" s="33"/>
      <c r="DU663" s="33"/>
      <c r="DV663" s="33"/>
      <c r="DW663" s="33"/>
      <c r="DX663" s="33"/>
      <c r="DY663" s="33"/>
      <c r="DZ663" s="33"/>
      <c r="EA663" s="33"/>
      <c r="EB663" s="33"/>
      <c r="EC663" s="33"/>
      <c r="ED663" s="33"/>
      <c r="EE663" s="33"/>
      <c r="EF663" s="33"/>
      <c r="EG663" s="33"/>
      <c r="EH663" s="33"/>
      <c r="EI663" s="33"/>
      <c r="EJ663" s="33"/>
      <c r="EK663" s="33"/>
      <c r="EL663" s="33"/>
      <c r="EM663" s="33"/>
      <c r="EN663" s="33"/>
      <c r="EO663" s="33"/>
      <c r="EP663" s="33"/>
      <c r="EQ663" s="33"/>
      <c r="ER663" s="33"/>
      <c r="ES663" s="33"/>
    </row>
    <row r="664">
      <c r="A664" s="33"/>
      <c r="B664" s="33"/>
      <c r="C664" s="33"/>
      <c r="D664" s="33"/>
      <c r="E664" s="33"/>
      <c r="F664" s="33"/>
      <c r="G664" s="85"/>
      <c r="H664" s="85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33"/>
      <c r="Y664" s="33"/>
      <c r="Z664" s="33"/>
      <c r="AA664" s="33"/>
      <c r="AB664" s="33"/>
      <c r="AC664" s="33"/>
      <c r="AD664" s="33"/>
      <c r="AE664" s="33"/>
      <c r="AF664" s="33"/>
      <c r="AG664" s="33"/>
      <c r="AH664" s="33"/>
      <c r="AI664" s="33"/>
      <c r="AJ664" s="33"/>
      <c r="AK664" s="33"/>
      <c r="AL664" s="33"/>
      <c r="AM664" s="33"/>
      <c r="AN664" s="33"/>
      <c r="AO664" s="33"/>
      <c r="AP664" s="33"/>
      <c r="AQ664" s="33"/>
      <c r="AR664" s="33"/>
      <c r="AS664" s="33"/>
      <c r="AT664" s="33"/>
      <c r="AU664" s="33"/>
      <c r="AV664" s="33"/>
      <c r="AW664" s="33"/>
      <c r="AX664" s="33"/>
      <c r="AY664" s="33"/>
      <c r="AZ664" s="33"/>
      <c r="BA664" s="33"/>
      <c r="BB664" s="33"/>
      <c r="BC664" s="33"/>
      <c r="BD664" s="33"/>
      <c r="BE664" s="33"/>
      <c r="BF664" s="33"/>
      <c r="BG664" s="33"/>
      <c r="BH664" s="33"/>
      <c r="BI664" s="33"/>
      <c r="BJ664" s="33"/>
      <c r="BK664" s="33"/>
      <c r="BL664" s="33"/>
      <c r="BM664" s="33"/>
      <c r="BN664" s="33"/>
      <c r="BO664" s="33"/>
      <c r="BP664" s="33"/>
      <c r="BQ664" s="33"/>
      <c r="BR664" s="33"/>
      <c r="BS664" s="33"/>
      <c r="BT664" s="33"/>
      <c r="BU664" s="33"/>
      <c r="BV664" s="33"/>
      <c r="BW664" s="33"/>
      <c r="BX664" s="33"/>
      <c r="BY664" s="33"/>
      <c r="BZ664" s="33"/>
      <c r="CA664" s="33"/>
      <c r="CB664" s="33"/>
      <c r="CC664" s="33"/>
      <c r="CD664" s="33"/>
      <c r="CE664" s="33"/>
      <c r="CF664" s="33"/>
      <c r="CG664" s="33"/>
      <c r="CH664" s="33"/>
      <c r="CI664" s="33"/>
      <c r="CJ664" s="33"/>
      <c r="CK664" s="33"/>
      <c r="CL664" s="33"/>
      <c r="CM664" s="33"/>
      <c r="CN664" s="33"/>
      <c r="CO664" s="33"/>
      <c r="CP664" s="33"/>
      <c r="CQ664" s="33"/>
      <c r="CR664" s="33"/>
      <c r="CS664" s="33"/>
      <c r="CT664" s="33"/>
      <c r="CU664" s="33"/>
      <c r="CV664" s="33"/>
      <c r="CW664" s="33"/>
      <c r="CX664" s="33"/>
      <c r="CY664" s="33"/>
      <c r="CZ664" s="33"/>
      <c r="DA664" s="33"/>
      <c r="DB664" s="33"/>
      <c r="DC664" s="33"/>
      <c r="DD664" s="33"/>
      <c r="DE664" s="33"/>
      <c r="DF664" s="33"/>
      <c r="DG664" s="33"/>
      <c r="DH664" s="33"/>
      <c r="DI664" s="33"/>
      <c r="DJ664" s="33"/>
      <c r="DK664" s="33"/>
      <c r="DL664" s="33"/>
      <c r="DM664" s="33"/>
      <c r="DN664" s="33"/>
      <c r="DO664" s="33"/>
      <c r="DP664" s="33"/>
      <c r="DQ664" s="33"/>
      <c r="DR664" s="33"/>
      <c r="DS664" s="33"/>
      <c r="DT664" s="33"/>
      <c r="DU664" s="33"/>
      <c r="DV664" s="33"/>
      <c r="DW664" s="33"/>
      <c r="DX664" s="33"/>
      <c r="DY664" s="33"/>
      <c r="DZ664" s="33"/>
      <c r="EA664" s="33"/>
      <c r="EB664" s="33"/>
      <c r="EC664" s="33"/>
      <c r="ED664" s="33"/>
      <c r="EE664" s="33"/>
      <c r="EF664" s="33"/>
      <c r="EG664" s="33"/>
      <c r="EH664" s="33"/>
      <c r="EI664" s="33"/>
      <c r="EJ664" s="33"/>
      <c r="EK664" s="33"/>
      <c r="EL664" s="33"/>
      <c r="EM664" s="33"/>
      <c r="EN664" s="33"/>
      <c r="EO664" s="33"/>
      <c r="EP664" s="33"/>
      <c r="EQ664" s="33"/>
      <c r="ER664" s="33"/>
      <c r="ES664" s="33"/>
    </row>
    <row r="665">
      <c r="A665" s="33"/>
      <c r="B665" s="33"/>
      <c r="C665" s="33"/>
      <c r="D665" s="33"/>
      <c r="E665" s="33"/>
      <c r="F665" s="33"/>
      <c r="G665" s="85"/>
      <c r="H665" s="85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33"/>
      <c r="Y665" s="33"/>
      <c r="Z665" s="33"/>
      <c r="AA665" s="33"/>
      <c r="AB665" s="33"/>
      <c r="AC665" s="33"/>
      <c r="AD665" s="33"/>
      <c r="AE665" s="33"/>
      <c r="AF665" s="33"/>
      <c r="AG665" s="33"/>
      <c r="AH665" s="33"/>
      <c r="AI665" s="33"/>
      <c r="AJ665" s="33"/>
      <c r="AK665" s="33"/>
      <c r="AL665" s="33"/>
      <c r="AM665" s="33"/>
      <c r="AN665" s="33"/>
      <c r="AO665" s="33"/>
      <c r="AP665" s="33"/>
      <c r="AQ665" s="33"/>
      <c r="AR665" s="33"/>
      <c r="AS665" s="33"/>
      <c r="AT665" s="33"/>
      <c r="AU665" s="33"/>
      <c r="AV665" s="33"/>
      <c r="AW665" s="33"/>
      <c r="AX665" s="33"/>
      <c r="AY665" s="33"/>
      <c r="AZ665" s="33"/>
      <c r="BA665" s="33"/>
      <c r="BB665" s="33"/>
      <c r="BC665" s="33"/>
      <c r="BD665" s="33"/>
      <c r="BE665" s="33"/>
      <c r="BF665" s="33"/>
      <c r="BG665" s="33"/>
      <c r="BH665" s="33"/>
      <c r="BI665" s="33"/>
      <c r="BJ665" s="33"/>
      <c r="BK665" s="33"/>
      <c r="BL665" s="33"/>
      <c r="BM665" s="33"/>
      <c r="BN665" s="33"/>
      <c r="BO665" s="33"/>
      <c r="BP665" s="33"/>
      <c r="BQ665" s="33"/>
      <c r="BR665" s="33"/>
      <c r="BS665" s="33"/>
      <c r="BT665" s="33"/>
      <c r="BU665" s="33"/>
      <c r="BV665" s="33"/>
      <c r="BW665" s="33"/>
      <c r="BX665" s="33"/>
      <c r="BY665" s="33"/>
      <c r="BZ665" s="33"/>
      <c r="CA665" s="33"/>
      <c r="CB665" s="33"/>
      <c r="CC665" s="33"/>
      <c r="CD665" s="33"/>
      <c r="CE665" s="33"/>
      <c r="CF665" s="33"/>
      <c r="CG665" s="33"/>
      <c r="CH665" s="33"/>
      <c r="CI665" s="33"/>
      <c r="CJ665" s="33"/>
      <c r="CK665" s="33"/>
      <c r="CL665" s="33"/>
      <c r="CM665" s="33"/>
      <c r="CN665" s="33"/>
      <c r="CO665" s="33"/>
      <c r="CP665" s="33"/>
      <c r="CQ665" s="33"/>
      <c r="CR665" s="33"/>
      <c r="CS665" s="33"/>
      <c r="CT665" s="33"/>
      <c r="CU665" s="33"/>
      <c r="CV665" s="33"/>
      <c r="CW665" s="33"/>
      <c r="CX665" s="33"/>
      <c r="CY665" s="33"/>
      <c r="CZ665" s="33"/>
      <c r="DA665" s="33"/>
      <c r="DB665" s="33"/>
      <c r="DC665" s="33"/>
      <c r="DD665" s="33"/>
      <c r="DE665" s="33"/>
      <c r="DF665" s="33"/>
      <c r="DG665" s="33"/>
      <c r="DH665" s="33"/>
      <c r="DI665" s="33"/>
      <c r="DJ665" s="33"/>
      <c r="DK665" s="33"/>
      <c r="DL665" s="33"/>
      <c r="DM665" s="33"/>
      <c r="DN665" s="33"/>
      <c r="DO665" s="33"/>
      <c r="DP665" s="33"/>
      <c r="DQ665" s="33"/>
      <c r="DR665" s="33"/>
      <c r="DS665" s="33"/>
      <c r="DT665" s="33"/>
      <c r="DU665" s="33"/>
      <c r="DV665" s="33"/>
      <c r="DW665" s="33"/>
      <c r="DX665" s="33"/>
      <c r="DY665" s="33"/>
      <c r="DZ665" s="33"/>
      <c r="EA665" s="33"/>
      <c r="EB665" s="33"/>
      <c r="EC665" s="33"/>
      <c r="ED665" s="33"/>
      <c r="EE665" s="33"/>
      <c r="EF665" s="33"/>
      <c r="EG665" s="33"/>
      <c r="EH665" s="33"/>
      <c r="EI665" s="33"/>
      <c r="EJ665" s="33"/>
      <c r="EK665" s="33"/>
      <c r="EL665" s="33"/>
      <c r="EM665" s="33"/>
      <c r="EN665" s="33"/>
      <c r="EO665" s="33"/>
      <c r="EP665" s="33"/>
      <c r="EQ665" s="33"/>
      <c r="ER665" s="33"/>
      <c r="ES665" s="33"/>
    </row>
    <row r="666">
      <c r="A666" s="33"/>
      <c r="B666" s="33"/>
      <c r="C666" s="33"/>
      <c r="D666" s="33"/>
      <c r="E666" s="33"/>
      <c r="F666" s="33"/>
      <c r="G666" s="85"/>
      <c r="H666" s="85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33"/>
      <c r="Y666" s="33"/>
      <c r="Z666" s="33"/>
      <c r="AA666" s="33"/>
      <c r="AB666" s="33"/>
      <c r="AC666" s="33"/>
      <c r="AD666" s="33"/>
      <c r="AE666" s="33"/>
      <c r="AF666" s="33"/>
      <c r="AG666" s="33"/>
      <c r="AH666" s="33"/>
      <c r="AI666" s="33"/>
      <c r="AJ666" s="33"/>
      <c r="AK666" s="33"/>
      <c r="AL666" s="33"/>
      <c r="AM666" s="33"/>
      <c r="AN666" s="33"/>
      <c r="AO666" s="33"/>
      <c r="AP666" s="33"/>
      <c r="AQ666" s="33"/>
      <c r="AR666" s="33"/>
      <c r="AS666" s="33"/>
      <c r="AT666" s="33"/>
      <c r="AU666" s="33"/>
      <c r="AV666" s="33"/>
      <c r="AW666" s="33"/>
      <c r="AX666" s="33"/>
      <c r="AY666" s="33"/>
      <c r="AZ666" s="33"/>
      <c r="BA666" s="33"/>
      <c r="BB666" s="33"/>
      <c r="BC666" s="33"/>
      <c r="BD666" s="33"/>
      <c r="BE666" s="33"/>
      <c r="BF666" s="33"/>
      <c r="BG666" s="33"/>
      <c r="BH666" s="33"/>
      <c r="BI666" s="33"/>
      <c r="BJ666" s="33"/>
      <c r="BK666" s="33"/>
      <c r="BL666" s="33"/>
      <c r="BM666" s="33"/>
      <c r="BN666" s="33"/>
      <c r="BO666" s="33"/>
      <c r="BP666" s="33"/>
      <c r="BQ666" s="33"/>
      <c r="BR666" s="33"/>
      <c r="BS666" s="33"/>
      <c r="BT666" s="33"/>
      <c r="BU666" s="33"/>
      <c r="BV666" s="33"/>
      <c r="BW666" s="33"/>
      <c r="BX666" s="33"/>
      <c r="BY666" s="33"/>
      <c r="BZ666" s="33"/>
      <c r="CA666" s="33"/>
      <c r="CB666" s="33"/>
      <c r="CC666" s="33"/>
      <c r="CD666" s="33"/>
      <c r="CE666" s="33"/>
      <c r="CF666" s="33"/>
      <c r="CG666" s="33"/>
      <c r="CH666" s="33"/>
      <c r="CI666" s="33"/>
      <c r="CJ666" s="33"/>
      <c r="CK666" s="33"/>
      <c r="CL666" s="33"/>
      <c r="CM666" s="33"/>
      <c r="CN666" s="33"/>
      <c r="CO666" s="33"/>
      <c r="CP666" s="33"/>
      <c r="CQ666" s="33"/>
      <c r="CR666" s="33"/>
      <c r="CS666" s="33"/>
      <c r="CT666" s="33"/>
      <c r="CU666" s="33"/>
      <c r="CV666" s="33"/>
      <c r="CW666" s="33"/>
      <c r="CX666" s="33"/>
      <c r="CY666" s="33"/>
      <c r="CZ666" s="33"/>
      <c r="DA666" s="33"/>
      <c r="DB666" s="33"/>
      <c r="DC666" s="33"/>
      <c r="DD666" s="33"/>
      <c r="DE666" s="33"/>
      <c r="DF666" s="33"/>
      <c r="DG666" s="33"/>
      <c r="DH666" s="33"/>
      <c r="DI666" s="33"/>
      <c r="DJ666" s="33"/>
      <c r="DK666" s="33"/>
      <c r="DL666" s="33"/>
      <c r="DM666" s="33"/>
      <c r="DN666" s="33"/>
      <c r="DO666" s="33"/>
      <c r="DP666" s="33"/>
      <c r="DQ666" s="33"/>
      <c r="DR666" s="33"/>
      <c r="DS666" s="33"/>
      <c r="DT666" s="33"/>
      <c r="DU666" s="33"/>
      <c r="DV666" s="33"/>
      <c r="DW666" s="33"/>
      <c r="DX666" s="33"/>
      <c r="DY666" s="33"/>
      <c r="DZ666" s="33"/>
      <c r="EA666" s="33"/>
      <c r="EB666" s="33"/>
      <c r="EC666" s="33"/>
      <c r="ED666" s="33"/>
      <c r="EE666" s="33"/>
      <c r="EF666" s="33"/>
      <c r="EG666" s="33"/>
      <c r="EH666" s="33"/>
      <c r="EI666" s="33"/>
      <c r="EJ666" s="33"/>
      <c r="EK666" s="33"/>
      <c r="EL666" s="33"/>
      <c r="EM666" s="33"/>
      <c r="EN666" s="33"/>
      <c r="EO666" s="33"/>
      <c r="EP666" s="33"/>
      <c r="EQ666" s="33"/>
      <c r="ER666" s="33"/>
      <c r="ES666" s="33"/>
    </row>
    <row r="667">
      <c r="A667" s="33"/>
      <c r="B667" s="33"/>
      <c r="C667" s="33"/>
      <c r="D667" s="33"/>
      <c r="E667" s="33"/>
      <c r="F667" s="33"/>
      <c r="G667" s="85"/>
      <c r="H667" s="85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33"/>
      <c r="Y667" s="33"/>
      <c r="Z667" s="33"/>
      <c r="AA667" s="33"/>
      <c r="AB667" s="33"/>
      <c r="AC667" s="33"/>
      <c r="AD667" s="33"/>
      <c r="AE667" s="33"/>
      <c r="AF667" s="33"/>
      <c r="AG667" s="33"/>
      <c r="AH667" s="33"/>
      <c r="AI667" s="33"/>
      <c r="AJ667" s="33"/>
      <c r="AK667" s="33"/>
      <c r="AL667" s="33"/>
      <c r="AM667" s="33"/>
      <c r="AN667" s="33"/>
      <c r="AO667" s="33"/>
      <c r="AP667" s="33"/>
      <c r="AQ667" s="33"/>
      <c r="AR667" s="33"/>
      <c r="AS667" s="33"/>
      <c r="AT667" s="33"/>
      <c r="AU667" s="33"/>
      <c r="AV667" s="33"/>
      <c r="AW667" s="33"/>
      <c r="AX667" s="33"/>
      <c r="AY667" s="33"/>
      <c r="AZ667" s="33"/>
      <c r="BA667" s="33"/>
      <c r="BB667" s="33"/>
      <c r="BC667" s="33"/>
      <c r="BD667" s="33"/>
      <c r="BE667" s="33"/>
      <c r="BF667" s="33"/>
      <c r="BG667" s="33"/>
      <c r="BH667" s="33"/>
      <c r="BI667" s="33"/>
      <c r="BJ667" s="33"/>
      <c r="BK667" s="33"/>
      <c r="BL667" s="33"/>
      <c r="BM667" s="33"/>
      <c r="BN667" s="33"/>
      <c r="BO667" s="33"/>
      <c r="BP667" s="33"/>
      <c r="BQ667" s="33"/>
      <c r="BR667" s="33"/>
      <c r="BS667" s="33"/>
      <c r="BT667" s="33"/>
      <c r="BU667" s="33"/>
      <c r="BV667" s="33"/>
      <c r="BW667" s="33"/>
      <c r="BX667" s="33"/>
      <c r="BY667" s="33"/>
      <c r="BZ667" s="33"/>
      <c r="CA667" s="33"/>
      <c r="CB667" s="33"/>
      <c r="CC667" s="33"/>
      <c r="CD667" s="33"/>
      <c r="CE667" s="33"/>
      <c r="CF667" s="33"/>
      <c r="CG667" s="33"/>
      <c r="CH667" s="33"/>
      <c r="CI667" s="33"/>
      <c r="CJ667" s="33"/>
      <c r="CK667" s="33"/>
      <c r="CL667" s="33"/>
      <c r="CM667" s="33"/>
      <c r="CN667" s="33"/>
      <c r="CO667" s="33"/>
      <c r="CP667" s="33"/>
      <c r="CQ667" s="33"/>
      <c r="CR667" s="33"/>
      <c r="CS667" s="33"/>
      <c r="CT667" s="33"/>
      <c r="CU667" s="33"/>
      <c r="CV667" s="33"/>
      <c r="CW667" s="33"/>
      <c r="CX667" s="33"/>
      <c r="CY667" s="33"/>
      <c r="CZ667" s="33"/>
      <c r="DA667" s="33"/>
      <c r="DB667" s="33"/>
      <c r="DC667" s="33"/>
      <c r="DD667" s="33"/>
      <c r="DE667" s="33"/>
      <c r="DF667" s="33"/>
      <c r="DG667" s="33"/>
      <c r="DH667" s="33"/>
      <c r="DI667" s="33"/>
      <c r="DJ667" s="33"/>
      <c r="DK667" s="33"/>
      <c r="DL667" s="33"/>
      <c r="DM667" s="33"/>
      <c r="DN667" s="33"/>
      <c r="DO667" s="33"/>
      <c r="DP667" s="33"/>
      <c r="DQ667" s="33"/>
      <c r="DR667" s="33"/>
      <c r="DS667" s="33"/>
      <c r="DT667" s="33"/>
      <c r="DU667" s="33"/>
      <c r="DV667" s="33"/>
      <c r="DW667" s="33"/>
      <c r="DX667" s="33"/>
      <c r="DY667" s="33"/>
      <c r="DZ667" s="33"/>
      <c r="EA667" s="33"/>
      <c r="EB667" s="33"/>
      <c r="EC667" s="33"/>
      <c r="ED667" s="33"/>
      <c r="EE667" s="33"/>
      <c r="EF667" s="33"/>
      <c r="EG667" s="33"/>
      <c r="EH667" s="33"/>
      <c r="EI667" s="33"/>
      <c r="EJ667" s="33"/>
      <c r="EK667" s="33"/>
      <c r="EL667" s="33"/>
      <c r="EM667" s="33"/>
      <c r="EN667" s="33"/>
      <c r="EO667" s="33"/>
      <c r="EP667" s="33"/>
      <c r="EQ667" s="33"/>
      <c r="ER667" s="33"/>
      <c r="ES667" s="33"/>
    </row>
    <row r="668">
      <c r="A668" s="33"/>
      <c r="B668" s="33"/>
      <c r="C668" s="33"/>
      <c r="D668" s="33"/>
      <c r="E668" s="33"/>
      <c r="F668" s="33"/>
      <c r="G668" s="85"/>
      <c r="H668" s="85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33"/>
      <c r="Y668" s="33"/>
      <c r="Z668" s="33"/>
      <c r="AA668" s="33"/>
      <c r="AB668" s="33"/>
      <c r="AC668" s="33"/>
      <c r="AD668" s="33"/>
      <c r="AE668" s="33"/>
      <c r="AF668" s="33"/>
      <c r="AG668" s="33"/>
      <c r="AH668" s="33"/>
      <c r="AI668" s="33"/>
      <c r="AJ668" s="33"/>
      <c r="AK668" s="33"/>
      <c r="AL668" s="33"/>
      <c r="AM668" s="33"/>
      <c r="AN668" s="33"/>
      <c r="AO668" s="33"/>
      <c r="AP668" s="33"/>
      <c r="AQ668" s="33"/>
      <c r="AR668" s="33"/>
      <c r="AS668" s="33"/>
      <c r="AT668" s="33"/>
      <c r="AU668" s="33"/>
      <c r="AV668" s="33"/>
      <c r="AW668" s="33"/>
      <c r="AX668" s="33"/>
      <c r="AY668" s="33"/>
      <c r="AZ668" s="33"/>
      <c r="BA668" s="33"/>
      <c r="BB668" s="33"/>
      <c r="BC668" s="33"/>
      <c r="BD668" s="33"/>
      <c r="BE668" s="33"/>
      <c r="BF668" s="33"/>
      <c r="BG668" s="33"/>
      <c r="BH668" s="33"/>
      <c r="BI668" s="33"/>
      <c r="BJ668" s="33"/>
      <c r="BK668" s="33"/>
      <c r="BL668" s="33"/>
      <c r="BM668" s="33"/>
      <c r="BN668" s="33"/>
      <c r="BO668" s="33"/>
      <c r="BP668" s="33"/>
      <c r="BQ668" s="33"/>
      <c r="BR668" s="33"/>
      <c r="BS668" s="33"/>
      <c r="BT668" s="33"/>
      <c r="BU668" s="33"/>
      <c r="BV668" s="33"/>
      <c r="BW668" s="33"/>
      <c r="BX668" s="33"/>
      <c r="BY668" s="33"/>
      <c r="BZ668" s="33"/>
      <c r="CA668" s="33"/>
      <c r="CB668" s="33"/>
      <c r="CC668" s="33"/>
      <c r="CD668" s="33"/>
      <c r="CE668" s="33"/>
      <c r="CF668" s="33"/>
      <c r="CG668" s="33"/>
      <c r="CH668" s="33"/>
      <c r="CI668" s="33"/>
      <c r="CJ668" s="33"/>
      <c r="CK668" s="33"/>
      <c r="CL668" s="33"/>
      <c r="CM668" s="33"/>
      <c r="CN668" s="33"/>
      <c r="CO668" s="33"/>
      <c r="CP668" s="33"/>
      <c r="CQ668" s="33"/>
      <c r="CR668" s="33"/>
      <c r="CS668" s="33"/>
      <c r="CT668" s="33"/>
      <c r="CU668" s="33"/>
      <c r="CV668" s="33"/>
      <c r="CW668" s="33"/>
      <c r="CX668" s="33"/>
      <c r="CY668" s="33"/>
      <c r="CZ668" s="33"/>
      <c r="DA668" s="33"/>
      <c r="DB668" s="33"/>
      <c r="DC668" s="33"/>
      <c r="DD668" s="33"/>
      <c r="DE668" s="33"/>
      <c r="DF668" s="33"/>
      <c r="DG668" s="33"/>
      <c r="DH668" s="33"/>
      <c r="DI668" s="33"/>
      <c r="DJ668" s="33"/>
      <c r="DK668" s="33"/>
      <c r="DL668" s="33"/>
      <c r="DM668" s="33"/>
      <c r="DN668" s="33"/>
      <c r="DO668" s="33"/>
      <c r="DP668" s="33"/>
      <c r="DQ668" s="33"/>
      <c r="DR668" s="33"/>
      <c r="DS668" s="33"/>
      <c r="DT668" s="33"/>
      <c r="DU668" s="33"/>
      <c r="DV668" s="33"/>
      <c r="DW668" s="33"/>
      <c r="DX668" s="33"/>
      <c r="DY668" s="33"/>
      <c r="DZ668" s="33"/>
      <c r="EA668" s="33"/>
      <c r="EB668" s="33"/>
      <c r="EC668" s="33"/>
      <c r="ED668" s="33"/>
      <c r="EE668" s="33"/>
      <c r="EF668" s="33"/>
      <c r="EG668" s="33"/>
      <c r="EH668" s="33"/>
      <c r="EI668" s="33"/>
      <c r="EJ668" s="33"/>
      <c r="EK668" s="33"/>
      <c r="EL668" s="33"/>
      <c r="EM668" s="33"/>
      <c r="EN668" s="33"/>
      <c r="EO668" s="33"/>
      <c r="EP668" s="33"/>
      <c r="EQ668" s="33"/>
      <c r="ER668" s="33"/>
      <c r="ES668" s="33"/>
    </row>
    <row r="669">
      <c r="A669" s="33"/>
      <c r="B669" s="33"/>
      <c r="C669" s="33"/>
      <c r="D669" s="33"/>
      <c r="E669" s="33"/>
      <c r="F669" s="33"/>
      <c r="G669" s="85"/>
      <c r="H669" s="85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33"/>
      <c r="Y669" s="33"/>
      <c r="Z669" s="33"/>
      <c r="AA669" s="33"/>
      <c r="AB669" s="33"/>
      <c r="AC669" s="33"/>
      <c r="AD669" s="33"/>
      <c r="AE669" s="33"/>
      <c r="AF669" s="33"/>
      <c r="AG669" s="33"/>
      <c r="AH669" s="33"/>
      <c r="AI669" s="33"/>
      <c r="AJ669" s="33"/>
      <c r="AK669" s="33"/>
      <c r="AL669" s="33"/>
      <c r="AM669" s="33"/>
      <c r="AN669" s="33"/>
      <c r="AO669" s="33"/>
      <c r="AP669" s="33"/>
      <c r="AQ669" s="33"/>
      <c r="AR669" s="33"/>
      <c r="AS669" s="33"/>
      <c r="AT669" s="33"/>
      <c r="AU669" s="33"/>
      <c r="AV669" s="33"/>
      <c r="AW669" s="33"/>
      <c r="AX669" s="33"/>
      <c r="AY669" s="33"/>
      <c r="AZ669" s="33"/>
      <c r="BA669" s="33"/>
      <c r="BB669" s="33"/>
      <c r="BC669" s="33"/>
      <c r="BD669" s="33"/>
      <c r="BE669" s="33"/>
      <c r="BF669" s="33"/>
      <c r="BG669" s="33"/>
      <c r="BH669" s="33"/>
      <c r="BI669" s="33"/>
      <c r="BJ669" s="33"/>
      <c r="BK669" s="33"/>
      <c r="BL669" s="33"/>
      <c r="BM669" s="33"/>
      <c r="BN669" s="33"/>
      <c r="BO669" s="33"/>
      <c r="BP669" s="33"/>
      <c r="BQ669" s="33"/>
      <c r="BR669" s="33"/>
      <c r="BS669" s="33"/>
      <c r="BT669" s="33"/>
      <c r="BU669" s="33"/>
      <c r="BV669" s="33"/>
      <c r="BW669" s="33"/>
      <c r="BX669" s="33"/>
      <c r="BY669" s="33"/>
      <c r="BZ669" s="33"/>
      <c r="CA669" s="33"/>
      <c r="CB669" s="33"/>
      <c r="CC669" s="33"/>
      <c r="CD669" s="33"/>
      <c r="CE669" s="33"/>
      <c r="CF669" s="33"/>
      <c r="CG669" s="33"/>
      <c r="CH669" s="33"/>
      <c r="CI669" s="33"/>
      <c r="CJ669" s="33"/>
      <c r="CK669" s="33"/>
      <c r="CL669" s="33"/>
      <c r="CM669" s="33"/>
      <c r="CN669" s="33"/>
      <c r="CO669" s="33"/>
      <c r="CP669" s="33"/>
      <c r="CQ669" s="33"/>
      <c r="CR669" s="33"/>
      <c r="CS669" s="33"/>
      <c r="CT669" s="33"/>
      <c r="CU669" s="33"/>
      <c r="CV669" s="33"/>
      <c r="CW669" s="33"/>
      <c r="CX669" s="33"/>
      <c r="CY669" s="33"/>
      <c r="CZ669" s="33"/>
      <c r="DA669" s="33"/>
      <c r="DB669" s="33"/>
      <c r="DC669" s="33"/>
      <c r="DD669" s="33"/>
      <c r="DE669" s="33"/>
      <c r="DF669" s="33"/>
      <c r="DG669" s="33"/>
      <c r="DH669" s="33"/>
      <c r="DI669" s="33"/>
      <c r="DJ669" s="33"/>
      <c r="DK669" s="33"/>
      <c r="DL669" s="33"/>
      <c r="DM669" s="33"/>
      <c r="DN669" s="33"/>
      <c r="DO669" s="33"/>
      <c r="DP669" s="33"/>
      <c r="DQ669" s="33"/>
      <c r="DR669" s="33"/>
      <c r="DS669" s="33"/>
      <c r="DT669" s="33"/>
      <c r="DU669" s="33"/>
      <c r="DV669" s="33"/>
      <c r="DW669" s="33"/>
      <c r="DX669" s="33"/>
      <c r="DY669" s="33"/>
      <c r="DZ669" s="33"/>
      <c r="EA669" s="33"/>
      <c r="EB669" s="33"/>
      <c r="EC669" s="33"/>
      <c r="ED669" s="33"/>
      <c r="EE669" s="33"/>
      <c r="EF669" s="33"/>
      <c r="EG669" s="33"/>
      <c r="EH669" s="33"/>
      <c r="EI669" s="33"/>
      <c r="EJ669" s="33"/>
      <c r="EK669" s="33"/>
      <c r="EL669" s="33"/>
      <c r="EM669" s="33"/>
      <c r="EN669" s="33"/>
      <c r="EO669" s="33"/>
      <c r="EP669" s="33"/>
      <c r="EQ669" s="33"/>
      <c r="ER669" s="33"/>
      <c r="ES669" s="33"/>
    </row>
    <row r="670">
      <c r="A670" s="33"/>
      <c r="B670" s="33"/>
      <c r="C670" s="33"/>
      <c r="D670" s="33"/>
      <c r="E670" s="33"/>
      <c r="F670" s="33"/>
      <c r="G670" s="85"/>
      <c r="H670" s="85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33"/>
      <c r="Y670" s="33"/>
      <c r="Z670" s="33"/>
      <c r="AA670" s="33"/>
      <c r="AB670" s="33"/>
      <c r="AC670" s="33"/>
      <c r="AD670" s="33"/>
      <c r="AE670" s="33"/>
      <c r="AF670" s="33"/>
      <c r="AG670" s="33"/>
      <c r="AH670" s="33"/>
      <c r="AI670" s="33"/>
      <c r="AJ670" s="33"/>
      <c r="AK670" s="33"/>
      <c r="AL670" s="33"/>
      <c r="AM670" s="33"/>
      <c r="AN670" s="33"/>
      <c r="AO670" s="33"/>
      <c r="AP670" s="33"/>
      <c r="AQ670" s="33"/>
      <c r="AR670" s="33"/>
      <c r="AS670" s="33"/>
      <c r="AT670" s="33"/>
      <c r="AU670" s="33"/>
      <c r="AV670" s="33"/>
      <c r="AW670" s="33"/>
      <c r="AX670" s="33"/>
      <c r="AY670" s="33"/>
      <c r="AZ670" s="33"/>
      <c r="BA670" s="33"/>
      <c r="BB670" s="33"/>
      <c r="BC670" s="33"/>
      <c r="BD670" s="33"/>
      <c r="BE670" s="33"/>
      <c r="BF670" s="33"/>
      <c r="BG670" s="33"/>
      <c r="BH670" s="33"/>
      <c r="BI670" s="33"/>
      <c r="BJ670" s="33"/>
      <c r="BK670" s="33"/>
      <c r="BL670" s="33"/>
      <c r="BM670" s="33"/>
      <c r="BN670" s="33"/>
      <c r="BO670" s="33"/>
      <c r="BP670" s="33"/>
      <c r="BQ670" s="33"/>
      <c r="BR670" s="33"/>
      <c r="BS670" s="33"/>
      <c r="BT670" s="33"/>
      <c r="BU670" s="33"/>
      <c r="BV670" s="33"/>
      <c r="BW670" s="33"/>
      <c r="BX670" s="33"/>
      <c r="BY670" s="33"/>
      <c r="BZ670" s="33"/>
      <c r="CA670" s="33"/>
      <c r="CB670" s="33"/>
      <c r="CC670" s="33"/>
      <c r="CD670" s="33"/>
      <c r="CE670" s="33"/>
      <c r="CF670" s="33"/>
      <c r="CG670" s="33"/>
      <c r="CH670" s="33"/>
      <c r="CI670" s="33"/>
      <c r="CJ670" s="33"/>
      <c r="CK670" s="33"/>
      <c r="CL670" s="33"/>
      <c r="CM670" s="33"/>
      <c r="CN670" s="33"/>
      <c r="CO670" s="33"/>
      <c r="CP670" s="33"/>
      <c r="CQ670" s="33"/>
      <c r="CR670" s="33"/>
      <c r="CS670" s="33"/>
      <c r="CT670" s="33"/>
      <c r="CU670" s="33"/>
      <c r="CV670" s="33"/>
      <c r="CW670" s="33"/>
      <c r="CX670" s="33"/>
      <c r="CY670" s="33"/>
      <c r="CZ670" s="33"/>
      <c r="DA670" s="33"/>
      <c r="DB670" s="33"/>
      <c r="DC670" s="33"/>
      <c r="DD670" s="33"/>
      <c r="DE670" s="33"/>
      <c r="DF670" s="33"/>
      <c r="DG670" s="33"/>
      <c r="DH670" s="33"/>
      <c r="DI670" s="33"/>
      <c r="DJ670" s="33"/>
      <c r="DK670" s="33"/>
      <c r="DL670" s="33"/>
      <c r="DM670" s="33"/>
      <c r="DN670" s="33"/>
      <c r="DO670" s="33"/>
      <c r="DP670" s="33"/>
      <c r="DQ670" s="33"/>
      <c r="DR670" s="33"/>
      <c r="DS670" s="33"/>
      <c r="DT670" s="33"/>
      <c r="DU670" s="33"/>
      <c r="DV670" s="33"/>
      <c r="DW670" s="33"/>
      <c r="DX670" s="33"/>
      <c r="DY670" s="33"/>
      <c r="DZ670" s="33"/>
      <c r="EA670" s="33"/>
      <c r="EB670" s="33"/>
      <c r="EC670" s="33"/>
      <c r="ED670" s="33"/>
      <c r="EE670" s="33"/>
      <c r="EF670" s="33"/>
      <c r="EG670" s="33"/>
      <c r="EH670" s="33"/>
      <c r="EI670" s="33"/>
      <c r="EJ670" s="33"/>
      <c r="EK670" s="33"/>
      <c r="EL670" s="33"/>
      <c r="EM670" s="33"/>
      <c r="EN670" s="33"/>
      <c r="EO670" s="33"/>
      <c r="EP670" s="33"/>
      <c r="EQ670" s="33"/>
      <c r="ER670" s="33"/>
      <c r="ES670" s="33"/>
    </row>
    <row r="671">
      <c r="A671" s="33"/>
      <c r="B671" s="33"/>
      <c r="C671" s="33"/>
      <c r="D671" s="33"/>
      <c r="E671" s="33"/>
      <c r="F671" s="33"/>
      <c r="G671" s="85"/>
      <c r="H671" s="85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33"/>
      <c r="Y671" s="33"/>
      <c r="Z671" s="33"/>
      <c r="AA671" s="33"/>
      <c r="AB671" s="33"/>
      <c r="AC671" s="33"/>
      <c r="AD671" s="33"/>
      <c r="AE671" s="33"/>
      <c r="AF671" s="33"/>
      <c r="AG671" s="33"/>
      <c r="AH671" s="33"/>
      <c r="AI671" s="33"/>
      <c r="AJ671" s="33"/>
      <c r="AK671" s="33"/>
      <c r="AL671" s="33"/>
      <c r="AM671" s="33"/>
      <c r="AN671" s="33"/>
      <c r="AO671" s="33"/>
      <c r="AP671" s="33"/>
      <c r="AQ671" s="33"/>
      <c r="AR671" s="33"/>
      <c r="AS671" s="33"/>
      <c r="AT671" s="33"/>
      <c r="AU671" s="33"/>
      <c r="AV671" s="33"/>
      <c r="AW671" s="33"/>
      <c r="AX671" s="33"/>
      <c r="AY671" s="33"/>
      <c r="AZ671" s="33"/>
      <c r="BA671" s="33"/>
      <c r="BB671" s="33"/>
      <c r="BC671" s="33"/>
      <c r="BD671" s="33"/>
      <c r="BE671" s="33"/>
      <c r="BF671" s="33"/>
      <c r="BG671" s="33"/>
      <c r="BH671" s="33"/>
      <c r="BI671" s="33"/>
      <c r="BJ671" s="33"/>
      <c r="BK671" s="33"/>
      <c r="BL671" s="33"/>
      <c r="BM671" s="33"/>
      <c r="BN671" s="33"/>
      <c r="BO671" s="33"/>
      <c r="BP671" s="33"/>
      <c r="BQ671" s="33"/>
      <c r="BR671" s="33"/>
      <c r="BS671" s="33"/>
      <c r="BT671" s="33"/>
      <c r="BU671" s="33"/>
      <c r="BV671" s="33"/>
      <c r="BW671" s="33"/>
      <c r="BX671" s="33"/>
      <c r="BY671" s="33"/>
      <c r="BZ671" s="33"/>
      <c r="CA671" s="33"/>
      <c r="CB671" s="33"/>
      <c r="CC671" s="33"/>
      <c r="CD671" s="33"/>
      <c r="CE671" s="33"/>
      <c r="CF671" s="33"/>
      <c r="CG671" s="33"/>
      <c r="CH671" s="33"/>
      <c r="CI671" s="33"/>
      <c r="CJ671" s="33"/>
      <c r="CK671" s="33"/>
      <c r="CL671" s="33"/>
      <c r="CM671" s="33"/>
      <c r="CN671" s="33"/>
      <c r="CO671" s="33"/>
      <c r="CP671" s="33"/>
      <c r="CQ671" s="33"/>
      <c r="CR671" s="33"/>
      <c r="CS671" s="33"/>
      <c r="CT671" s="33"/>
      <c r="CU671" s="33"/>
      <c r="CV671" s="33"/>
      <c r="CW671" s="33"/>
      <c r="CX671" s="33"/>
      <c r="CY671" s="33"/>
      <c r="CZ671" s="33"/>
      <c r="DA671" s="33"/>
      <c r="DB671" s="33"/>
      <c r="DC671" s="33"/>
      <c r="DD671" s="33"/>
      <c r="DE671" s="33"/>
      <c r="DF671" s="33"/>
      <c r="DG671" s="33"/>
      <c r="DH671" s="33"/>
      <c r="DI671" s="33"/>
      <c r="DJ671" s="33"/>
      <c r="DK671" s="33"/>
      <c r="DL671" s="33"/>
      <c r="DM671" s="33"/>
      <c r="DN671" s="33"/>
      <c r="DO671" s="33"/>
      <c r="DP671" s="33"/>
      <c r="DQ671" s="33"/>
      <c r="DR671" s="33"/>
      <c r="DS671" s="33"/>
      <c r="DT671" s="33"/>
      <c r="DU671" s="33"/>
      <c r="DV671" s="33"/>
      <c r="DW671" s="33"/>
      <c r="DX671" s="33"/>
      <c r="DY671" s="33"/>
      <c r="DZ671" s="33"/>
      <c r="EA671" s="33"/>
      <c r="EB671" s="33"/>
      <c r="EC671" s="33"/>
      <c r="ED671" s="33"/>
      <c r="EE671" s="33"/>
      <c r="EF671" s="33"/>
      <c r="EG671" s="33"/>
      <c r="EH671" s="33"/>
      <c r="EI671" s="33"/>
      <c r="EJ671" s="33"/>
      <c r="EK671" s="33"/>
      <c r="EL671" s="33"/>
      <c r="EM671" s="33"/>
      <c r="EN671" s="33"/>
      <c r="EO671" s="33"/>
      <c r="EP671" s="33"/>
      <c r="EQ671" s="33"/>
      <c r="ER671" s="33"/>
      <c r="ES671" s="33"/>
    </row>
    <row r="672">
      <c r="A672" s="33"/>
      <c r="B672" s="33"/>
      <c r="C672" s="33"/>
      <c r="D672" s="33"/>
      <c r="E672" s="33"/>
      <c r="F672" s="33"/>
      <c r="G672" s="85"/>
      <c r="H672" s="85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33"/>
      <c r="Y672" s="33"/>
      <c r="Z672" s="33"/>
      <c r="AA672" s="33"/>
      <c r="AB672" s="33"/>
      <c r="AC672" s="33"/>
      <c r="AD672" s="33"/>
      <c r="AE672" s="33"/>
      <c r="AF672" s="33"/>
      <c r="AG672" s="33"/>
      <c r="AH672" s="33"/>
      <c r="AI672" s="33"/>
      <c r="AJ672" s="33"/>
      <c r="AK672" s="33"/>
      <c r="AL672" s="33"/>
      <c r="AM672" s="33"/>
      <c r="AN672" s="33"/>
      <c r="AO672" s="33"/>
      <c r="AP672" s="33"/>
      <c r="AQ672" s="33"/>
      <c r="AR672" s="33"/>
      <c r="AS672" s="33"/>
      <c r="AT672" s="33"/>
      <c r="AU672" s="33"/>
      <c r="AV672" s="33"/>
      <c r="AW672" s="33"/>
      <c r="AX672" s="33"/>
      <c r="AY672" s="33"/>
      <c r="AZ672" s="33"/>
      <c r="BA672" s="33"/>
      <c r="BB672" s="33"/>
      <c r="BC672" s="33"/>
      <c r="BD672" s="33"/>
      <c r="BE672" s="33"/>
      <c r="BF672" s="33"/>
      <c r="BG672" s="33"/>
      <c r="BH672" s="33"/>
      <c r="BI672" s="33"/>
      <c r="BJ672" s="33"/>
      <c r="BK672" s="33"/>
      <c r="BL672" s="33"/>
      <c r="BM672" s="33"/>
      <c r="BN672" s="33"/>
      <c r="BO672" s="33"/>
      <c r="BP672" s="33"/>
      <c r="BQ672" s="33"/>
      <c r="BR672" s="33"/>
      <c r="BS672" s="33"/>
      <c r="BT672" s="33"/>
      <c r="BU672" s="33"/>
      <c r="BV672" s="33"/>
      <c r="BW672" s="33"/>
      <c r="BX672" s="33"/>
      <c r="BY672" s="33"/>
      <c r="BZ672" s="33"/>
      <c r="CA672" s="33"/>
      <c r="CB672" s="33"/>
      <c r="CC672" s="33"/>
      <c r="CD672" s="33"/>
      <c r="CE672" s="33"/>
      <c r="CF672" s="33"/>
      <c r="CG672" s="33"/>
      <c r="CH672" s="33"/>
      <c r="CI672" s="33"/>
      <c r="CJ672" s="33"/>
      <c r="CK672" s="33"/>
      <c r="CL672" s="33"/>
      <c r="CM672" s="33"/>
      <c r="CN672" s="33"/>
      <c r="CO672" s="33"/>
      <c r="CP672" s="33"/>
      <c r="CQ672" s="33"/>
      <c r="CR672" s="33"/>
      <c r="CS672" s="33"/>
      <c r="CT672" s="33"/>
      <c r="CU672" s="33"/>
      <c r="CV672" s="33"/>
      <c r="CW672" s="33"/>
      <c r="CX672" s="33"/>
      <c r="CY672" s="33"/>
      <c r="CZ672" s="33"/>
      <c r="DA672" s="33"/>
      <c r="DB672" s="33"/>
      <c r="DC672" s="33"/>
      <c r="DD672" s="33"/>
      <c r="DE672" s="33"/>
      <c r="DF672" s="33"/>
      <c r="DG672" s="33"/>
      <c r="DH672" s="33"/>
      <c r="DI672" s="33"/>
      <c r="DJ672" s="33"/>
      <c r="DK672" s="33"/>
      <c r="DL672" s="33"/>
      <c r="DM672" s="33"/>
      <c r="DN672" s="33"/>
      <c r="DO672" s="33"/>
      <c r="DP672" s="33"/>
      <c r="DQ672" s="33"/>
      <c r="DR672" s="33"/>
      <c r="DS672" s="33"/>
      <c r="DT672" s="33"/>
      <c r="DU672" s="33"/>
      <c r="DV672" s="33"/>
      <c r="DW672" s="33"/>
      <c r="DX672" s="33"/>
      <c r="DY672" s="33"/>
      <c r="DZ672" s="33"/>
      <c r="EA672" s="33"/>
      <c r="EB672" s="33"/>
      <c r="EC672" s="33"/>
      <c r="ED672" s="33"/>
      <c r="EE672" s="33"/>
      <c r="EF672" s="33"/>
      <c r="EG672" s="33"/>
      <c r="EH672" s="33"/>
      <c r="EI672" s="33"/>
      <c r="EJ672" s="33"/>
      <c r="EK672" s="33"/>
      <c r="EL672" s="33"/>
      <c r="EM672" s="33"/>
      <c r="EN672" s="33"/>
      <c r="EO672" s="33"/>
      <c r="EP672" s="33"/>
      <c r="EQ672" s="33"/>
      <c r="ER672" s="33"/>
      <c r="ES672" s="33"/>
    </row>
    <row r="673">
      <c r="A673" s="33"/>
      <c r="B673" s="33"/>
      <c r="C673" s="33"/>
      <c r="D673" s="33"/>
      <c r="E673" s="33"/>
      <c r="F673" s="33"/>
      <c r="G673" s="85"/>
      <c r="H673" s="85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33"/>
      <c r="Y673" s="33"/>
      <c r="Z673" s="33"/>
      <c r="AA673" s="33"/>
      <c r="AB673" s="33"/>
      <c r="AC673" s="33"/>
      <c r="AD673" s="33"/>
      <c r="AE673" s="33"/>
      <c r="AF673" s="33"/>
      <c r="AG673" s="33"/>
      <c r="AH673" s="33"/>
      <c r="AI673" s="33"/>
      <c r="AJ673" s="33"/>
      <c r="AK673" s="33"/>
      <c r="AL673" s="33"/>
      <c r="AM673" s="33"/>
      <c r="AN673" s="33"/>
      <c r="AO673" s="33"/>
      <c r="AP673" s="33"/>
      <c r="AQ673" s="33"/>
      <c r="AR673" s="33"/>
      <c r="AS673" s="33"/>
      <c r="AT673" s="33"/>
      <c r="AU673" s="33"/>
      <c r="AV673" s="33"/>
      <c r="AW673" s="33"/>
      <c r="AX673" s="33"/>
      <c r="AY673" s="33"/>
      <c r="AZ673" s="33"/>
      <c r="BA673" s="33"/>
      <c r="BB673" s="33"/>
      <c r="BC673" s="33"/>
      <c r="BD673" s="33"/>
      <c r="BE673" s="33"/>
      <c r="BF673" s="33"/>
      <c r="BG673" s="33"/>
      <c r="BH673" s="33"/>
      <c r="BI673" s="33"/>
      <c r="BJ673" s="33"/>
      <c r="BK673" s="33"/>
      <c r="BL673" s="33"/>
      <c r="BM673" s="33"/>
      <c r="BN673" s="33"/>
      <c r="BO673" s="33"/>
      <c r="BP673" s="33"/>
      <c r="BQ673" s="33"/>
      <c r="BR673" s="33"/>
      <c r="BS673" s="33"/>
      <c r="BT673" s="33"/>
      <c r="BU673" s="33"/>
      <c r="BV673" s="33"/>
      <c r="BW673" s="33"/>
      <c r="BX673" s="33"/>
      <c r="BY673" s="33"/>
      <c r="BZ673" s="33"/>
      <c r="CA673" s="33"/>
      <c r="CB673" s="33"/>
      <c r="CC673" s="33"/>
      <c r="CD673" s="33"/>
      <c r="CE673" s="33"/>
      <c r="CF673" s="33"/>
      <c r="CG673" s="33"/>
      <c r="CH673" s="33"/>
      <c r="CI673" s="33"/>
      <c r="CJ673" s="33"/>
      <c r="CK673" s="33"/>
      <c r="CL673" s="33"/>
      <c r="CM673" s="33"/>
      <c r="CN673" s="33"/>
      <c r="CO673" s="33"/>
      <c r="CP673" s="33"/>
      <c r="CQ673" s="33"/>
      <c r="CR673" s="33"/>
      <c r="CS673" s="33"/>
      <c r="CT673" s="33"/>
      <c r="CU673" s="33"/>
      <c r="CV673" s="33"/>
      <c r="CW673" s="33"/>
      <c r="CX673" s="33"/>
      <c r="CY673" s="33"/>
      <c r="CZ673" s="33"/>
      <c r="DA673" s="33"/>
      <c r="DB673" s="33"/>
      <c r="DC673" s="33"/>
      <c r="DD673" s="33"/>
      <c r="DE673" s="33"/>
      <c r="DF673" s="33"/>
      <c r="DG673" s="33"/>
      <c r="DH673" s="33"/>
      <c r="DI673" s="33"/>
      <c r="DJ673" s="33"/>
      <c r="DK673" s="33"/>
      <c r="DL673" s="33"/>
      <c r="DM673" s="33"/>
      <c r="DN673" s="33"/>
      <c r="DO673" s="33"/>
      <c r="DP673" s="33"/>
      <c r="DQ673" s="33"/>
      <c r="DR673" s="33"/>
      <c r="DS673" s="33"/>
      <c r="DT673" s="33"/>
      <c r="DU673" s="33"/>
      <c r="DV673" s="33"/>
      <c r="DW673" s="33"/>
      <c r="DX673" s="33"/>
      <c r="DY673" s="33"/>
      <c r="DZ673" s="33"/>
      <c r="EA673" s="33"/>
      <c r="EB673" s="33"/>
      <c r="EC673" s="33"/>
      <c r="ED673" s="33"/>
      <c r="EE673" s="33"/>
      <c r="EF673" s="33"/>
      <c r="EG673" s="33"/>
      <c r="EH673" s="33"/>
      <c r="EI673" s="33"/>
      <c r="EJ673" s="33"/>
      <c r="EK673" s="33"/>
      <c r="EL673" s="33"/>
      <c r="EM673" s="33"/>
      <c r="EN673" s="33"/>
      <c r="EO673" s="33"/>
      <c r="EP673" s="33"/>
      <c r="EQ673" s="33"/>
      <c r="ER673" s="33"/>
      <c r="ES673" s="33"/>
    </row>
    <row r="674">
      <c r="A674" s="33"/>
      <c r="B674" s="33"/>
      <c r="C674" s="33"/>
      <c r="D674" s="33"/>
      <c r="E674" s="33"/>
      <c r="F674" s="33"/>
      <c r="G674" s="85"/>
      <c r="H674" s="85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33"/>
      <c r="Y674" s="33"/>
      <c r="Z674" s="33"/>
      <c r="AA674" s="33"/>
      <c r="AB674" s="33"/>
      <c r="AC674" s="33"/>
      <c r="AD674" s="33"/>
      <c r="AE674" s="33"/>
      <c r="AF674" s="33"/>
      <c r="AG674" s="33"/>
      <c r="AH674" s="33"/>
      <c r="AI674" s="33"/>
      <c r="AJ674" s="33"/>
      <c r="AK674" s="33"/>
      <c r="AL674" s="33"/>
      <c r="AM674" s="33"/>
      <c r="AN674" s="33"/>
      <c r="AO674" s="33"/>
      <c r="AP674" s="33"/>
      <c r="AQ674" s="33"/>
      <c r="AR674" s="33"/>
      <c r="AS674" s="33"/>
      <c r="AT674" s="33"/>
      <c r="AU674" s="33"/>
      <c r="AV674" s="33"/>
      <c r="AW674" s="33"/>
      <c r="AX674" s="33"/>
      <c r="AY674" s="33"/>
      <c r="AZ674" s="33"/>
      <c r="BA674" s="33"/>
      <c r="BB674" s="33"/>
      <c r="BC674" s="33"/>
      <c r="BD674" s="33"/>
      <c r="BE674" s="33"/>
      <c r="BF674" s="33"/>
      <c r="BG674" s="33"/>
      <c r="BH674" s="33"/>
      <c r="BI674" s="33"/>
      <c r="BJ674" s="33"/>
      <c r="BK674" s="33"/>
      <c r="BL674" s="33"/>
      <c r="BM674" s="33"/>
      <c r="BN674" s="33"/>
      <c r="BO674" s="33"/>
      <c r="BP674" s="33"/>
      <c r="BQ674" s="33"/>
      <c r="BR674" s="33"/>
      <c r="BS674" s="33"/>
      <c r="BT674" s="33"/>
      <c r="BU674" s="33"/>
      <c r="BV674" s="33"/>
      <c r="BW674" s="33"/>
      <c r="BX674" s="33"/>
      <c r="BY674" s="33"/>
      <c r="BZ674" s="33"/>
      <c r="CA674" s="33"/>
      <c r="CB674" s="33"/>
      <c r="CC674" s="33"/>
      <c r="CD674" s="33"/>
      <c r="CE674" s="33"/>
      <c r="CF674" s="33"/>
      <c r="CG674" s="33"/>
      <c r="CH674" s="33"/>
      <c r="CI674" s="33"/>
      <c r="CJ674" s="33"/>
      <c r="CK674" s="33"/>
      <c r="CL674" s="33"/>
      <c r="CM674" s="33"/>
      <c r="CN674" s="33"/>
      <c r="CO674" s="33"/>
      <c r="CP674" s="33"/>
      <c r="CQ674" s="33"/>
      <c r="CR674" s="33"/>
      <c r="CS674" s="33"/>
      <c r="CT674" s="33"/>
      <c r="CU674" s="33"/>
      <c r="CV674" s="33"/>
      <c r="CW674" s="33"/>
      <c r="CX674" s="33"/>
      <c r="CY674" s="33"/>
      <c r="CZ674" s="33"/>
      <c r="DA674" s="33"/>
      <c r="DB674" s="33"/>
      <c r="DC674" s="33"/>
      <c r="DD674" s="33"/>
      <c r="DE674" s="33"/>
      <c r="DF674" s="33"/>
      <c r="DG674" s="33"/>
      <c r="DH674" s="33"/>
      <c r="DI674" s="33"/>
      <c r="DJ674" s="33"/>
      <c r="DK674" s="33"/>
      <c r="DL674" s="33"/>
      <c r="DM674" s="33"/>
      <c r="DN674" s="33"/>
      <c r="DO674" s="33"/>
      <c r="DP674" s="33"/>
      <c r="DQ674" s="33"/>
      <c r="DR674" s="33"/>
      <c r="DS674" s="33"/>
      <c r="DT674" s="33"/>
      <c r="DU674" s="33"/>
      <c r="DV674" s="33"/>
      <c r="DW674" s="33"/>
      <c r="DX674" s="33"/>
      <c r="DY674" s="33"/>
      <c r="DZ674" s="33"/>
      <c r="EA674" s="33"/>
      <c r="EB674" s="33"/>
      <c r="EC674" s="33"/>
      <c r="ED674" s="33"/>
      <c r="EE674" s="33"/>
      <c r="EF674" s="33"/>
      <c r="EG674" s="33"/>
      <c r="EH674" s="33"/>
      <c r="EI674" s="33"/>
      <c r="EJ674" s="33"/>
      <c r="EK674" s="33"/>
      <c r="EL674" s="33"/>
      <c r="EM674" s="33"/>
      <c r="EN674" s="33"/>
      <c r="EO674" s="33"/>
      <c r="EP674" s="33"/>
      <c r="EQ674" s="33"/>
      <c r="ER674" s="33"/>
      <c r="ES674" s="33"/>
    </row>
    <row r="675">
      <c r="A675" s="33"/>
      <c r="B675" s="33"/>
      <c r="C675" s="33"/>
      <c r="D675" s="33"/>
      <c r="E675" s="33"/>
      <c r="F675" s="33"/>
      <c r="G675" s="85"/>
      <c r="H675" s="85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33"/>
      <c r="Y675" s="33"/>
      <c r="Z675" s="33"/>
      <c r="AA675" s="33"/>
      <c r="AB675" s="33"/>
      <c r="AC675" s="33"/>
      <c r="AD675" s="33"/>
      <c r="AE675" s="33"/>
      <c r="AF675" s="33"/>
      <c r="AG675" s="33"/>
      <c r="AH675" s="33"/>
      <c r="AI675" s="33"/>
      <c r="AJ675" s="33"/>
      <c r="AK675" s="33"/>
      <c r="AL675" s="33"/>
      <c r="AM675" s="33"/>
      <c r="AN675" s="33"/>
      <c r="AO675" s="33"/>
      <c r="AP675" s="33"/>
      <c r="AQ675" s="33"/>
      <c r="AR675" s="33"/>
      <c r="AS675" s="33"/>
      <c r="AT675" s="33"/>
      <c r="AU675" s="33"/>
      <c r="AV675" s="33"/>
      <c r="AW675" s="33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  <c r="BI675" s="33"/>
      <c r="BJ675" s="33"/>
      <c r="BK675" s="33"/>
      <c r="BL675" s="33"/>
      <c r="BM675" s="33"/>
      <c r="BN675" s="33"/>
      <c r="BO675" s="33"/>
      <c r="BP675" s="33"/>
      <c r="BQ675" s="33"/>
      <c r="BR675" s="33"/>
      <c r="BS675" s="33"/>
      <c r="BT675" s="33"/>
      <c r="BU675" s="33"/>
      <c r="BV675" s="33"/>
      <c r="BW675" s="33"/>
      <c r="BX675" s="33"/>
      <c r="BY675" s="33"/>
      <c r="BZ675" s="33"/>
      <c r="CA675" s="33"/>
      <c r="CB675" s="33"/>
      <c r="CC675" s="33"/>
      <c r="CD675" s="33"/>
      <c r="CE675" s="33"/>
      <c r="CF675" s="33"/>
      <c r="CG675" s="33"/>
      <c r="CH675" s="33"/>
      <c r="CI675" s="33"/>
      <c r="CJ675" s="33"/>
      <c r="CK675" s="33"/>
      <c r="CL675" s="33"/>
      <c r="CM675" s="33"/>
      <c r="CN675" s="33"/>
      <c r="CO675" s="33"/>
      <c r="CP675" s="33"/>
      <c r="CQ675" s="33"/>
      <c r="CR675" s="33"/>
      <c r="CS675" s="33"/>
      <c r="CT675" s="33"/>
      <c r="CU675" s="33"/>
      <c r="CV675" s="33"/>
      <c r="CW675" s="33"/>
      <c r="CX675" s="33"/>
      <c r="CY675" s="33"/>
      <c r="CZ675" s="33"/>
      <c r="DA675" s="33"/>
      <c r="DB675" s="33"/>
      <c r="DC675" s="33"/>
      <c r="DD675" s="33"/>
      <c r="DE675" s="33"/>
      <c r="DF675" s="33"/>
      <c r="DG675" s="33"/>
      <c r="DH675" s="33"/>
      <c r="DI675" s="33"/>
      <c r="DJ675" s="33"/>
      <c r="DK675" s="33"/>
      <c r="DL675" s="33"/>
      <c r="DM675" s="33"/>
      <c r="DN675" s="33"/>
      <c r="DO675" s="33"/>
      <c r="DP675" s="33"/>
      <c r="DQ675" s="33"/>
      <c r="DR675" s="33"/>
      <c r="DS675" s="33"/>
      <c r="DT675" s="33"/>
      <c r="DU675" s="33"/>
      <c r="DV675" s="33"/>
      <c r="DW675" s="33"/>
      <c r="DX675" s="33"/>
      <c r="DY675" s="33"/>
      <c r="DZ675" s="33"/>
      <c r="EA675" s="33"/>
      <c r="EB675" s="33"/>
      <c r="EC675" s="33"/>
      <c r="ED675" s="33"/>
      <c r="EE675" s="33"/>
      <c r="EF675" s="33"/>
      <c r="EG675" s="33"/>
      <c r="EH675" s="33"/>
      <c r="EI675" s="33"/>
      <c r="EJ675" s="33"/>
      <c r="EK675" s="33"/>
      <c r="EL675" s="33"/>
      <c r="EM675" s="33"/>
      <c r="EN675" s="33"/>
      <c r="EO675" s="33"/>
      <c r="EP675" s="33"/>
      <c r="EQ675" s="33"/>
      <c r="ER675" s="33"/>
      <c r="ES675" s="33"/>
    </row>
    <row r="676">
      <c r="A676" s="33"/>
      <c r="B676" s="33"/>
      <c r="C676" s="33"/>
      <c r="D676" s="33"/>
      <c r="E676" s="33"/>
      <c r="F676" s="33"/>
      <c r="G676" s="85"/>
      <c r="H676" s="85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33"/>
      <c r="Y676" s="33"/>
      <c r="Z676" s="33"/>
      <c r="AA676" s="33"/>
      <c r="AB676" s="33"/>
      <c r="AC676" s="33"/>
      <c r="AD676" s="33"/>
      <c r="AE676" s="33"/>
      <c r="AF676" s="33"/>
      <c r="AG676" s="33"/>
      <c r="AH676" s="33"/>
      <c r="AI676" s="33"/>
      <c r="AJ676" s="33"/>
      <c r="AK676" s="33"/>
      <c r="AL676" s="33"/>
      <c r="AM676" s="33"/>
      <c r="AN676" s="33"/>
      <c r="AO676" s="33"/>
      <c r="AP676" s="33"/>
      <c r="AQ676" s="33"/>
      <c r="AR676" s="33"/>
      <c r="AS676" s="33"/>
      <c r="AT676" s="33"/>
      <c r="AU676" s="33"/>
      <c r="AV676" s="33"/>
      <c r="AW676" s="33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  <c r="BI676" s="33"/>
      <c r="BJ676" s="33"/>
      <c r="BK676" s="33"/>
      <c r="BL676" s="33"/>
      <c r="BM676" s="33"/>
      <c r="BN676" s="33"/>
      <c r="BO676" s="33"/>
      <c r="BP676" s="33"/>
      <c r="BQ676" s="33"/>
      <c r="BR676" s="33"/>
      <c r="BS676" s="33"/>
      <c r="BT676" s="33"/>
      <c r="BU676" s="33"/>
      <c r="BV676" s="33"/>
      <c r="BW676" s="33"/>
      <c r="BX676" s="33"/>
      <c r="BY676" s="33"/>
      <c r="BZ676" s="33"/>
      <c r="CA676" s="33"/>
      <c r="CB676" s="33"/>
      <c r="CC676" s="33"/>
      <c r="CD676" s="33"/>
      <c r="CE676" s="33"/>
      <c r="CF676" s="33"/>
      <c r="CG676" s="33"/>
      <c r="CH676" s="33"/>
      <c r="CI676" s="33"/>
      <c r="CJ676" s="33"/>
      <c r="CK676" s="33"/>
      <c r="CL676" s="33"/>
      <c r="CM676" s="33"/>
      <c r="CN676" s="33"/>
      <c r="CO676" s="33"/>
      <c r="CP676" s="33"/>
      <c r="CQ676" s="33"/>
      <c r="CR676" s="33"/>
      <c r="CS676" s="33"/>
      <c r="CT676" s="33"/>
      <c r="CU676" s="33"/>
      <c r="CV676" s="33"/>
      <c r="CW676" s="33"/>
      <c r="CX676" s="33"/>
      <c r="CY676" s="33"/>
      <c r="CZ676" s="33"/>
      <c r="DA676" s="33"/>
      <c r="DB676" s="33"/>
      <c r="DC676" s="33"/>
      <c r="DD676" s="33"/>
      <c r="DE676" s="33"/>
      <c r="DF676" s="33"/>
      <c r="DG676" s="33"/>
      <c r="DH676" s="33"/>
      <c r="DI676" s="33"/>
      <c r="DJ676" s="33"/>
      <c r="DK676" s="33"/>
      <c r="DL676" s="33"/>
      <c r="DM676" s="33"/>
      <c r="DN676" s="33"/>
      <c r="DO676" s="33"/>
      <c r="DP676" s="33"/>
      <c r="DQ676" s="33"/>
      <c r="DR676" s="33"/>
      <c r="DS676" s="33"/>
      <c r="DT676" s="33"/>
      <c r="DU676" s="33"/>
      <c r="DV676" s="33"/>
      <c r="DW676" s="33"/>
      <c r="DX676" s="33"/>
      <c r="DY676" s="33"/>
      <c r="DZ676" s="33"/>
      <c r="EA676" s="33"/>
      <c r="EB676" s="33"/>
      <c r="EC676" s="33"/>
      <c r="ED676" s="33"/>
      <c r="EE676" s="33"/>
      <c r="EF676" s="33"/>
      <c r="EG676" s="33"/>
      <c r="EH676" s="33"/>
      <c r="EI676" s="33"/>
      <c r="EJ676" s="33"/>
      <c r="EK676" s="33"/>
      <c r="EL676" s="33"/>
      <c r="EM676" s="33"/>
      <c r="EN676" s="33"/>
      <c r="EO676" s="33"/>
      <c r="EP676" s="33"/>
      <c r="EQ676" s="33"/>
      <c r="ER676" s="33"/>
      <c r="ES676" s="33"/>
    </row>
    <row r="677">
      <c r="A677" s="33"/>
      <c r="B677" s="33"/>
      <c r="C677" s="33"/>
      <c r="D677" s="33"/>
      <c r="E677" s="33"/>
      <c r="F677" s="33"/>
      <c r="G677" s="85"/>
      <c r="H677" s="85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33"/>
      <c r="Y677" s="33"/>
      <c r="Z677" s="33"/>
      <c r="AA677" s="33"/>
      <c r="AB677" s="33"/>
      <c r="AC677" s="33"/>
      <c r="AD677" s="33"/>
      <c r="AE677" s="33"/>
      <c r="AF677" s="33"/>
      <c r="AG677" s="33"/>
      <c r="AH677" s="33"/>
      <c r="AI677" s="33"/>
      <c r="AJ677" s="33"/>
      <c r="AK677" s="33"/>
      <c r="AL677" s="33"/>
      <c r="AM677" s="33"/>
      <c r="AN677" s="33"/>
      <c r="AO677" s="33"/>
      <c r="AP677" s="33"/>
      <c r="AQ677" s="33"/>
      <c r="AR677" s="33"/>
      <c r="AS677" s="33"/>
      <c r="AT677" s="33"/>
      <c r="AU677" s="33"/>
      <c r="AV677" s="33"/>
      <c r="AW677" s="33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  <c r="BI677" s="33"/>
      <c r="BJ677" s="33"/>
      <c r="BK677" s="33"/>
      <c r="BL677" s="33"/>
      <c r="BM677" s="33"/>
      <c r="BN677" s="33"/>
      <c r="BO677" s="33"/>
      <c r="BP677" s="33"/>
      <c r="BQ677" s="33"/>
      <c r="BR677" s="33"/>
      <c r="BS677" s="33"/>
      <c r="BT677" s="33"/>
      <c r="BU677" s="33"/>
      <c r="BV677" s="33"/>
      <c r="BW677" s="33"/>
      <c r="BX677" s="33"/>
      <c r="BY677" s="33"/>
      <c r="BZ677" s="33"/>
      <c r="CA677" s="33"/>
      <c r="CB677" s="33"/>
      <c r="CC677" s="33"/>
      <c r="CD677" s="33"/>
      <c r="CE677" s="33"/>
      <c r="CF677" s="33"/>
      <c r="CG677" s="33"/>
      <c r="CH677" s="33"/>
      <c r="CI677" s="33"/>
      <c r="CJ677" s="33"/>
      <c r="CK677" s="33"/>
      <c r="CL677" s="33"/>
      <c r="CM677" s="33"/>
      <c r="CN677" s="33"/>
      <c r="CO677" s="33"/>
      <c r="CP677" s="33"/>
      <c r="CQ677" s="33"/>
      <c r="CR677" s="33"/>
      <c r="CS677" s="33"/>
      <c r="CT677" s="33"/>
      <c r="CU677" s="33"/>
      <c r="CV677" s="33"/>
      <c r="CW677" s="33"/>
      <c r="CX677" s="33"/>
      <c r="CY677" s="33"/>
      <c r="CZ677" s="33"/>
      <c r="DA677" s="33"/>
      <c r="DB677" s="33"/>
      <c r="DC677" s="33"/>
      <c r="DD677" s="33"/>
      <c r="DE677" s="33"/>
      <c r="DF677" s="33"/>
      <c r="DG677" s="33"/>
      <c r="DH677" s="33"/>
      <c r="DI677" s="33"/>
      <c r="DJ677" s="33"/>
      <c r="DK677" s="33"/>
      <c r="DL677" s="33"/>
      <c r="DM677" s="33"/>
      <c r="DN677" s="33"/>
      <c r="DO677" s="33"/>
      <c r="DP677" s="33"/>
      <c r="DQ677" s="33"/>
      <c r="DR677" s="33"/>
      <c r="DS677" s="33"/>
      <c r="DT677" s="33"/>
      <c r="DU677" s="33"/>
      <c r="DV677" s="33"/>
      <c r="DW677" s="33"/>
      <c r="DX677" s="33"/>
      <c r="DY677" s="33"/>
      <c r="DZ677" s="33"/>
      <c r="EA677" s="33"/>
      <c r="EB677" s="33"/>
      <c r="EC677" s="33"/>
      <c r="ED677" s="33"/>
      <c r="EE677" s="33"/>
      <c r="EF677" s="33"/>
      <c r="EG677" s="33"/>
      <c r="EH677" s="33"/>
      <c r="EI677" s="33"/>
      <c r="EJ677" s="33"/>
      <c r="EK677" s="33"/>
      <c r="EL677" s="33"/>
      <c r="EM677" s="33"/>
      <c r="EN677" s="33"/>
      <c r="EO677" s="33"/>
      <c r="EP677" s="33"/>
      <c r="EQ677" s="33"/>
      <c r="ER677" s="33"/>
      <c r="ES677" s="33"/>
    </row>
    <row r="678">
      <c r="A678" s="33"/>
      <c r="B678" s="33"/>
      <c r="C678" s="33"/>
      <c r="D678" s="33"/>
      <c r="E678" s="33"/>
      <c r="F678" s="33"/>
      <c r="G678" s="85"/>
      <c r="H678" s="85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33"/>
      <c r="Y678" s="33"/>
      <c r="Z678" s="33"/>
      <c r="AA678" s="33"/>
      <c r="AB678" s="33"/>
      <c r="AC678" s="33"/>
      <c r="AD678" s="33"/>
      <c r="AE678" s="33"/>
      <c r="AF678" s="33"/>
      <c r="AG678" s="33"/>
      <c r="AH678" s="33"/>
      <c r="AI678" s="33"/>
      <c r="AJ678" s="33"/>
      <c r="AK678" s="33"/>
      <c r="AL678" s="33"/>
      <c r="AM678" s="33"/>
      <c r="AN678" s="33"/>
      <c r="AO678" s="33"/>
      <c r="AP678" s="33"/>
      <c r="AQ678" s="33"/>
      <c r="AR678" s="33"/>
      <c r="AS678" s="33"/>
      <c r="AT678" s="33"/>
      <c r="AU678" s="33"/>
      <c r="AV678" s="33"/>
      <c r="AW678" s="33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  <c r="BI678" s="33"/>
      <c r="BJ678" s="33"/>
      <c r="BK678" s="33"/>
      <c r="BL678" s="33"/>
      <c r="BM678" s="33"/>
      <c r="BN678" s="33"/>
      <c r="BO678" s="33"/>
      <c r="BP678" s="33"/>
      <c r="BQ678" s="33"/>
      <c r="BR678" s="33"/>
      <c r="BS678" s="33"/>
      <c r="BT678" s="33"/>
      <c r="BU678" s="33"/>
      <c r="BV678" s="33"/>
      <c r="BW678" s="33"/>
      <c r="BX678" s="33"/>
      <c r="BY678" s="33"/>
      <c r="BZ678" s="33"/>
      <c r="CA678" s="33"/>
      <c r="CB678" s="33"/>
      <c r="CC678" s="33"/>
      <c r="CD678" s="33"/>
      <c r="CE678" s="33"/>
      <c r="CF678" s="33"/>
      <c r="CG678" s="33"/>
      <c r="CH678" s="33"/>
      <c r="CI678" s="33"/>
      <c r="CJ678" s="33"/>
      <c r="CK678" s="33"/>
      <c r="CL678" s="33"/>
      <c r="CM678" s="33"/>
      <c r="CN678" s="33"/>
      <c r="CO678" s="33"/>
      <c r="CP678" s="33"/>
      <c r="CQ678" s="33"/>
      <c r="CR678" s="33"/>
      <c r="CS678" s="33"/>
      <c r="CT678" s="33"/>
      <c r="CU678" s="33"/>
      <c r="CV678" s="33"/>
      <c r="CW678" s="33"/>
      <c r="CX678" s="33"/>
      <c r="CY678" s="33"/>
      <c r="CZ678" s="33"/>
      <c r="DA678" s="33"/>
      <c r="DB678" s="33"/>
      <c r="DC678" s="33"/>
      <c r="DD678" s="33"/>
      <c r="DE678" s="33"/>
      <c r="DF678" s="33"/>
      <c r="DG678" s="33"/>
      <c r="DH678" s="33"/>
      <c r="DI678" s="33"/>
      <c r="DJ678" s="33"/>
      <c r="DK678" s="33"/>
      <c r="DL678" s="33"/>
      <c r="DM678" s="33"/>
      <c r="DN678" s="33"/>
      <c r="DO678" s="33"/>
      <c r="DP678" s="33"/>
      <c r="DQ678" s="33"/>
      <c r="DR678" s="33"/>
      <c r="DS678" s="33"/>
      <c r="DT678" s="33"/>
      <c r="DU678" s="33"/>
      <c r="DV678" s="33"/>
      <c r="DW678" s="33"/>
      <c r="DX678" s="33"/>
      <c r="DY678" s="33"/>
      <c r="DZ678" s="33"/>
      <c r="EA678" s="33"/>
      <c r="EB678" s="33"/>
      <c r="EC678" s="33"/>
      <c r="ED678" s="33"/>
      <c r="EE678" s="33"/>
      <c r="EF678" s="33"/>
      <c r="EG678" s="33"/>
      <c r="EH678" s="33"/>
      <c r="EI678" s="33"/>
      <c r="EJ678" s="33"/>
      <c r="EK678" s="33"/>
      <c r="EL678" s="33"/>
      <c r="EM678" s="33"/>
      <c r="EN678" s="33"/>
      <c r="EO678" s="33"/>
      <c r="EP678" s="33"/>
      <c r="EQ678" s="33"/>
      <c r="ER678" s="33"/>
      <c r="ES678" s="33"/>
    </row>
    <row r="679">
      <c r="A679" s="33"/>
      <c r="B679" s="33"/>
      <c r="C679" s="33"/>
      <c r="D679" s="33"/>
      <c r="E679" s="33"/>
      <c r="F679" s="33"/>
      <c r="G679" s="85"/>
      <c r="H679" s="85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33"/>
      <c r="Y679" s="33"/>
      <c r="Z679" s="33"/>
      <c r="AA679" s="33"/>
      <c r="AB679" s="33"/>
      <c r="AC679" s="33"/>
      <c r="AD679" s="33"/>
      <c r="AE679" s="33"/>
      <c r="AF679" s="33"/>
      <c r="AG679" s="33"/>
      <c r="AH679" s="33"/>
      <c r="AI679" s="33"/>
      <c r="AJ679" s="33"/>
      <c r="AK679" s="33"/>
      <c r="AL679" s="33"/>
      <c r="AM679" s="33"/>
      <c r="AN679" s="33"/>
      <c r="AO679" s="33"/>
      <c r="AP679" s="33"/>
      <c r="AQ679" s="33"/>
      <c r="AR679" s="33"/>
      <c r="AS679" s="33"/>
      <c r="AT679" s="33"/>
      <c r="AU679" s="33"/>
      <c r="AV679" s="33"/>
      <c r="AW679" s="33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  <c r="BI679" s="33"/>
      <c r="BJ679" s="33"/>
      <c r="BK679" s="33"/>
      <c r="BL679" s="33"/>
      <c r="BM679" s="33"/>
      <c r="BN679" s="33"/>
      <c r="BO679" s="33"/>
      <c r="BP679" s="33"/>
      <c r="BQ679" s="33"/>
      <c r="BR679" s="33"/>
      <c r="BS679" s="33"/>
      <c r="BT679" s="33"/>
      <c r="BU679" s="33"/>
      <c r="BV679" s="33"/>
      <c r="BW679" s="33"/>
      <c r="BX679" s="33"/>
      <c r="BY679" s="33"/>
      <c r="BZ679" s="33"/>
      <c r="CA679" s="33"/>
      <c r="CB679" s="33"/>
      <c r="CC679" s="33"/>
      <c r="CD679" s="33"/>
      <c r="CE679" s="33"/>
      <c r="CF679" s="33"/>
      <c r="CG679" s="33"/>
      <c r="CH679" s="33"/>
      <c r="CI679" s="33"/>
      <c r="CJ679" s="33"/>
      <c r="CK679" s="33"/>
      <c r="CL679" s="33"/>
      <c r="CM679" s="33"/>
      <c r="CN679" s="33"/>
      <c r="CO679" s="33"/>
      <c r="CP679" s="33"/>
      <c r="CQ679" s="33"/>
      <c r="CR679" s="33"/>
      <c r="CS679" s="33"/>
      <c r="CT679" s="33"/>
      <c r="CU679" s="33"/>
      <c r="CV679" s="33"/>
      <c r="CW679" s="33"/>
      <c r="CX679" s="33"/>
      <c r="CY679" s="33"/>
      <c r="CZ679" s="33"/>
      <c r="DA679" s="33"/>
      <c r="DB679" s="33"/>
      <c r="DC679" s="33"/>
      <c r="DD679" s="33"/>
      <c r="DE679" s="33"/>
      <c r="DF679" s="33"/>
      <c r="DG679" s="33"/>
      <c r="DH679" s="33"/>
      <c r="DI679" s="33"/>
      <c r="DJ679" s="33"/>
      <c r="DK679" s="33"/>
      <c r="DL679" s="33"/>
      <c r="DM679" s="33"/>
      <c r="DN679" s="33"/>
      <c r="DO679" s="33"/>
      <c r="DP679" s="33"/>
      <c r="DQ679" s="33"/>
      <c r="DR679" s="33"/>
      <c r="DS679" s="33"/>
      <c r="DT679" s="33"/>
      <c r="DU679" s="33"/>
      <c r="DV679" s="33"/>
      <c r="DW679" s="33"/>
      <c r="DX679" s="33"/>
      <c r="DY679" s="33"/>
      <c r="DZ679" s="33"/>
      <c r="EA679" s="33"/>
      <c r="EB679" s="33"/>
      <c r="EC679" s="33"/>
      <c r="ED679" s="33"/>
      <c r="EE679" s="33"/>
      <c r="EF679" s="33"/>
      <c r="EG679" s="33"/>
      <c r="EH679" s="33"/>
      <c r="EI679" s="33"/>
      <c r="EJ679" s="33"/>
      <c r="EK679" s="33"/>
      <c r="EL679" s="33"/>
      <c r="EM679" s="33"/>
      <c r="EN679" s="33"/>
      <c r="EO679" s="33"/>
      <c r="EP679" s="33"/>
      <c r="EQ679" s="33"/>
      <c r="ER679" s="33"/>
      <c r="ES679" s="33"/>
    </row>
    <row r="680">
      <c r="A680" s="33"/>
      <c r="B680" s="33"/>
      <c r="C680" s="33"/>
      <c r="D680" s="33"/>
      <c r="E680" s="33"/>
      <c r="F680" s="33"/>
      <c r="G680" s="85"/>
      <c r="H680" s="85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33"/>
      <c r="Y680" s="33"/>
      <c r="Z680" s="33"/>
      <c r="AA680" s="33"/>
      <c r="AB680" s="33"/>
      <c r="AC680" s="33"/>
      <c r="AD680" s="33"/>
      <c r="AE680" s="33"/>
      <c r="AF680" s="33"/>
      <c r="AG680" s="33"/>
      <c r="AH680" s="33"/>
      <c r="AI680" s="33"/>
      <c r="AJ680" s="33"/>
      <c r="AK680" s="33"/>
      <c r="AL680" s="33"/>
      <c r="AM680" s="33"/>
      <c r="AN680" s="33"/>
      <c r="AO680" s="33"/>
      <c r="AP680" s="33"/>
      <c r="AQ680" s="33"/>
      <c r="AR680" s="33"/>
      <c r="AS680" s="33"/>
      <c r="AT680" s="33"/>
      <c r="AU680" s="33"/>
      <c r="AV680" s="33"/>
      <c r="AW680" s="33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  <c r="BI680" s="33"/>
      <c r="BJ680" s="33"/>
      <c r="BK680" s="33"/>
      <c r="BL680" s="33"/>
      <c r="BM680" s="33"/>
      <c r="BN680" s="33"/>
      <c r="BO680" s="33"/>
      <c r="BP680" s="33"/>
      <c r="BQ680" s="33"/>
      <c r="BR680" s="33"/>
      <c r="BS680" s="33"/>
      <c r="BT680" s="33"/>
      <c r="BU680" s="33"/>
      <c r="BV680" s="33"/>
      <c r="BW680" s="33"/>
      <c r="BX680" s="33"/>
      <c r="BY680" s="33"/>
      <c r="BZ680" s="33"/>
      <c r="CA680" s="33"/>
      <c r="CB680" s="33"/>
      <c r="CC680" s="33"/>
      <c r="CD680" s="33"/>
      <c r="CE680" s="33"/>
      <c r="CF680" s="33"/>
      <c r="CG680" s="33"/>
      <c r="CH680" s="33"/>
      <c r="CI680" s="33"/>
      <c r="CJ680" s="33"/>
      <c r="CK680" s="33"/>
      <c r="CL680" s="33"/>
      <c r="CM680" s="33"/>
      <c r="CN680" s="33"/>
      <c r="CO680" s="33"/>
      <c r="CP680" s="33"/>
      <c r="CQ680" s="33"/>
      <c r="CR680" s="33"/>
      <c r="CS680" s="33"/>
      <c r="CT680" s="33"/>
      <c r="CU680" s="33"/>
      <c r="CV680" s="33"/>
      <c r="CW680" s="33"/>
      <c r="CX680" s="33"/>
      <c r="CY680" s="33"/>
      <c r="CZ680" s="33"/>
      <c r="DA680" s="33"/>
      <c r="DB680" s="33"/>
      <c r="DC680" s="33"/>
      <c r="DD680" s="33"/>
      <c r="DE680" s="33"/>
      <c r="DF680" s="33"/>
      <c r="DG680" s="33"/>
      <c r="DH680" s="33"/>
      <c r="DI680" s="33"/>
      <c r="DJ680" s="33"/>
      <c r="DK680" s="33"/>
      <c r="DL680" s="33"/>
      <c r="DM680" s="33"/>
      <c r="DN680" s="33"/>
      <c r="DO680" s="33"/>
      <c r="DP680" s="33"/>
      <c r="DQ680" s="33"/>
      <c r="DR680" s="33"/>
      <c r="DS680" s="33"/>
      <c r="DT680" s="33"/>
      <c r="DU680" s="33"/>
      <c r="DV680" s="33"/>
      <c r="DW680" s="33"/>
      <c r="DX680" s="33"/>
      <c r="DY680" s="33"/>
      <c r="DZ680" s="33"/>
      <c r="EA680" s="33"/>
      <c r="EB680" s="33"/>
      <c r="EC680" s="33"/>
      <c r="ED680" s="33"/>
      <c r="EE680" s="33"/>
      <c r="EF680" s="33"/>
      <c r="EG680" s="33"/>
      <c r="EH680" s="33"/>
      <c r="EI680" s="33"/>
      <c r="EJ680" s="33"/>
      <c r="EK680" s="33"/>
      <c r="EL680" s="33"/>
      <c r="EM680" s="33"/>
      <c r="EN680" s="33"/>
      <c r="EO680" s="33"/>
      <c r="EP680" s="33"/>
      <c r="EQ680" s="33"/>
      <c r="ER680" s="33"/>
      <c r="ES680" s="33"/>
    </row>
    <row r="681">
      <c r="A681" s="33"/>
      <c r="B681" s="33"/>
      <c r="C681" s="33"/>
      <c r="D681" s="33"/>
      <c r="E681" s="33"/>
      <c r="F681" s="33"/>
      <c r="G681" s="85"/>
      <c r="H681" s="85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33"/>
      <c r="Y681" s="33"/>
      <c r="Z681" s="33"/>
      <c r="AA681" s="33"/>
      <c r="AB681" s="33"/>
      <c r="AC681" s="33"/>
      <c r="AD681" s="33"/>
      <c r="AE681" s="33"/>
      <c r="AF681" s="33"/>
      <c r="AG681" s="33"/>
      <c r="AH681" s="33"/>
      <c r="AI681" s="33"/>
      <c r="AJ681" s="33"/>
      <c r="AK681" s="33"/>
      <c r="AL681" s="33"/>
      <c r="AM681" s="33"/>
      <c r="AN681" s="33"/>
      <c r="AO681" s="33"/>
      <c r="AP681" s="33"/>
      <c r="AQ681" s="33"/>
      <c r="AR681" s="33"/>
      <c r="AS681" s="33"/>
      <c r="AT681" s="33"/>
      <c r="AU681" s="33"/>
      <c r="AV681" s="33"/>
      <c r="AW681" s="33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  <c r="BI681" s="33"/>
      <c r="BJ681" s="33"/>
      <c r="BK681" s="33"/>
      <c r="BL681" s="33"/>
      <c r="BM681" s="33"/>
      <c r="BN681" s="33"/>
      <c r="BO681" s="33"/>
      <c r="BP681" s="33"/>
      <c r="BQ681" s="33"/>
      <c r="BR681" s="33"/>
      <c r="BS681" s="33"/>
      <c r="BT681" s="33"/>
      <c r="BU681" s="33"/>
      <c r="BV681" s="33"/>
      <c r="BW681" s="33"/>
      <c r="BX681" s="33"/>
      <c r="BY681" s="33"/>
      <c r="BZ681" s="33"/>
      <c r="CA681" s="33"/>
      <c r="CB681" s="33"/>
      <c r="CC681" s="33"/>
      <c r="CD681" s="33"/>
      <c r="CE681" s="33"/>
      <c r="CF681" s="33"/>
      <c r="CG681" s="33"/>
      <c r="CH681" s="33"/>
      <c r="CI681" s="33"/>
      <c r="CJ681" s="33"/>
      <c r="CK681" s="33"/>
      <c r="CL681" s="33"/>
      <c r="CM681" s="33"/>
      <c r="CN681" s="33"/>
      <c r="CO681" s="33"/>
      <c r="CP681" s="33"/>
      <c r="CQ681" s="33"/>
      <c r="CR681" s="33"/>
      <c r="CS681" s="33"/>
      <c r="CT681" s="33"/>
      <c r="CU681" s="33"/>
      <c r="CV681" s="33"/>
      <c r="CW681" s="33"/>
      <c r="CX681" s="33"/>
      <c r="CY681" s="33"/>
      <c r="CZ681" s="33"/>
      <c r="DA681" s="33"/>
      <c r="DB681" s="33"/>
      <c r="DC681" s="33"/>
      <c r="DD681" s="33"/>
      <c r="DE681" s="33"/>
      <c r="DF681" s="33"/>
      <c r="DG681" s="33"/>
      <c r="DH681" s="33"/>
      <c r="DI681" s="33"/>
      <c r="DJ681" s="33"/>
      <c r="DK681" s="33"/>
      <c r="DL681" s="33"/>
      <c r="DM681" s="33"/>
      <c r="DN681" s="33"/>
      <c r="DO681" s="33"/>
      <c r="DP681" s="33"/>
      <c r="DQ681" s="33"/>
      <c r="DR681" s="33"/>
      <c r="DS681" s="33"/>
      <c r="DT681" s="33"/>
      <c r="DU681" s="33"/>
      <c r="DV681" s="33"/>
      <c r="DW681" s="33"/>
      <c r="DX681" s="33"/>
      <c r="DY681" s="33"/>
      <c r="DZ681" s="33"/>
      <c r="EA681" s="33"/>
      <c r="EB681" s="33"/>
      <c r="EC681" s="33"/>
      <c r="ED681" s="33"/>
      <c r="EE681" s="33"/>
      <c r="EF681" s="33"/>
      <c r="EG681" s="33"/>
      <c r="EH681" s="33"/>
      <c r="EI681" s="33"/>
      <c r="EJ681" s="33"/>
      <c r="EK681" s="33"/>
      <c r="EL681" s="33"/>
      <c r="EM681" s="33"/>
      <c r="EN681" s="33"/>
      <c r="EO681" s="33"/>
      <c r="EP681" s="33"/>
      <c r="EQ681" s="33"/>
      <c r="ER681" s="33"/>
      <c r="ES681" s="33"/>
    </row>
    <row r="682">
      <c r="A682" s="33"/>
      <c r="B682" s="33"/>
      <c r="C682" s="33"/>
      <c r="D682" s="33"/>
      <c r="E682" s="33"/>
      <c r="F682" s="33"/>
      <c r="G682" s="85"/>
      <c r="H682" s="85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33"/>
      <c r="Y682" s="33"/>
      <c r="Z682" s="33"/>
      <c r="AA682" s="33"/>
      <c r="AB682" s="33"/>
      <c r="AC682" s="33"/>
      <c r="AD682" s="33"/>
      <c r="AE682" s="33"/>
      <c r="AF682" s="33"/>
      <c r="AG682" s="33"/>
      <c r="AH682" s="33"/>
      <c r="AI682" s="33"/>
      <c r="AJ682" s="33"/>
      <c r="AK682" s="33"/>
      <c r="AL682" s="33"/>
      <c r="AM682" s="33"/>
      <c r="AN682" s="33"/>
      <c r="AO682" s="33"/>
      <c r="AP682" s="33"/>
      <c r="AQ682" s="33"/>
      <c r="AR682" s="33"/>
      <c r="AS682" s="33"/>
      <c r="AT682" s="33"/>
      <c r="AU682" s="33"/>
      <c r="AV682" s="33"/>
      <c r="AW682" s="33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  <c r="BI682" s="33"/>
      <c r="BJ682" s="33"/>
      <c r="BK682" s="33"/>
      <c r="BL682" s="33"/>
      <c r="BM682" s="33"/>
      <c r="BN682" s="33"/>
      <c r="BO682" s="33"/>
      <c r="BP682" s="33"/>
      <c r="BQ682" s="33"/>
      <c r="BR682" s="33"/>
      <c r="BS682" s="33"/>
      <c r="BT682" s="33"/>
      <c r="BU682" s="33"/>
      <c r="BV682" s="33"/>
      <c r="BW682" s="33"/>
      <c r="BX682" s="33"/>
      <c r="BY682" s="33"/>
      <c r="BZ682" s="33"/>
      <c r="CA682" s="33"/>
      <c r="CB682" s="33"/>
      <c r="CC682" s="33"/>
      <c r="CD682" s="33"/>
      <c r="CE682" s="33"/>
      <c r="CF682" s="33"/>
      <c r="CG682" s="33"/>
      <c r="CH682" s="33"/>
      <c r="CI682" s="33"/>
      <c r="CJ682" s="33"/>
      <c r="CK682" s="33"/>
      <c r="CL682" s="33"/>
      <c r="CM682" s="33"/>
      <c r="CN682" s="33"/>
      <c r="CO682" s="33"/>
      <c r="CP682" s="33"/>
      <c r="CQ682" s="33"/>
      <c r="CR682" s="33"/>
      <c r="CS682" s="33"/>
      <c r="CT682" s="33"/>
      <c r="CU682" s="33"/>
      <c r="CV682" s="33"/>
      <c r="CW682" s="33"/>
      <c r="CX682" s="33"/>
      <c r="CY682" s="33"/>
      <c r="CZ682" s="33"/>
      <c r="DA682" s="33"/>
      <c r="DB682" s="33"/>
      <c r="DC682" s="33"/>
      <c r="DD682" s="33"/>
      <c r="DE682" s="33"/>
      <c r="DF682" s="33"/>
      <c r="DG682" s="33"/>
      <c r="DH682" s="33"/>
      <c r="DI682" s="33"/>
      <c r="DJ682" s="33"/>
      <c r="DK682" s="33"/>
      <c r="DL682" s="33"/>
      <c r="DM682" s="33"/>
      <c r="DN682" s="33"/>
      <c r="DO682" s="33"/>
      <c r="DP682" s="33"/>
      <c r="DQ682" s="33"/>
      <c r="DR682" s="33"/>
      <c r="DS682" s="33"/>
      <c r="DT682" s="33"/>
      <c r="DU682" s="33"/>
      <c r="DV682" s="33"/>
      <c r="DW682" s="33"/>
      <c r="DX682" s="33"/>
      <c r="DY682" s="33"/>
      <c r="DZ682" s="33"/>
      <c r="EA682" s="33"/>
      <c r="EB682" s="33"/>
      <c r="EC682" s="33"/>
      <c r="ED682" s="33"/>
      <c r="EE682" s="33"/>
      <c r="EF682" s="33"/>
      <c r="EG682" s="33"/>
      <c r="EH682" s="33"/>
      <c r="EI682" s="33"/>
      <c r="EJ682" s="33"/>
      <c r="EK682" s="33"/>
      <c r="EL682" s="33"/>
      <c r="EM682" s="33"/>
      <c r="EN682" s="33"/>
      <c r="EO682" s="33"/>
      <c r="EP682" s="33"/>
      <c r="EQ682" s="33"/>
      <c r="ER682" s="33"/>
      <c r="ES682" s="33"/>
    </row>
    <row r="683">
      <c r="A683" s="33"/>
      <c r="B683" s="33"/>
      <c r="C683" s="33"/>
      <c r="D683" s="33"/>
      <c r="E683" s="33"/>
      <c r="F683" s="33"/>
      <c r="G683" s="85"/>
      <c r="H683" s="85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33"/>
      <c r="Y683" s="33"/>
      <c r="Z683" s="33"/>
      <c r="AA683" s="33"/>
      <c r="AB683" s="33"/>
      <c r="AC683" s="33"/>
      <c r="AD683" s="33"/>
      <c r="AE683" s="33"/>
      <c r="AF683" s="33"/>
      <c r="AG683" s="33"/>
      <c r="AH683" s="33"/>
      <c r="AI683" s="33"/>
      <c r="AJ683" s="33"/>
      <c r="AK683" s="33"/>
      <c r="AL683" s="33"/>
      <c r="AM683" s="33"/>
      <c r="AN683" s="33"/>
      <c r="AO683" s="33"/>
      <c r="AP683" s="33"/>
      <c r="AQ683" s="33"/>
      <c r="AR683" s="33"/>
      <c r="AS683" s="33"/>
      <c r="AT683" s="33"/>
      <c r="AU683" s="33"/>
      <c r="AV683" s="33"/>
      <c r="AW683" s="33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  <c r="BI683" s="33"/>
      <c r="BJ683" s="33"/>
      <c r="BK683" s="33"/>
      <c r="BL683" s="33"/>
      <c r="BM683" s="33"/>
      <c r="BN683" s="33"/>
      <c r="BO683" s="33"/>
      <c r="BP683" s="33"/>
      <c r="BQ683" s="33"/>
      <c r="BR683" s="33"/>
      <c r="BS683" s="33"/>
      <c r="BT683" s="33"/>
      <c r="BU683" s="33"/>
      <c r="BV683" s="33"/>
      <c r="BW683" s="33"/>
      <c r="BX683" s="33"/>
      <c r="BY683" s="33"/>
      <c r="BZ683" s="33"/>
      <c r="CA683" s="33"/>
      <c r="CB683" s="33"/>
      <c r="CC683" s="33"/>
      <c r="CD683" s="33"/>
      <c r="CE683" s="33"/>
      <c r="CF683" s="33"/>
      <c r="CG683" s="33"/>
      <c r="CH683" s="33"/>
      <c r="CI683" s="33"/>
      <c r="CJ683" s="33"/>
      <c r="CK683" s="33"/>
      <c r="CL683" s="33"/>
      <c r="CM683" s="33"/>
      <c r="CN683" s="33"/>
      <c r="CO683" s="33"/>
      <c r="CP683" s="33"/>
      <c r="CQ683" s="33"/>
      <c r="CR683" s="33"/>
      <c r="CS683" s="33"/>
      <c r="CT683" s="33"/>
      <c r="CU683" s="33"/>
      <c r="CV683" s="33"/>
      <c r="CW683" s="33"/>
      <c r="CX683" s="33"/>
      <c r="CY683" s="33"/>
      <c r="CZ683" s="33"/>
      <c r="DA683" s="33"/>
      <c r="DB683" s="33"/>
      <c r="DC683" s="33"/>
      <c r="DD683" s="33"/>
      <c r="DE683" s="33"/>
      <c r="DF683" s="33"/>
      <c r="DG683" s="33"/>
      <c r="DH683" s="33"/>
      <c r="DI683" s="33"/>
      <c r="DJ683" s="33"/>
      <c r="DK683" s="33"/>
      <c r="DL683" s="33"/>
      <c r="DM683" s="33"/>
      <c r="DN683" s="33"/>
      <c r="DO683" s="33"/>
      <c r="DP683" s="33"/>
      <c r="DQ683" s="33"/>
      <c r="DR683" s="33"/>
      <c r="DS683" s="33"/>
      <c r="DT683" s="33"/>
      <c r="DU683" s="33"/>
      <c r="DV683" s="33"/>
      <c r="DW683" s="33"/>
      <c r="DX683" s="33"/>
      <c r="DY683" s="33"/>
      <c r="DZ683" s="33"/>
      <c r="EA683" s="33"/>
      <c r="EB683" s="33"/>
      <c r="EC683" s="33"/>
      <c r="ED683" s="33"/>
      <c r="EE683" s="33"/>
      <c r="EF683" s="33"/>
      <c r="EG683" s="33"/>
      <c r="EH683" s="33"/>
      <c r="EI683" s="33"/>
      <c r="EJ683" s="33"/>
      <c r="EK683" s="33"/>
      <c r="EL683" s="33"/>
      <c r="EM683" s="33"/>
      <c r="EN683" s="33"/>
      <c r="EO683" s="33"/>
      <c r="EP683" s="33"/>
      <c r="EQ683" s="33"/>
      <c r="ER683" s="33"/>
      <c r="ES683" s="33"/>
    </row>
    <row r="684">
      <c r="A684" s="33"/>
      <c r="B684" s="33"/>
      <c r="C684" s="33"/>
      <c r="D684" s="33"/>
      <c r="E684" s="33"/>
      <c r="F684" s="33"/>
      <c r="G684" s="85"/>
      <c r="H684" s="85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33"/>
      <c r="Y684" s="33"/>
      <c r="Z684" s="33"/>
      <c r="AA684" s="33"/>
      <c r="AB684" s="33"/>
      <c r="AC684" s="33"/>
      <c r="AD684" s="33"/>
      <c r="AE684" s="33"/>
      <c r="AF684" s="33"/>
      <c r="AG684" s="33"/>
      <c r="AH684" s="33"/>
      <c r="AI684" s="33"/>
      <c r="AJ684" s="33"/>
      <c r="AK684" s="33"/>
      <c r="AL684" s="33"/>
      <c r="AM684" s="33"/>
      <c r="AN684" s="33"/>
      <c r="AO684" s="33"/>
      <c r="AP684" s="33"/>
      <c r="AQ684" s="33"/>
      <c r="AR684" s="33"/>
      <c r="AS684" s="33"/>
      <c r="AT684" s="33"/>
      <c r="AU684" s="33"/>
      <c r="AV684" s="33"/>
      <c r="AW684" s="33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  <c r="BI684" s="33"/>
      <c r="BJ684" s="33"/>
      <c r="BK684" s="33"/>
      <c r="BL684" s="33"/>
      <c r="BM684" s="33"/>
      <c r="BN684" s="33"/>
      <c r="BO684" s="33"/>
      <c r="BP684" s="33"/>
      <c r="BQ684" s="33"/>
      <c r="BR684" s="33"/>
      <c r="BS684" s="33"/>
      <c r="BT684" s="33"/>
      <c r="BU684" s="33"/>
      <c r="BV684" s="33"/>
      <c r="BW684" s="33"/>
      <c r="BX684" s="33"/>
      <c r="BY684" s="33"/>
      <c r="BZ684" s="33"/>
      <c r="CA684" s="33"/>
      <c r="CB684" s="33"/>
      <c r="CC684" s="33"/>
      <c r="CD684" s="33"/>
      <c r="CE684" s="33"/>
      <c r="CF684" s="33"/>
      <c r="CG684" s="33"/>
      <c r="CH684" s="33"/>
      <c r="CI684" s="33"/>
      <c r="CJ684" s="33"/>
      <c r="CK684" s="33"/>
      <c r="CL684" s="33"/>
      <c r="CM684" s="33"/>
      <c r="CN684" s="33"/>
      <c r="CO684" s="33"/>
      <c r="CP684" s="33"/>
      <c r="CQ684" s="33"/>
      <c r="CR684" s="33"/>
      <c r="CS684" s="33"/>
      <c r="CT684" s="33"/>
      <c r="CU684" s="33"/>
      <c r="CV684" s="33"/>
      <c r="CW684" s="33"/>
      <c r="CX684" s="33"/>
      <c r="CY684" s="33"/>
      <c r="CZ684" s="33"/>
      <c r="DA684" s="33"/>
      <c r="DB684" s="33"/>
      <c r="DC684" s="33"/>
      <c r="DD684" s="33"/>
      <c r="DE684" s="33"/>
      <c r="DF684" s="33"/>
      <c r="DG684" s="33"/>
      <c r="DH684" s="33"/>
      <c r="DI684" s="33"/>
      <c r="DJ684" s="33"/>
      <c r="DK684" s="33"/>
      <c r="DL684" s="33"/>
      <c r="DM684" s="33"/>
      <c r="DN684" s="33"/>
      <c r="DO684" s="33"/>
      <c r="DP684" s="33"/>
      <c r="DQ684" s="33"/>
      <c r="DR684" s="33"/>
      <c r="DS684" s="33"/>
      <c r="DT684" s="33"/>
      <c r="DU684" s="33"/>
      <c r="DV684" s="33"/>
      <c r="DW684" s="33"/>
      <c r="DX684" s="33"/>
      <c r="DY684" s="33"/>
      <c r="DZ684" s="33"/>
      <c r="EA684" s="33"/>
      <c r="EB684" s="33"/>
      <c r="EC684" s="33"/>
      <c r="ED684" s="33"/>
      <c r="EE684" s="33"/>
      <c r="EF684" s="33"/>
      <c r="EG684" s="33"/>
      <c r="EH684" s="33"/>
      <c r="EI684" s="33"/>
      <c r="EJ684" s="33"/>
      <c r="EK684" s="33"/>
      <c r="EL684" s="33"/>
      <c r="EM684" s="33"/>
      <c r="EN684" s="33"/>
      <c r="EO684" s="33"/>
      <c r="EP684" s="33"/>
      <c r="EQ684" s="33"/>
      <c r="ER684" s="33"/>
      <c r="ES684" s="33"/>
    </row>
    <row r="685">
      <c r="A685" s="33"/>
      <c r="B685" s="33"/>
      <c r="C685" s="33"/>
      <c r="D685" s="33"/>
      <c r="E685" s="33"/>
      <c r="F685" s="33"/>
      <c r="G685" s="85"/>
      <c r="H685" s="85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33"/>
      <c r="Y685" s="33"/>
      <c r="Z685" s="33"/>
      <c r="AA685" s="33"/>
      <c r="AB685" s="33"/>
      <c r="AC685" s="33"/>
      <c r="AD685" s="33"/>
      <c r="AE685" s="33"/>
      <c r="AF685" s="33"/>
      <c r="AG685" s="33"/>
      <c r="AH685" s="33"/>
      <c r="AI685" s="33"/>
      <c r="AJ685" s="33"/>
      <c r="AK685" s="33"/>
      <c r="AL685" s="33"/>
      <c r="AM685" s="33"/>
      <c r="AN685" s="33"/>
      <c r="AO685" s="33"/>
      <c r="AP685" s="33"/>
      <c r="AQ685" s="33"/>
      <c r="AR685" s="33"/>
      <c r="AS685" s="33"/>
      <c r="AT685" s="33"/>
      <c r="AU685" s="33"/>
      <c r="AV685" s="33"/>
      <c r="AW685" s="33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  <c r="BI685" s="33"/>
      <c r="BJ685" s="33"/>
      <c r="BK685" s="33"/>
      <c r="BL685" s="33"/>
      <c r="BM685" s="33"/>
      <c r="BN685" s="33"/>
      <c r="BO685" s="33"/>
      <c r="BP685" s="33"/>
      <c r="BQ685" s="33"/>
      <c r="BR685" s="33"/>
      <c r="BS685" s="33"/>
      <c r="BT685" s="33"/>
      <c r="BU685" s="33"/>
      <c r="BV685" s="33"/>
      <c r="BW685" s="33"/>
      <c r="BX685" s="33"/>
      <c r="BY685" s="33"/>
      <c r="BZ685" s="33"/>
      <c r="CA685" s="33"/>
      <c r="CB685" s="33"/>
      <c r="CC685" s="33"/>
      <c r="CD685" s="33"/>
      <c r="CE685" s="33"/>
      <c r="CF685" s="33"/>
      <c r="CG685" s="33"/>
      <c r="CH685" s="33"/>
      <c r="CI685" s="33"/>
      <c r="CJ685" s="33"/>
      <c r="CK685" s="33"/>
      <c r="CL685" s="33"/>
      <c r="CM685" s="33"/>
      <c r="CN685" s="33"/>
      <c r="CO685" s="33"/>
      <c r="CP685" s="33"/>
      <c r="CQ685" s="33"/>
      <c r="CR685" s="33"/>
      <c r="CS685" s="33"/>
      <c r="CT685" s="33"/>
      <c r="CU685" s="33"/>
      <c r="CV685" s="33"/>
      <c r="CW685" s="33"/>
      <c r="CX685" s="33"/>
      <c r="CY685" s="33"/>
      <c r="CZ685" s="33"/>
      <c r="DA685" s="33"/>
      <c r="DB685" s="33"/>
      <c r="DC685" s="33"/>
      <c r="DD685" s="33"/>
      <c r="DE685" s="33"/>
      <c r="DF685" s="33"/>
      <c r="DG685" s="33"/>
      <c r="DH685" s="33"/>
      <c r="DI685" s="33"/>
      <c r="DJ685" s="33"/>
      <c r="DK685" s="33"/>
      <c r="DL685" s="33"/>
      <c r="DM685" s="33"/>
      <c r="DN685" s="33"/>
      <c r="DO685" s="33"/>
      <c r="DP685" s="33"/>
      <c r="DQ685" s="33"/>
      <c r="DR685" s="33"/>
      <c r="DS685" s="33"/>
      <c r="DT685" s="33"/>
      <c r="DU685" s="33"/>
      <c r="DV685" s="33"/>
      <c r="DW685" s="33"/>
      <c r="DX685" s="33"/>
      <c r="DY685" s="33"/>
      <c r="DZ685" s="33"/>
      <c r="EA685" s="33"/>
      <c r="EB685" s="33"/>
      <c r="EC685" s="33"/>
      <c r="ED685" s="33"/>
      <c r="EE685" s="33"/>
      <c r="EF685" s="33"/>
      <c r="EG685" s="33"/>
      <c r="EH685" s="33"/>
      <c r="EI685" s="33"/>
      <c r="EJ685" s="33"/>
      <c r="EK685" s="33"/>
      <c r="EL685" s="33"/>
      <c r="EM685" s="33"/>
      <c r="EN685" s="33"/>
      <c r="EO685" s="33"/>
      <c r="EP685" s="33"/>
      <c r="EQ685" s="33"/>
      <c r="ER685" s="33"/>
      <c r="ES685" s="33"/>
    </row>
    <row r="686">
      <c r="A686" s="33"/>
      <c r="B686" s="33"/>
      <c r="C686" s="33"/>
      <c r="D686" s="33"/>
      <c r="E686" s="33"/>
      <c r="F686" s="33"/>
      <c r="G686" s="85"/>
      <c r="H686" s="85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33"/>
      <c r="Y686" s="33"/>
      <c r="Z686" s="33"/>
      <c r="AA686" s="33"/>
      <c r="AB686" s="33"/>
      <c r="AC686" s="33"/>
      <c r="AD686" s="33"/>
      <c r="AE686" s="33"/>
      <c r="AF686" s="33"/>
      <c r="AG686" s="33"/>
      <c r="AH686" s="33"/>
      <c r="AI686" s="33"/>
      <c r="AJ686" s="33"/>
      <c r="AK686" s="33"/>
      <c r="AL686" s="33"/>
      <c r="AM686" s="33"/>
      <c r="AN686" s="33"/>
      <c r="AO686" s="33"/>
      <c r="AP686" s="33"/>
      <c r="AQ686" s="33"/>
      <c r="AR686" s="33"/>
      <c r="AS686" s="33"/>
      <c r="AT686" s="33"/>
      <c r="AU686" s="33"/>
      <c r="AV686" s="33"/>
      <c r="AW686" s="33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  <c r="BI686" s="33"/>
      <c r="BJ686" s="33"/>
      <c r="BK686" s="33"/>
      <c r="BL686" s="33"/>
      <c r="BM686" s="33"/>
      <c r="BN686" s="33"/>
      <c r="BO686" s="33"/>
      <c r="BP686" s="33"/>
      <c r="BQ686" s="33"/>
      <c r="BR686" s="33"/>
      <c r="BS686" s="33"/>
      <c r="BT686" s="33"/>
      <c r="BU686" s="33"/>
      <c r="BV686" s="33"/>
      <c r="BW686" s="33"/>
      <c r="BX686" s="33"/>
      <c r="BY686" s="33"/>
      <c r="BZ686" s="33"/>
      <c r="CA686" s="33"/>
      <c r="CB686" s="33"/>
      <c r="CC686" s="33"/>
      <c r="CD686" s="33"/>
      <c r="CE686" s="33"/>
      <c r="CF686" s="33"/>
      <c r="CG686" s="33"/>
      <c r="CH686" s="33"/>
      <c r="CI686" s="33"/>
      <c r="CJ686" s="33"/>
      <c r="CK686" s="33"/>
      <c r="CL686" s="33"/>
      <c r="CM686" s="33"/>
      <c r="CN686" s="33"/>
      <c r="CO686" s="33"/>
      <c r="CP686" s="33"/>
      <c r="CQ686" s="33"/>
      <c r="CR686" s="33"/>
      <c r="CS686" s="33"/>
      <c r="CT686" s="33"/>
      <c r="CU686" s="33"/>
      <c r="CV686" s="33"/>
      <c r="CW686" s="33"/>
      <c r="CX686" s="33"/>
      <c r="CY686" s="33"/>
      <c r="CZ686" s="33"/>
      <c r="DA686" s="33"/>
      <c r="DB686" s="33"/>
      <c r="DC686" s="33"/>
      <c r="DD686" s="33"/>
      <c r="DE686" s="33"/>
      <c r="DF686" s="33"/>
      <c r="DG686" s="33"/>
      <c r="DH686" s="33"/>
      <c r="DI686" s="33"/>
      <c r="DJ686" s="33"/>
      <c r="DK686" s="33"/>
      <c r="DL686" s="33"/>
      <c r="DM686" s="33"/>
      <c r="DN686" s="33"/>
      <c r="DO686" s="33"/>
      <c r="DP686" s="33"/>
      <c r="DQ686" s="33"/>
      <c r="DR686" s="33"/>
      <c r="DS686" s="33"/>
      <c r="DT686" s="33"/>
      <c r="DU686" s="33"/>
      <c r="DV686" s="33"/>
      <c r="DW686" s="33"/>
      <c r="DX686" s="33"/>
      <c r="DY686" s="33"/>
      <c r="DZ686" s="33"/>
      <c r="EA686" s="33"/>
      <c r="EB686" s="33"/>
      <c r="EC686" s="33"/>
      <c r="ED686" s="33"/>
      <c r="EE686" s="33"/>
      <c r="EF686" s="33"/>
      <c r="EG686" s="33"/>
      <c r="EH686" s="33"/>
      <c r="EI686" s="33"/>
      <c r="EJ686" s="33"/>
      <c r="EK686" s="33"/>
      <c r="EL686" s="33"/>
      <c r="EM686" s="33"/>
      <c r="EN686" s="33"/>
      <c r="EO686" s="33"/>
      <c r="EP686" s="33"/>
      <c r="EQ686" s="33"/>
      <c r="ER686" s="33"/>
      <c r="ES686" s="33"/>
    </row>
    <row r="687">
      <c r="A687" s="33"/>
      <c r="B687" s="33"/>
      <c r="C687" s="33"/>
      <c r="D687" s="33"/>
      <c r="E687" s="33"/>
      <c r="F687" s="33"/>
      <c r="G687" s="85"/>
      <c r="H687" s="85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33"/>
      <c r="Y687" s="33"/>
      <c r="Z687" s="33"/>
      <c r="AA687" s="33"/>
      <c r="AB687" s="33"/>
      <c r="AC687" s="33"/>
      <c r="AD687" s="33"/>
      <c r="AE687" s="33"/>
      <c r="AF687" s="33"/>
      <c r="AG687" s="33"/>
      <c r="AH687" s="33"/>
      <c r="AI687" s="33"/>
      <c r="AJ687" s="33"/>
      <c r="AK687" s="33"/>
      <c r="AL687" s="33"/>
      <c r="AM687" s="33"/>
      <c r="AN687" s="33"/>
      <c r="AO687" s="33"/>
      <c r="AP687" s="33"/>
      <c r="AQ687" s="33"/>
      <c r="AR687" s="33"/>
      <c r="AS687" s="33"/>
      <c r="AT687" s="33"/>
      <c r="AU687" s="33"/>
      <c r="AV687" s="33"/>
      <c r="AW687" s="33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  <c r="BI687" s="33"/>
      <c r="BJ687" s="33"/>
      <c r="BK687" s="33"/>
      <c r="BL687" s="33"/>
      <c r="BM687" s="33"/>
      <c r="BN687" s="33"/>
      <c r="BO687" s="33"/>
      <c r="BP687" s="33"/>
      <c r="BQ687" s="33"/>
      <c r="BR687" s="33"/>
      <c r="BS687" s="33"/>
      <c r="BT687" s="33"/>
      <c r="BU687" s="33"/>
      <c r="BV687" s="33"/>
      <c r="BW687" s="33"/>
      <c r="BX687" s="33"/>
      <c r="BY687" s="33"/>
      <c r="BZ687" s="33"/>
      <c r="CA687" s="33"/>
      <c r="CB687" s="33"/>
      <c r="CC687" s="33"/>
      <c r="CD687" s="33"/>
      <c r="CE687" s="33"/>
      <c r="CF687" s="33"/>
      <c r="CG687" s="33"/>
      <c r="CH687" s="33"/>
      <c r="CI687" s="33"/>
      <c r="CJ687" s="33"/>
      <c r="CK687" s="33"/>
      <c r="CL687" s="33"/>
      <c r="CM687" s="33"/>
      <c r="CN687" s="33"/>
      <c r="CO687" s="33"/>
      <c r="CP687" s="33"/>
      <c r="CQ687" s="33"/>
      <c r="CR687" s="33"/>
      <c r="CS687" s="33"/>
      <c r="CT687" s="33"/>
      <c r="CU687" s="33"/>
      <c r="CV687" s="33"/>
      <c r="CW687" s="33"/>
      <c r="CX687" s="33"/>
      <c r="CY687" s="33"/>
      <c r="CZ687" s="33"/>
      <c r="DA687" s="33"/>
      <c r="DB687" s="33"/>
      <c r="DC687" s="33"/>
      <c r="DD687" s="33"/>
      <c r="DE687" s="33"/>
      <c r="DF687" s="33"/>
      <c r="DG687" s="33"/>
      <c r="DH687" s="33"/>
      <c r="DI687" s="33"/>
      <c r="DJ687" s="33"/>
      <c r="DK687" s="33"/>
      <c r="DL687" s="33"/>
      <c r="DM687" s="33"/>
      <c r="DN687" s="33"/>
      <c r="DO687" s="33"/>
      <c r="DP687" s="33"/>
      <c r="DQ687" s="33"/>
      <c r="DR687" s="33"/>
      <c r="DS687" s="33"/>
      <c r="DT687" s="33"/>
      <c r="DU687" s="33"/>
      <c r="DV687" s="33"/>
      <c r="DW687" s="33"/>
      <c r="DX687" s="33"/>
      <c r="DY687" s="33"/>
      <c r="DZ687" s="33"/>
      <c r="EA687" s="33"/>
      <c r="EB687" s="33"/>
      <c r="EC687" s="33"/>
      <c r="ED687" s="33"/>
      <c r="EE687" s="33"/>
      <c r="EF687" s="33"/>
      <c r="EG687" s="33"/>
      <c r="EH687" s="33"/>
      <c r="EI687" s="33"/>
      <c r="EJ687" s="33"/>
      <c r="EK687" s="33"/>
      <c r="EL687" s="33"/>
      <c r="EM687" s="33"/>
      <c r="EN687" s="33"/>
      <c r="EO687" s="33"/>
      <c r="EP687" s="33"/>
      <c r="EQ687" s="33"/>
      <c r="ER687" s="33"/>
      <c r="ES687" s="33"/>
    </row>
    <row r="688">
      <c r="A688" s="33"/>
      <c r="B688" s="33"/>
      <c r="C688" s="33"/>
      <c r="D688" s="33"/>
      <c r="E688" s="33"/>
      <c r="F688" s="33"/>
      <c r="G688" s="85"/>
      <c r="H688" s="85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33"/>
      <c r="Y688" s="33"/>
      <c r="Z688" s="33"/>
      <c r="AA688" s="33"/>
      <c r="AB688" s="33"/>
      <c r="AC688" s="33"/>
      <c r="AD688" s="33"/>
      <c r="AE688" s="33"/>
      <c r="AF688" s="33"/>
      <c r="AG688" s="33"/>
      <c r="AH688" s="33"/>
      <c r="AI688" s="33"/>
      <c r="AJ688" s="33"/>
      <c r="AK688" s="33"/>
      <c r="AL688" s="33"/>
      <c r="AM688" s="33"/>
      <c r="AN688" s="33"/>
      <c r="AO688" s="33"/>
      <c r="AP688" s="33"/>
      <c r="AQ688" s="33"/>
      <c r="AR688" s="33"/>
      <c r="AS688" s="33"/>
      <c r="AT688" s="33"/>
      <c r="AU688" s="33"/>
      <c r="AV688" s="33"/>
      <c r="AW688" s="33"/>
      <c r="AX688" s="33"/>
      <c r="AY688" s="33"/>
      <c r="AZ688" s="33"/>
      <c r="BA688" s="33"/>
      <c r="BB688" s="33"/>
      <c r="BC688" s="33"/>
      <c r="BD688" s="33"/>
      <c r="BE688" s="33"/>
      <c r="BF688" s="33"/>
      <c r="BG688" s="33"/>
      <c r="BH688" s="33"/>
      <c r="BI688" s="33"/>
      <c r="BJ688" s="33"/>
      <c r="BK688" s="33"/>
      <c r="BL688" s="33"/>
      <c r="BM688" s="33"/>
      <c r="BN688" s="33"/>
      <c r="BO688" s="33"/>
      <c r="BP688" s="33"/>
      <c r="BQ688" s="33"/>
      <c r="BR688" s="33"/>
      <c r="BS688" s="33"/>
      <c r="BT688" s="33"/>
      <c r="BU688" s="33"/>
      <c r="BV688" s="33"/>
      <c r="BW688" s="33"/>
      <c r="BX688" s="33"/>
      <c r="BY688" s="33"/>
      <c r="BZ688" s="33"/>
      <c r="CA688" s="33"/>
      <c r="CB688" s="33"/>
      <c r="CC688" s="33"/>
      <c r="CD688" s="33"/>
      <c r="CE688" s="33"/>
      <c r="CF688" s="33"/>
      <c r="CG688" s="33"/>
      <c r="CH688" s="33"/>
      <c r="CI688" s="33"/>
      <c r="CJ688" s="33"/>
      <c r="CK688" s="33"/>
      <c r="CL688" s="33"/>
      <c r="CM688" s="33"/>
      <c r="CN688" s="33"/>
      <c r="CO688" s="33"/>
      <c r="CP688" s="33"/>
      <c r="CQ688" s="33"/>
      <c r="CR688" s="33"/>
      <c r="CS688" s="33"/>
      <c r="CT688" s="33"/>
      <c r="CU688" s="33"/>
      <c r="CV688" s="33"/>
      <c r="CW688" s="33"/>
      <c r="CX688" s="33"/>
      <c r="CY688" s="33"/>
      <c r="CZ688" s="33"/>
      <c r="DA688" s="33"/>
      <c r="DB688" s="33"/>
      <c r="DC688" s="33"/>
      <c r="DD688" s="33"/>
      <c r="DE688" s="33"/>
      <c r="DF688" s="33"/>
      <c r="DG688" s="33"/>
      <c r="DH688" s="33"/>
      <c r="DI688" s="33"/>
      <c r="DJ688" s="33"/>
      <c r="DK688" s="33"/>
      <c r="DL688" s="33"/>
      <c r="DM688" s="33"/>
      <c r="DN688" s="33"/>
      <c r="DO688" s="33"/>
      <c r="DP688" s="33"/>
      <c r="DQ688" s="33"/>
      <c r="DR688" s="33"/>
      <c r="DS688" s="33"/>
      <c r="DT688" s="33"/>
      <c r="DU688" s="33"/>
      <c r="DV688" s="33"/>
      <c r="DW688" s="33"/>
      <c r="DX688" s="33"/>
      <c r="DY688" s="33"/>
      <c r="DZ688" s="33"/>
      <c r="EA688" s="33"/>
      <c r="EB688" s="33"/>
      <c r="EC688" s="33"/>
      <c r="ED688" s="33"/>
      <c r="EE688" s="33"/>
      <c r="EF688" s="33"/>
      <c r="EG688" s="33"/>
      <c r="EH688" s="33"/>
      <c r="EI688" s="33"/>
      <c r="EJ688" s="33"/>
      <c r="EK688" s="33"/>
      <c r="EL688" s="33"/>
      <c r="EM688" s="33"/>
      <c r="EN688" s="33"/>
      <c r="EO688" s="33"/>
      <c r="EP688" s="33"/>
      <c r="EQ688" s="33"/>
      <c r="ER688" s="33"/>
      <c r="ES688" s="33"/>
    </row>
    <row r="689">
      <c r="A689" s="33"/>
      <c r="B689" s="33"/>
      <c r="C689" s="33"/>
      <c r="D689" s="33"/>
      <c r="E689" s="33"/>
      <c r="F689" s="33"/>
      <c r="G689" s="85"/>
      <c r="H689" s="85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33"/>
      <c r="Y689" s="33"/>
      <c r="Z689" s="33"/>
      <c r="AA689" s="33"/>
      <c r="AB689" s="33"/>
      <c r="AC689" s="33"/>
      <c r="AD689" s="33"/>
      <c r="AE689" s="33"/>
      <c r="AF689" s="33"/>
      <c r="AG689" s="33"/>
      <c r="AH689" s="33"/>
      <c r="AI689" s="33"/>
      <c r="AJ689" s="33"/>
      <c r="AK689" s="33"/>
      <c r="AL689" s="33"/>
      <c r="AM689" s="33"/>
      <c r="AN689" s="33"/>
      <c r="AO689" s="33"/>
      <c r="AP689" s="33"/>
      <c r="AQ689" s="33"/>
      <c r="AR689" s="33"/>
      <c r="AS689" s="33"/>
      <c r="AT689" s="33"/>
      <c r="AU689" s="33"/>
      <c r="AV689" s="33"/>
      <c r="AW689" s="33"/>
      <c r="AX689" s="33"/>
      <c r="AY689" s="33"/>
      <c r="AZ689" s="33"/>
      <c r="BA689" s="33"/>
      <c r="BB689" s="33"/>
      <c r="BC689" s="33"/>
      <c r="BD689" s="33"/>
      <c r="BE689" s="33"/>
      <c r="BF689" s="33"/>
      <c r="BG689" s="33"/>
      <c r="BH689" s="33"/>
      <c r="BI689" s="33"/>
      <c r="BJ689" s="33"/>
      <c r="BK689" s="33"/>
      <c r="BL689" s="33"/>
      <c r="BM689" s="33"/>
      <c r="BN689" s="33"/>
      <c r="BO689" s="33"/>
      <c r="BP689" s="33"/>
      <c r="BQ689" s="33"/>
      <c r="BR689" s="33"/>
      <c r="BS689" s="33"/>
      <c r="BT689" s="33"/>
      <c r="BU689" s="33"/>
      <c r="BV689" s="33"/>
      <c r="BW689" s="33"/>
      <c r="BX689" s="33"/>
      <c r="BY689" s="33"/>
      <c r="BZ689" s="33"/>
      <c r="CA689" s="33"/>
      <c r="CB689" s="33"/>
      <c r="CC689" s="33"/>
      <c r="CD689" s="33"/>
      <c r="CE689" s="33"/>
      <c r="CF689" s="33"/>
      <c r="CG689" s="33"/>
      <c r="CH689" s="33"/>
      <c r="CI689" s="33"/>
      <c r="CJ689" s="33"/>
      <c r="CK689" s="33"/>
      <c r="CL689" s="33"/>
      <c r="CM689" s="33"/>
      <c r="CN689" s="33"/>
      <c r="CO689" s="33"/>
      <c r="CP689" s="33"/>
      <c r="CQ689" s="33"/>
      <c r="CR689" s="33"/>
      <c r="CS689" s="33"/>
      <c r="CT689" s="33"/>
      <c r="CU689" s="33"/>
      <c r="CV689" s="33"/>
      <c r="CW689" s="33"/>
      <c r="CX689" s="33"/>
      <c r="CY689" s="33"/>
      <c r="CZ689" s="33"/>
      <c r="DA689" s="33"/>
      <c r="DB689" s="33"/>
      <c r="DC689" s="33"/>
      <c r="DD689" s="33"/>
      <c r="DE689" s="33"/>
      <c r="DF689" s="33"/>
      <c r="DG689" s="33"/>
      <c r="DH689" s="33"/>
      <c r="DI689" s="33"/>
      <c r="DJ689" s="33"/>
      <c r="DK689" s="33"/>
      <c r="DL689" s="33"/>
      <c r="DM689" s="33"/>
      <c r="DN689" s="33"/>
      <c r="DO689" s="33"/>
      <c r="DP689" s="33"/>
      <c r="DQ689" s="33"/>
      <c r="DR689" s="33"/>
      <c r="DS689" s="33"/>
      <c r="DT689" s="33"/>
      <c r="DU689" s="33"/>
      <c r="DV689" s="33"/>
      <c r="DW689" s="33"/>
      <c r="DX689" s="33"/>
      <c r="DY689" s="33"/>
      <c r="DZ689" s="33"/>
      <c r="EA689" s="33"/>
      <c r="EB689" s="33"/>
      <c r="EC689" s="33"/>
      <c r="ED689" s="33"/>
      <c r="EE689" s="33"/>
      <c r="EF689" s="33"/>
      <c r="EG689" s="33"/>
      <c r="EH689" s="33"/>
      <c r="EI689" s="33"/>
      <c r="EJ689" s="33"/>
      <c r="EK689" s="33"/>
      <c r="EL689" s="33"/>
      <c r="EM689" s="33"/>
      <c r="EN689" s="33"/>
      <c r="EO689" s="33"/>
      <c r="EP689" s="33"/>
      <c r="EQ689" s="33"/>
      <c r="ER689" s="33"/>
      <c r="ES689" s="33"/>
    </row>
    <row r="690">
      <c r="A690" s="33"/>
      <c r="B690" s="33"/>
      <c r="C690" s="33"/>
      <c r="D690" s="33"/>
      <c r="E690" s="33"/>
      <c r="F690" s="33"/>
      <c r="G690" s="85"/>
      <c r="H690" s="85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33"/>
      <c r="Y690" s="33"/>
      <c r="Z690" s="33"/>
      <c r="AA690" s="33"/>
      <c r="AB690" s="33"/>
      <c r="AC690" s="33"/>
      <c r="AD690" s="33"/>
      <c r="AE690" s="33"/>
      <c r="AF690" s="33"/>
      <c r="AG690" s="33"/>
      <c r="AH690" s="33"/>
      <c r="AI690" s="33"/>
      <c r="AJ690" s="33"/>
      <c r="AK690" s="33"/>
      <c r="AL690" s="33"/>
      <c r="AM690" s="33"/>
      <c r="AN690" s="33"/>
      <c r="AO690" s="33"/>
      <c r="AP690" s="33"/>
      <c r="AQ690" s="33"/>
      <c r="AR690" s="33"/>
      <c r="AS690" s="33"/>
      <c r="AT690" s="33"/>
      <c r="AU690" s="33"/>
      <c r="AV690" s="33"/>
      <c r="AW690" s="33"/>
      <c r="AX690" s="33"/>
      <c r="AY690" s="33"/>
      <c r="AZ690" s="33"/>
      <c r="BA690" s="33"/>
      <c r="BB690" s="33"/>
      <c r="BC690" s="33"/>
      <c r="BD690" s="33"/>
      <c r="BE690" s="33"/>
      <c r="BF690" s="33"/>
      <c r="BG690" s="33"/>
      <c r="BH690" s="33"/>
      <c r="BI690" s="33"/>
      <c r="BJ690" s="33"/>
      <c r="BK690" s="33"/>
      <c r="BL690" s="33"/>
      <c r="BM690" s="33"/>
      <c r="BN690" s="33"/>
      <c r="BO690" s="33"/>
      <c r="BP690" s="33"/>
      <c r="BQ690" s="33"/>
      <c r="BR690" s="33"/>
      <c r="BS690" s="33"/>
      <c r="BT690" s="33"/>
      <c r="BU690" s="33"/>
      <c r="BV690" s="33"/>
      <c r="BW690" s="33"/>
      <c r="BX690" s="33"/>
      <c r="BY690" s="33"/>
      <c r="BZ690" s="33"/>
      <c r="CA690" s="33"/>
      <c r="CB690" s="33"/>
      <c r="CC690" s="33"/>
      <c r="CD690" s="33"/>
      <c r="CE690" s="33"/>
      <c r="CF690" s="33"/>
      <c r="CG690" s="33"/>
      <c r="CH690" s="33"/>
      <c r="CI690" s="33"/>
      <c r="CJ690" s="33"/>
      <c r="CK690" s="33"/>
      <c r="CL690" s="33"/>
      <c r="CM690" s="33"/>
      <c r="CN690" s="33"/>
      <c r="CO690" s="33"/>
      <c r="CP690" s="33"/>
      <c r="CQ690" s="33"/>
      <c r="CR690" s="33"/>
      <c r="CS690" s="33"/>
      <c r="CT690" s="33"/>
      <c r="CU690" s="33"/>
      <c r="CV690" s="33"/>
      <c r="CW690" s="33"/>
      <c r="CX690" s="33"/>
      <c r="CY690" s="33"/>
      <c r="CZ690" s="33"/>
      <c r="DA690" s="33"/>
      <c r="DB690" s="33"/>
      <c r="DC690" s="33"/>
      <c r="DD690" s="33"/>
      <c r="DE690" s="33"/>
      <c r="DF690" s="33"/>
      <c r="DG690" s="33"/>
      <c r="DH690" s="33"/>
      <c r="DI690" s="33"/>
      <c r="DJ690" s="33"/>
      <c r="DK690" s="33"/>
      <c r="DL690" s="33"/>
      <c r="DM690" s="33"/>
      <c r="DN690" s="33"/>
      <c r="DO690" s="33"/>
      <c r="DP690" s="33"/>
      <c r="DQ690" s="33"/>
      <c r="DR690" s="33"/>
      <c r="DS690" s="33"/>
      <c r="DT690" s="33"/>
      <c r="DU690" s="33"/>
      <c r="DV690" s="33"/>
      <c r="DW690" s="33"/>
      <c r="DX690" s="33"/>
      <c r="DY690" s="33"/>
      <c r="DZ690" s="33"/>
      <c r="EA690" s="33"/>
      <c r="EB690" s="33"/>
      <c r="EC690" s="33"/>
      <c r="ED690" s="33"/>
      <c r="EE690" s="33"/>
      <c r="EF690" s="33"/>
      <c r="EG690" s="33"/>
      <c r="EH690" s="33"/>
      <c r="EI690" s="33"/>
      <c r="EJ690" s="33"/>
      <c r="EK690" s="33"/>
      <c r="EL690" s="33"/>
      <c r="EM690" s="33"/>
      <c r="EN690" s="33"/>
      <c r="EO690" s="33"/>
      <c r="EP690" s="33"/>
      <c r="EQ690" s="33"/>
      <c r="ER690" s="33"/>
      <c r="ES690" s="33"/>
    </row>
    <row r="691">
      <c r="A691" s="33"/>
      <c r="B691" s="33"/>
      <c r="C691" s="33"/>
      <c r="D691" s="33"/>
      <c r="E691" s="33"/>
      <c r="F691" s="33"/>
      <c r="G691" s="85"/>
      <c r="H691" s="85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33"/>
      <c r="Y691" s="33"/>
      <c r="Z691" s="33"/>
      <c r="AA691" s="33"/>
      <c r="AB691" s="33"/>
      <c r="AC691" s="33"/>
      <c r="AD691" s="33"/>
      <c r="AE691" s="33"/>
      <c r="AF691" s="33"/>
      <c r="AG691" s="33"/>
      <c r="AH691" s="33"/>
      <c r="AI691" s="33"/>
      <c r="AJ691" s="33"/>
      <c r="AK691" s="33"/>
      <c r="AL691" s="33"/>
      <c r="AM691" s="33"/>
      <c r="AN691" s="33"/>
      <c r="AO691" s="33"/>
      <c r="AP691" s="33"/>
      <c r="AQ691" s="33"/>
      <c r="AR691" s="33"/>
      <c r="AS691" s="33"/>
      <c r="AT691" s="33"/>
      <c r="AU691" s="33"/>
      <c r="AV691" s="33"/>
      <c r="AW691" s="33"/>
      <c r="AX691" s="33"/>
      <c r="AY691" s="33"/>
      <c r="AZ691" s="33"/>
      <c r="BA691" s="33"/>
      <c r="BB691" s="33"/>
      <c r="BC691" s="33"/>
      <c r="BD691" s="33"/>
      <c r="BE691" s="33"/>
      <c r="BF691" s="33"/>
      <c r="BG691" s="33"/>
      <c r="BH691" s="33"/>
      <c r="BI691" s="33"/>
      <c r="BJ691" s="33"/>
      <c r="BK691" s="33"/>
      <c r="BL691" s="33"/>
      <c r="BM691" s="33"/>
      <c r="BN691" s="33"/>
      <c r="BO691" s="33"/>
      <c r="BP691" s="33"/>
      <c r="BQ691" s="33"/>
      <c r="BR691" s="33"/>
      <c r="BS691" s="33"/>
      <c r="BT691" s="33"/>
      <c r="BU691" s="33"/>
      <c r="BV691" s="33"/>
      <c r="BW691" s="33"/>
      <c r="BX691" s="33"/>
      <c r="BY691" s="33"/>
      <c r="BZ691" s="33"/>
      <c r="CA691" s="33"/>
      <c r="CB691" s="33"/>
      <c r="CC691" s="33"/>
      <c r="CD691" s="33"/>
      <c r="CE691" s="33"/>
      <c r="CF691" s="33"/>
      <c r="CG691" s="33"/>
      <c r="CH691" s="33"/>
      <c r="CI691" s="33"/>
      <c r="CJ691" s="33"/>
      <c r="CK691" s="33"/>
      <c r="CL691" s="33"/>
      <c r="CM691" s="33"/>
      <c r="CN691" s="33"/>
      <c r="CO691" s="33"/>
      <c r="CP691" s="33"/>
      <c r="CQ691" s="33"/>
      <c r="CR691" s="33"/>
      <c r="CS691" s="33"/>
      <c r="CT691" s="33"/>
      <c r="CU691" s="33"/>
      <c r="CV691" s="33"/>
      <c r="CW691" s="33"/>
      <c r="CX691" s="33"/>
      <c r="CY691" s="33"/>
      <c r="CZ691" s="33"/>
      <c r="DA691" s="33"/>
      <c r="DB691" s="33"/>
      <c r="DC691" s="33"/>
      <c r="DD691" s="33"/>
      <c r="DE691" s="33"/>
      <c r="DF691" s="33"/>
      <c r="DG691" s="33"/>
      <c r="DH691" s="33"/>
      <c r="DI691" s="33"/>
      <c r="DJ691" s="33"/>
      <c r="DK691" s="33"/>
      <c r="DL691" s="33"/>
      <c r="DM691" s="33"/>
      <c r="DN691" s="33"/>
      <c r="DO691" s="33"/>
      <c r="DP691" s="33"/>
      <c r="DQ691" s="33"/>
      <c r="DR691" s="33"/>
      <c r="DS691" s="33"/>
      <c r="DT691" s="33"/>
      <c r="DU691" s="33"/>
      <c r="DV691" s="33"/>
      <c r="DW691" s="33"/>
      <c r="DX691" s="33"/>
      <c r="DY691" s="33"/>
      <c r="DZ691" s="33"/>
      <c r="EA691" s="33"/>
      <c r="EB691" s="33"/>
      <c r="EC691" s="33"/>
      <c r="ED691" s="33"/>
      <c r="EE691" s="33"/>
      <c r="EF691" s="33"/>
      <c r="EG691" s="33"/>
      <c r="EH691" s="33"/>
      <c r="EI691" s="33"/>
      <c r="EJ691" s="33"/>
      <c r="EK691" s="33"/>
      <c r="EL691" s="33"/>
      <c r="EM691" s="33"/>
      <c r="EN691" s="33"/>
      <c r="EO691" s="33"/>
      <c r="EP691" s="33"/>
      <c r="EQ691" s="33"/>
      <c r="ER691" s="33"/>
      <c r="ES691" s="33"/>
    </row>
    <row r="692">
      <c r="A692" s="33"/>
      <c r="B692" s="33"/>
      <c r="C692" s="33"/>
      <c r="D692" s="33"/>
      <c r="E692" s="33"/>
      <c r="F692" s="33"/>
      <c r="G692" s="85"/>
      <c r="H692" s="85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33"/>
      <c r="Y692" s="33"/>
      <c r="Z692" s="33"/>
      <c r="AA692" s="33"/>
      <c r="AB692" s="33"/>
      <c r="AC692" s="33"/>
      <c r="AD692" s="33"/>
      <c r="AE692" s="33"/>
      <c r="AF692" s="33"/>
      <c r="AG692" s="33"/>
      <c r="AH692" s="33"/>
      <c r="AI692" s="33"/>
      <c r="AJ692" s="33"/>
      <c r="AK692" s="33"/>
      <c r="AL692" s="33"/>
      <c r="AM692" s="33"/>
      <c r="AN692" s="33"/>
      <c r="AO692" s="33"/>
      <c r="AP692" s="33"/>
      <c r="AQ692" s="33"/>
      <c r="AR692" s="33"/>
      <c r="AS692" s="33"/>
      <c r="AT692" s="33"/>
      <c r="AU692" s="33"/>
      <c r="AV692" s="33"/>
      <c r="AW692" s="33"/>
      <c r="AX692" s="33"/>
      <c r="AY692" s="33"/>
      <c r="AZ692" s="33"/>
      <c r="BA692" s="33"/>
      <c r="BB692" s="33"/>
      <c r="BC692" s="33"/>
      <c r="BD692" s="33"/>
      <c r="BE692" s="33"/>
      <c r="BF692" s="33"/>
      <c r="BG692" s="33"/>
      <c r="BH692" s="33"/>
      <c r="BI692" s="33"/>
      <c r="BJ692" s="33"/>
      <c r="BK692" s="33"/>
      <c r="BL692" s="33"/>
      <c r="BM692" s="33"/>
      <c r="BN692" s="33"/>
      <c r="BO692" s="33"/>
      <c r="BP692" s="33"/>
      <c r="BQ692" s="33"/>
      <c r="BR692" s="33"/>
      <c r="BS692" s="33"/>
      <c r="BT692" s="33"/>
      <c r="BU692" s="33"/>
      <c r="BV692" s="33"/>
      <c r="BW692" s="33"/>
      <c r="BX692" s="33"/>
      <c r="BY692" s="33"/>
      <c r="BZ692" s="33"/>
      <c r="CA692" s="33"/>
      <c r="CB692" s="33"/>
      <c r="CC692" s="33"/>
      <c r="CD692" s="33"/>
      <c r="CE692" s="33"/>
      <c r="CF692" s="33"/>
      <c r="CG692" s="33"/>
      <c r="CH692" s="33"/>
      <c r="CI692" s="33"/>
      <c r="CJ692" s="33"/>
      <c r="CK692" s="33"/>
      <c r="CL692" s="33"/>
      <c r="CM692" s="33"/>
      <c r="CN692" s="33"/>
      <c r="CO692" s="33"/>
      <c r="CP692" s="33"/>
      <c r="CQ692" s="33"/>
      <c r="CR692" s="33"/>
      <c r="CS692" s="33"/>
      <c r="CT692" s="33"/>
      <c r="CU692" s="33"/>
      <c r="CV692" s="33"/>
      <c r="CW692" s="33"/>
      <c r="CX692" s="33"/>
      <c r="CY692" s="33"/>
      <c r="CZ692" s="33"/>
      <c r="DA692" s="33"/>
      <c r="DB692" s="33"/>
      <c r="DC692" s="33"/>
      <c r="DD692" s="33"/>
      <c r="DE692" s="33"/>
      <c r="DF692" s="33"/>
      <c r="DG692" s="33"/>
      <c r="DH692" s="33"/>
      <c r="DI692" s="33"/>
      <c r="DJ692" s="33"/>
      <c r="DK692" s="33"/>
      <c r="DL692" s="33"/>
      <c r="DM692" s="33"/>
      <c r="DN692" s="33"/>
      <c r="DO692" s="33"/>
      <c r="DP692" s="33"/>
      <c r="DQ692" s="33"/>
      <c r="DR692" s="33"/>
      <c r="DS692" s="33"/>
      <c r="DT692" s="33"/>
      <c r="DU692" s="33"/>
      <c r="DV692" s="33"/>
      <c r="DW692" s="33"/>
      <c r="DX692" s="33"/>
      <c r="DY692" s="33"/>
      <c r="DZ692" s="33"/>
      <c r="EA692" s="33"/>
      <c r="EB692" s="33"/>
      <c r="EC692" s="33"/>
      <c r="ED692" s="33"/>
      <c r="EE692" s="33"/>
      <c r="EF692" s="33"/>
      <c r="EG692" s="33"/>
      <c r="EH692" s="33"/>
      <c r="EI692" s="33"/>
      <c r="EJ692" s="33"/>
      <c r="EK692" s="33"/>
      <c r="EL692" s="33"/>
      <c r="EM692" s="33"/>
      <c r="EN692" s="33"/>
      <c r="EO692" s="33"/>
      <c r="EP692" s="33"/>
      <c r="EQ692" s="33"/>
      <c r="ER692" s="33"/>
      <c r="ES692" s="33"/>
    </row>
    <row r="693">
      <c r="A693" s="33"/>
      <c r="B693" s="33"/>
      <c r="C693" s="33"/>
      <c r="D693" s="33"/>
      <c r="E693" s="33"/>
      <c r="F693" s="33"/>
      <c r="G693" s="85"/>
      <c r="H693" s="85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33"/>
      <c r="Y693" s="33"/>
      <c r="Z693" s="33"/>
      <c r="AA693" s="33"/>
      <c r="AB693" s="33"/>
      <c r="AC693" s="33"/>
      <c r="AD693" s="33"/>
      <c r="AE693" s="33"/>
      <c r="AF693" s="33"/>
      <c r="AG693" s="33"/>
      <c r="AH693" s="33"/>
      <c r="AI693" s="33"/>
      <c r="AJ693" s="33"/>
      <c r="AK693" s="33"/>
      <c r="AL693" s="33"/>
      <c r="AM693" s="33"/>
      <c r="AN693" s="33"/>
      <c r="AO693" s="33"/>
      <c r="AP693" s="33"/>
      <c r="AQ693" s="33"/>
      <c r="AR693" s="33"/>
      <c r="AS693" s="33"/>
      <c r="AT693" s="33"/>
      <c r="AU693" s="33"/>
      <c r="AV693" s="33"/>
      <c r="AW693" s="33"/>
      <c r="AX693" s="33"/>
      <c r="AY693" s="33"/>
      <c r="AZ693" s="33"/>
      <c r="BA693" s="33"/>
      <c r="BB693" s="33"/>
      <c r="BC693" s="33"/>
      <c r="BD693" s="33"/>
      <c r="BE693" s="33"/>
      <c r="BF693" s="33"/>
      <c r="BG693" s="33"/>
      <c r="BH693" s="33"/>
      <c r="BI693" s="33"/>
      <c r="BJ693" s="33"/>
      <c r="BK693" s="33"/>
      <c r="BL693" s="33"/>
      <c r="BM693" s="33"/>
      <c r="BN693" s="33"/>
      <c r="BO693" s="33"/>
      <c r="BP693" s="33"/>
      <c r="BQ693" s="33"/>
      <c r="BR693" s="33"/>
      <c r="BS693" s="33"/>
      <c r="BT693" s="33"/>
      <c r="BU693" s="33"/>
      <c r="BV693" s="33"/>
      <c r="BW693" s="33"/>
      <c r="BX693" s="33"/>
      <c r="BY693" s="33"/>
      <c r="BZ693" s="33"/>
      <c r="CA693" s="33"/>
      <c r="CB693" s="33"/>
      <c r="CC693" s="33"/>
      <c r="CD693" s="33"/>
      <c r="CE693" s="33"/>
      <c r="CF693" s="33"/>
      <c r="CG693" s="33"/>
      <c r="CH693" s="33"/>
      <c r="CI693" s="33"/>
      <c r="CJ693" s="33"/>
      <c r="CK693" s="33"/>
      <c r="CL693" s="33"/>
      <c r="CM693" s="33"/>
      <c r="CN693" s="33"/>
      <c r="CO693" s="33"/>
      <c r="CP693" s="33"/>
      <c r="CQ693" s="33"/>
      <c r="CR693" s="33"/>
      <c r="CS693" s="33"/>
      <c r="CT693" s="33"/>
      <c r="CU693" s="33"/>
      <c r="CV693" s="33"/>
      <c r="CW693" s="33"/>
      <c r="CX693" s="33"/>
      <c r="CY693" s="33"/>
      <c r="CZ693" s="33"/>
      <c r="DA693" s="33"/>
      <c r="DB693" s="33"/>
      <c r="DC693" s="33"/>
      <c r="DD693" s="33"/>
      <c r="DE693" s="33"/>
      <c r="DF693" s="33"/>
      <c r="DG693" s="33"/>
      <c r="DH693" s="33"/>
      <c r="DI693" s="33"/>
      <c r="DJ693" s="33"/>
      <c r="DK693" s="33"/>
      <c r="DL693" s="33"/>
      <c r="DM693" s="33"/>
      <c r="DN693" s="33"/>
      <c r="DO693" s="33"/>
      <c r="DP693" s="33"/>
      <c r="DQ693" s="33"/>
      <c r="DR693" s="33"/>
      <c r="DS693" s="33"/>
      <c r="DT693" s="33"/>
      <c r="DU693" s="33"/>
      <c r="DV693" s="33"/>
      <c r="DW693" s="33"/>
      <c r="DX693" s="33"/>
      <c r="DY693" s="33"/>
      <c r="DZ693" s="33"/>
      <c r="EA693" s="33"/>
      <c r="EB693" s="33"/>
      <c r="EC693" s="33"/>
      <c r="ED693" s="33"/>
      <c r="EE693" s="33"/>
      <c r="EF693" s="33"/>
      <c r="EG693" s="33"/>
      <c r="EH693" s="33"/>
      <c r="EI693" s="33"/>
      <c r="EJ693" s="33"/>
      <c r="EK693" s="33"/>
      <c r="EL693" s="33"/>
      <c r="EM693" s="33"/>
      <c r="EN693" s="33"/>
      <c r="EO693" s="33"/>
      <c r="EP693" s="33"/>
      <c r="EQ693" s="33"/>
      <c r="ER693" s="33"/>
      <c r="ES693" s="33"/>
    </row>
    <row r="694">
      <c r="A694" s="33"/>
      <c r="B694" s="33"/>
      <c r="C694" s="33"/>
      <c r="D694" s="33"/>
      <c r="E694" s="33"/>
      <c r="F694" s="33"/>
      <c r="G694" s="85"/>
      <c r="H694" s="85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33"/>
      <c r="Y694" s="33"/>
      <c r="Z694" s="33"/>
      <c r="AA694" s="33"/>
      <c r="AB694" s="33"/>
      <c r="AC694" s="33"/>
      <c r="AD694" s="33"/>
      <c r="AE694" s="33"/>
      <c r="AF694" s="33"/>
      <c r="AG694" s="33"/>
      <c r="AH694" s="33"/>
      <c r="AI694" s="33"/>
      <c r="AJ694" s="33"/>
      <c r="AK694" s="33"/>
      <c r="AL694" s="33"/>
      <c r="AM694" s="33"/>
      <c r="AN694" s="33"/>
      <c r="AO694" s="33"/>
      <c r="AP694" s="33"/>
      <c r="AQ694" s="33"/>
      <c r="AR694" s="33"/>
      <c r="AS694" s="33"/>
      <c r="AT694" s="33"/>
      <c r="AU694" s="33"/>
      <c r="AV694" s="33"/>
      <c r="AW694" s="33"/>
      <c r="AX694" s="33"/>
      <c r="AY694" s="33"/>
      <c r="AZ694" s="33"/>
      <c r="BA694" s="33"/>
      <c r="BB694" s="33"/>
      <c r="BC694" s="33"/>
      <c r="BD694" s="33"/>
      <c r="BE694" s="33"/>
      <c r="BF694" s="33"/>
      <c r="BG694" s="33"/>
      <c r="BH694" s="33"/>
      <c r="BI694" s="33"/>
      <c r="BJ694" s="33"/>
      <c r="BK694" s="33"/>
      <c r="BL694" s="33"/>
      <c r="BM694" s="33"/>
      <c r="BN694" s="33"/>
      <c r="BO694" s="33"/>
      <c r="BP694" s="33"/>
      <c r="BQ694" s="33"/>
      <c r="BR694" s="33"/>
      <c r="BS694" s="33"/>
      <c r="BT694" s="33"/>
      <c r="BU694" s="33"/>
      <c r="BV694" s="33"/>
      <c r="BW694" s="33"/>
      <c r="BX694" s="33"/>
      <c r="BY694" s="33"/>
      <c r="BZ694" s="33"/>
      <c r="CA694" s="33"/>
      <c r="CB694" s="33"/>
      <c r="CC694" s="33"/>
      <c r="CD694" s="33"/>
      <c r="CE694" s="33"/>
      <c r="CF694" s="33"/>
      <c r="CG694" s="33"/>
      <c r="CH694" s="33"/>
      <c r="CI694" s="33"/>
      <c r="CJ694" s="33"/>
      <c r="CK694" s="33"/>
      <c r="CL694" s="33"/>
      <c r="CM694" s="33"/>
      <c r="CN694" s="33"/>
      <c r="CO694" s="33"/>
      <c r="CP694" s="33"/>
      <c r="CQ694" s="33"/>
      <c r="CR694" s="33"/>
      <c r="CS694" s="33"/>
      <c r="CT694" s="33"/>
      <c r="CU694" s="33"/>
      <c r="CV694" s="33"/>
      <c r="CW694" s="33"/>
      <c r="CX694" s="33"/>
      <c r="CY694" s="33"/>
      <c r="CZ694" s="33"/>
      <c r="DA694" s="33"/>
      <c r="DB694" s="33"/>
      <c r="DC694" s="33"/>
      <c r="DD694" s="33"/>
      <c r="DE694" s="33"/>
      <c r="DF694" s="33"/>
      <c r="DG694" s="33"/>
      <c r="DH694" s="33"/>
      <c r="DI694" s="33"/>
      <c r="DJ694" s="33"/>
      <c r="DK694" s="33"/>
      <c r="DL694" s="33"/>
      <c r="DM694" s="33"/>
      <c r="DN694" s="33"/>
      <c r="DO694" s="33"/>
      <c r="DP694" s="33"/>
      <c r="DQ694" s="33"/>
      <c r="DR694" s="33"/>
      <c r="DS694" s="33"/>
      <c r="DT694" s="33"/>
      <c r="DU694" s="33"/>
      <c r="DV694" s="33"/>
      <c r="DW694" s="33"/>
      <c r="DX694" s="33"/>
      <c r="DY694" s="33"/>
      <c r="DZ694" s="33"/>
      <c r="EA694" s="33"/>
      <c r="EB694" s="33"/>
      <c r="EC694" s="33"/>
      <c r="ED694" s="33"/>
      <c r="EE694" s="33"/>
      <c r="EF694" s="33"/>
      <c r="EG694" s="33"/>
      <c r="EH694" s="33"/>
      <c r="EI694" s="33"/>
      <c r="EJ694" s="33"/>
      <c r="EK694" s="33"/>
      <c r="EL694" s="33"/>
      <c r="EM694" s="33"/>
      <c r="EN694" s="33"/>
      <c r="EO694" s="33"/>
      <c r="EP694" s="33"/>
      <c r="EQ694" s="33"/>
      <c r="ER694" s="33"/>
      <c r="ES694" s="33"/>
    </row>
    <row r="695">
      <c r="A695" s="33"/>
      <c r="B695" s="33"/>
      <c r="C695" s="33"/>
      <c r="D695" s="33"/>
      <c r="E695" s="33"/>
      <c r="F695" s="33"/>
      <c r="G695" s="85"/>
      <c r="H695" s="85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33"/>
      <c r="Y695" s="33"/>
      <c r="Z695" s="33"/>
      <c r="AA695" s="33"/>
      <c r="AB695" s="33"/>
      <c r="AC695" s="33"/>
      <c r="AD695" s="33"/>
      <c r="AE695" s="33"/>
      <c r="AF695" s="33"/>
      <c r="AG695" s="33"/>
      <c r="AH695" s="33"/>
      <c r="AI695" s="33"/>
      <c r="AJ695" s="33"/>
      <c r="AK695" s="33"/>
      <c r="AL695" s="33"/>
      <c r="AM695" s="33"/>
      <c r="AN695" s="33"/>
      <c r="AO695" s="33"/>
      <c r="AP695" s="33"/>
      <c r="AQ695" s="33"/>
      <c r="AR695" s="33"/>
      <c r="AS695" s="33"/>
      <c r="AT695" s="33"/>
      <c r="AU695" s="33"/>
      <c r="AV695" s="33"/>
      <c r="AW695" s="33"/>
      <c r="AX695" s="33"/>
      <c r="AY695" s="33"/>
      <c r="AZ695" s="33"/>
      <c r="BA695" s="33"/>
      <c r="BB695" s="33"/>
      <c r="BC695" s="33"/>
      <c r="BD695" s="33"/>
      <c r="BE695" s="33"/>
      <c r="BF695" s="33"/>
      <c r="BG695" s="33"/>
      <c r="BH695" s="33"/>
      <c r="BI695" s="33"/>
      <c r="BJ695" s="33"/>
      <c r="BK695" s="33"/>
      <c r="BL695" s="33"/>
      <c r="BM695" s="33"/>
      <c r="BN695" s="33"/>
      <c r="BO695" s="33"/>
      <c r="BP695" s="33"/>
      <c r="BQ695" s="33"/>
      <c r="BR695" s="33"/>
      <c r="BS695" s="33"/>
      <c r="BT695" s="33"/>
      <c r="BU695" s="33"/>
      <c r="BV695" s="33"/>
      <c r="BW695" s="33"/>
      <c r="BX695" s="33"/>
      <c r="BY695" s="33"/>
      <c r="BZ695" s="33"/>
      <c r="CA695" s="33"/>
      <c r="CB695" s="33"/>
      <c r="CC695" s="33"/>
      <c r="CD695" s="33"/>
      <c r="CE695" s="33"/>
      <c r="CF695" s="33"/>
      <c r="CG695" s="33"/>
      <c r="CH695" s="33"/>
      <c r="CI695" s="33"/>
      <c r="CJ695" s="33"/>
      <c r="CK695" s="33"/>
      <c r="CL695" s="33"/>
      <c r="CM695" s="33"/>
      <c r="CN695" s="33"/>
      <c r="CO695" s="33"/>
      <c r="CP695" s="33"/>
      <c r="CQ695" s="33"/>
      <c r="CR695" s="33"/>
      <c r="CS695" s="33"/>
      <c r="CT695" s="33"/>
      <c r="CU695" s="33"/>
      <c r="CV695" s="33"/>
      <c r="CW695" s="33"/>
      <c r="CX695" s="33"/>
      <c r="CY695" s="33"/>
      <c r="CZ695" s="33"/>
      <c r="DA695" s="33"/>
      <c r="DB695" s="33"/>
      <c r="DC695" s="33"/>
      <c r="DD695" s="33"/>
      <c r="DE695" s="33"/>
      <c r="DF695" s="33"/>
      <c r="DG695" s="33"/>
      <c r="DH695" s="33"/>
      <c r="DI695" s="33"/>
      <c r="DJ695" s="33"/>
      <c r="DK695" s="33"/>
      <c r="DL695" s="33"/>
      <c r="DM695" s="33"/>
      <c r="DN695" s="33"/>
      <c r="DO695" s="33"/>
      <c r="DP695" s="33"/>
      <c r="DQ695" s="33"/>
      <c r="DR695" s="33"/>
      <c r="DS695" s="33"/>
      <c r="DT695" s="33"/>
      <c r="DU695" s="33"/>
      <c r="DV695" s="33"/>
      <c r="DW695" s="33"/>
      <c r="DX695" s="33"/>
      <c r="DY695" s="33"/>
      <c r="DZ695" s="33"/>
      <c r="EA695" s="33"/>
      <c r="EB695" s="33"/>
      <c r="EC695" s="33"/>
      <c r="ED695" s="33"/>
      <c r="EE695" s="33"/>
      <c r="EF695" s="33"/>
      <c r="EG695" s="33"/>
      <c r="EH695" s="33"/>
      <c r="EI695" s="33"/>
      <c r="EJ695" s="33"/>
      <c r="EK695" s="33"/>
      <c r="EL695" s="33"/>
      <c r="EM695" s="33"/>
      <c r="EN695" s="33"/>
      <c r="EO695" s="33"/>
      <c r="EP695" s="33"/>
      <c r="EQ695" s="33"/>
      <c r="ER695" s="33"/>
      <c r="ES695" s="33"/>
    </row>
    <row r="696">
      <c r="A696" s="33"/>
      <c r="B696" s="33"/>
      <c r="C696" s="33"/>
      <c r="D696" s="33"/>
      <c r="E696" s="33"/>
      <c r="F696" s="33"/>
      <c r="G696" s="85"/>
      <c r="H696" s="85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33"/>
      <c r="Y696" s="33"/>
      <c r="Z696" s="33"/>
      <c r="AA696" s="33"/>
      <c r="AB696" s="33"/>
      <c r="AC696" s="33"/>
      <c r="AD696" s="33"/>
      <c r="AE696" s="33"/>
      <c r="AF696" s="33"/>
      <c r="AG696" s="33"/>
      <c r="AH696" s="33"/>
      <c r="AI696" s="33"/>
      <c r="AJ696" s="33"/>
      <c r="AK696" s="33"/>
      <c r="AL696" s="33"/>
      <c r="AM696" s="33"/>
      <c r="AN696" s="33"/>
      <c r="AO696" s="33"/>
      <c r="AP696" s="33"/>
      <c r="AQ696" s="33"/>
      <c r="AR696" s="33"/>
      <c r="AS696" s="33"/>
      <c r="AT696" s="33"/>
      <c r="AU696" s="33"/>
      <c r="AV696" s="33"/>
      <c r="AW696" s="33"/>
      <c r="AX696" s="33"/>
      <c r="AY696" s="33"/>
      <c r="AZ696" s="33"/>
      <c r="BA696" s="33"/>
      <c r="BB696" s="33"/>
      <c r="BC696" s="33"/>
      <c r="BD696" s="33"/>
      <c r="BE696" s="33"/>
      <c r="BF696" s="33"/>
      <c r="BG696" s="33"/>
      <c r="BH696" s="33"/>
      <c r="BI696" s="33"/>
      <c r="BJ696" s="33"/>
      <c r="BK696" s="33"/>
      <c r="BL696" s="33"/>
      <c r="BM696" s="33"/>
      <c r="BN696" s="33"/>
      <c r="BO696" s="33"/>
      <c r="BP696" s="33"/>
      <c r="BQ696" s="33"/>
      <c r="BR696" s="33"/>
      <c r="BS696" s="33"/>
      <c r="BT696" s="33"/>
      <c r="BU696" s="33"/>
      <c r="BV696" s="33"/>
      <c r="BW696" s="33"/>
      <c r="BX696" s="33"/>
      <c r="BY696" s="33"/>
      <c r="BZ696" s="33"/>
      <c r="CA696" s="33"/>
      <c r="CB696" s="33"/>
      <c r="CC696" s="33"/>
      <c r="CD696" s="33"/>
      <c r="CE696" s="33"/>
      <c r="CF696" s="33"/>
      <c r="CG696" s="33"/>
      <c r="CH696" s="33"/>
      <c r="CI696" s="33"/>
      <c r="CJ696" s="33"/>
      <c r="CK696" s="33"/>
      <c r="CL696" s="33"/>
      <c r="CM696" s="33"/>
      <c r="CN696" s="33"/>
      <c r="CO696" s="33"/>
      <c r="CP696" s="33"/>
      <c r="CQ696" s="33"/>
      <c r="CR696" s="33"/>
      <c r="CS696" s="33"/>
      <c r="CT696" s="33"/>
      <c r="CU696" s="33"/>
      <c r="CV696" s="33"/>
      <c r="CW696" s="33"/>
      <c r="CX696" s="33"/>
      <c r="CY696" s="33"/>
      <c r="CZ696" s="33"/>
      <c r="DA696" s="33"/>
      <c r="DB696" s="33"/>
      <c r="DC696" s="33"/>
      <c r="DD696" s="33"/>
      <c r="DE696" s="33"/>
      <c r="DF696" s="33"/>
      <c r="DG696" s="33"/>
      <c r="DH696" s="33"/>
      <c r="DI696" s="33"/>
      <c r="DJ696" s="33"/>
      <c r="DK696" s="33"/>
      <c r="DL696" s="33"/>
      <c r="DM696" s="33"/>
      <c r="DN696" s="33"/>
      <c r="DO696" s="33"/>
      <c r="DP696" s="33"/>
      <c r="DQ696" s="33"/>
      <c r="DR696" s="33"/>
      <c r="DS696" s="33"/>
      <c r="DT696" s="33"/>
      <c r="DU696" s="33"/>
      <c r="DV696" s="33"/>
      <c r="DW696" s="33"/>
      <c r="DX696" s="33"/>
      <c r="DY696" s="33"/>
      <c r="DZ696" s="33"/>
      <c r="EA696" s="33"/>
      <c r="EB696" s="33"/>
      <c r="EC696" s="33"/>
      <c r="ED696" s="33"/>
      <c r="EE696" s="33"/>
      <c r="EF696" s="33"/>
      <c r="EG696" s="33"/>
      <c r="EH696" s="33"/>
      <c r="EI696" s="33"/>
      <c r="EJ696" s="33"/>
      <c r="EK696" s="33"/>
      <c r="EL696" s="33"/>
      <c r="EM696" s="33"/>
      <c r="EN696" s="33"/>
      <c r="EO696" s="33"/>
      <c r="EP696" s="33"/>
      <c r="EQ696" s="33"/>
      <c r="ER696" s="33"/>
      <c r="ES696" s="33"/>
    </row>
    <row r="697">
      <c r="A697" s="33"/>
      <c r="B697" s="33"/>
      <c r="C697" s="33"/>
      <c r="D697" s="33"/>
      <c r="E697" s="33"/>
      <c r="F697" s="33"/>
      <c r="G697" s="85"/>
      <c r="H697" s="85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33"/>
      <c r="Y697" s="33"/>
      <c r="Z697" s="33"/>
      <c r="AA697" s="33"/>
      <c r="AB697" s="33"/>
      <c r="AC697" s="33"/>
      <c r="AD697" s="33"/>
      <c r="AE697" s="33"/>
      <c r="AF697" s="33"/>
      <c r="AG697" s="33"/>
      <c r="AH697" s="33"/>
      <c r="AI697" s="33"/>
      <c r="AJ697" s="33"/>
      <c r="AK697" s="33"/>
      <c r="AL697" s="33"/>
      <c r="AM697" s="33"/>
      <c r="AN697" s="33"/>
      <c r="AO697" s="33"/>
      <c r="AP697" s="33"/>
      <c r="AQ697" s="33"/>
      <c r="AR697" s="33"/>
      <c r="AS697" s="33"/>
      <c r="AT697" s="33"/>
      <c r="AU697" s="33"/>
      <c r="AV697" s="33"/>
      <c r="AW697" s="33"/>
      <c r="AX697" s="33"/>
      <c r="AY697" s="33"/>
      <c r="AZ697" s="33"/>
      <c r="BA697" s="33"/>
      <c r="BB697" s="33"/>
      <c r="BC697" s="33"/>
      <c r="BD697" s="33"/>
      <c r="BE697" s="33"/>
      <c r="BF697" s="33"/>
      <c r="BG697" s="33"/>
      <c r="BH697" s="33"/>
      <c r="BI697" s="33"/>
      <c r="BJ697" s="33"/>
      <c r="BK697" s="33"/>
      <c r="BL697" s="33"/>
      <c r="BM697" s="33"/>
      <c r="BN697" s="33"/>
      <c r="BO697" s="33"/>
      <c r="BP697" s="33"/>
      <c r="BQ697" s="33"/>
      <c r="BR697" s="33"/>
      <c r="BS697" s="33"/>
      <c r="BT697" s="33"/>
      <c r="BU697" s="33"/>
      <c r="BV697" s="33"/>
      <c r="BW697" s="33"/>
      <c r="BX697" s="33"/>
      <c r="BY697" s="33"/>
      <c r="BZ697" s="33"/>
      <c r="CA697" s="33"/>
      <c r="CB697" s="33"/>
      <c r="CC697" s="33"/>
      <c r="CD697" s="33"/>
      <c r="CE697" s="33"/>
      <c r="CF697" s="33"/>
      <c r="CG697" s="33"/>
      <c r="CH697" s="33"/>
      <c r="CI697" s="33"/>
      <c r="CJ697" s="33"/>
      <c r="CK697" s="33"/>
      <c r="CL697" s="33"/>
      <c r="CM697" s="33"/>
      <c r="CN697" s="33"/>
      <c r="CO697" s="33"/>
      <c r="CP697" s="33"/>
      <c r="CQ697" s="33"/>
      <c r="CR697" s="33"/>
      <c r="CS697" s="33"/>
      <c r="CT697" s="33"/>
      <c r="CU697" s="33"/>
      <c r="CV697" s="33"/>
      <c r="CW697" s="33"/>
      <c r="CX697" s="33"/>
      <c r="CY697" s="33"/>
      <c r="CZ697" s="33"/>
      <c r="DA697" s="33"/>
      <c r="DB697" s="33"/>
      <c r="DC697" s="33"/>
      <c r="DD697" s="33"/>
      <c r="DE697" s="33"/>
      <c r="DF697" s="33"/>
      <c r="DG697" s="33"/>
      <c r="DH697" s="33"/>
      <c r="DI697" s="33"/>
      <c r="DJ697" s="33"/>
      <c r="DK697" s="33"/>
      <c r="DL697" s="33"/>
      <c r="DM697" s="33"/>
      <c r="DN697" s="33"/>
      <c r="DO697" s="33"/>
      <c r="DP697" s="33"/>
      <c r="DQ697" s="33"/>
      <c r="DR697" s="33"/>
      <c r="DS697" s="33"/>
      <c r="DT697" s="33"/>
      <c r="DU697" s="33"/>
      <c r="DV697" s="33"/>
      <c r="DW697" s="33"/>
      <c r="DX697" s="33"/>
      <c r="DY697" s="33"/>
      <c r="DZ697" s="33"/>
      <c r="EA697" s="33"/>
      <c r="EB697" s="33"/>
      <c r="EC697" s="33"/>
      <c r="ED697" s="33"/>
      <c r="EE697" s="33"/>
      <c r="EF697" s="33"/>
      <c r="EG697" s="33"/>
      <c r="EH697" s="33"/>
      <c r="EI697" s="33"/>
      <c r="EJ697" s="33"/>
      <c r="EK697" s="33"/>
      <c r="EL697" s="33"/>
      <c r="EM697" s="33"/>
      <c r="EN697" s="33"/>
      <c r="EO697" s="33"/>
      <c r="EP697" s="33"/>
      <c r="EQ697" s="33"/>
      <c r="ER697" s="33"/>
      <c r="ES697" s="33"/>
    </row>
    <row r="698">
      <c r="A698" s="33"/>
      <c r="B698" s="33"/>
      <c r="C698" s="33"/>
      <c r="D698" s="33"/>
      <c r="E698" s="33"/>
      <c r="F698" s="33"/>
      <c r="G698" s="85"/>
      <c r="H698" s="85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33"/>
      <c r="Y698" s="33"/>
      <c r="Z698" s="33"/>
      <c r="AA698" s="33"/>
      <c r="AB698" s="33"/>
      <c r="AC698" s="33"/>
      <c r="AD698" s="33"/>
      <c r="AE698" s="33"/>
      <c r="AF698" s="33"/>
      <c r="AG698" s="33"/>
      <c r="AH698" s="33"/>
      <c r="AI698" s="33"/>
      <c r="AJ698" s="33"/>
      <c r="AK698" s="33"/>
      <c r="AL698" s="33"/>
      <c r="AM698" s="33"/>
      <c r="AN698" s="33"/>
      <c r="AO698" s="33"/>
      <c r="AP698" s="33"/>
      <c r="AQ698" s="33"/>
      <c r="AR698" s="33"/>
      <c r="AS698" s="33"/>
      <c r="AT698" s="33"/>
      <c r="AU698" s="33"/>
      <c r="AV698" s="33"/>
      <c r="AW698" s="33"/>
      <c r="AX698" s="33"/>
      <c r="AY698" s="33"/>
      <c r="AZ698" s="33"/>
      <c r="BA698" s="33"/>
      <c r="BB698" s="33"/>
      <c r="BC698" s="33"/>
      <c r="BD698" s="33"/>
      <c r="BE698" s="33"/>
      <c r="BF698" s="33"/>
      <c r="BG698" s="33"/>
      <c r="BH698" s="33"/>
      <c r="BI698" s="33"/>
      <c r="BJ698" s="33"/>
      <c r="BK698" s="33"/>
      <c r="BL698" s="33"/>
      <c r="BM698" s="33"/>
      <c r="BN698" s="33"/>
      <c r="BO698" s="33"/>
      <c r="BP698" s="33"/>
      <c r="BQ698" s="33"/>
      <c r="BR698" s="33"/>
      <c r="BS698" s="33"/>
      <c r="BT698" s="33"/>
      <c r="BU698" s="33"/>
      <c r="BV698" s="33"/>
      <c r="BW698" s="33"/>
      <c r="BX698" s="33"/>
      <c r="BY698" s="33"/>
      <c r="BZ698" s="33"/>
      <c r="CA698" s="33"/>
      <c r="CB698" s="33"/>
      <c r="CC698" s="33"/>
      <c r="CD698" s="33"/>
      <c r="CE698" s="33"/>
      <c r="CF698" s="33"/>
      <c r="CG698" s="33"/>
      <c r="CH698" s="33"/>
      <c r="CI698" s="33"/>
      <c r="CJ698" s="33"/>
      <c r="CK698" s="33"/>
      <c r="CL698" s="33"/>
      <c r="CM698" s="33"/>
      <c r="CN698" s="33"/>
      <c r="CO698" s="33"/>
      <c r="CP698" s="33"/>
      <c r="CQ698" s="33"/>
      <c r="CR698" s="33"/>
      <c r="CS698" s="33"/>
      <c r="CT698" s="33"/>
      <c r="CU698" s="33"/>
      <c r="CV698" s="33"/>
      <c r="CW698" s="33"/>
      <c r="CX698" s="33"/>
      <c r="CY698" s="33"/>
      <c r="CZ698" s="33"/>
      <c r="DA698" s="33"/>
      <c r="DB698" s="33"/>
      <c r="DC698" s="33"/>
      <c r="DD698" s="33"/>
      <c r="DE698" s="33"/>
      <c r="DF698" s="33"/>
      <c r="DG698" s="33"/>
      <c r="DH698" s="33"/>
      <c r="DI698" s="33"/>
      <c r="DJ698" s="33"/>
      <c r="DK698" s="33"/>
      <c r="DL698" s="33"/>
      <c r="DM698" s="33"/>
      <c r="DN698" s="33"/>
      <c r="DO698" s="33"/>
      <c r="DP698" s="33"/>
      <c r="DQ698" s="33"/>
      <c r="DR698" s="33"/>
      <c r="DS698" s="33"/>
      <c r="DT698" s="33"/>
      <c r="DU698" s="33"/>
      <c r="DV698" s="33"/>
      <c r="DW698" s="33"/>
      <c r="DX698" s="33"/>
      <c r="DY698" s="33"/>
      <c r="DZ698" s="33"/>
      <c r="EA698" s="33"/>
      <c r="EB698" s="33"/>
      <c r="EC698" s="33"/>
      <c r="ED698" s="33"/>
      <c r="EE698" s="33"/>
      <c r="EF698" s="33"/>
      <c r="EG698" s="33"/>
      <c r="EH698" s="33"/>
      <c r="EI698" s="33"/>
      <c r="EJ698" s="33"/>
      <c r="EK698" s="33"/>
      <c r="EL698" s="33"/>
      <c r="EM698" s="33"/>
      <c r="EN698" s="33"/>
      <c r="EO698" s="33"/>
      <c r="EP698" s="33"/>
      <c r="EQ698" s="33"/>
      <c r="ER698" s="33"/>
      <c r="ES698" s="33"/>
    </row>
    <row r="699">
      <c r="A699" s="33"/>
      <c r="B699" s="33"/>
      <c r="C699" s="33"/>
      <c r="D699" s="33"/>
      <c r="E699" s="33"/>
      <c r="F699" s="33"/>
      <c r="G699" s="85"/>
      <c r="H699" s="85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33"/>
      <c r="Y699" s="33"/>
      <c r="Z699" s="33"/>
      <c r="AA699" s="33"/>
      <c r="AB699" s="33"/>
      <c r="AC699" s="33"/>
      <c r="AD699" s="33"/>
      <c r="AE699" s="33"/>
      <c r="AF699" s="33"/>
      <c r="AG699" s="33"/>
      <c r="AH699" s="33"/>
      <c r="AI699" s="33"/>
      <c r="AJ699" s="33"/>
      <c r="AK699" s="33"/>
      <c r="AL699" s="33"/>
      <c r="AM699" s="33"/>
      <c r="AN699" s="33"/>
      <c r="AO699" s="33"/>
      <c r="AP699" s="33"/>
      <c r="AQ699" s="33"/>
      <c r="AR699" s="33"/>
      <c r="AS699" s="33"/>
      <c r="AT699" s="33"/>
      <c r="AU699" s="33"/>
      <c r="AV699" s="33"/>
      <c r="AW699" s="33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  <c r="BI699" s="33"/>
      <c r="BJ699" s="33"/>
      <c r="BK699" s="33"/>
      <c r="BL699" s="33"/>
      <c r="BM699" s="33"/>
      <c r="BN699" s="33"/>
      <c r="BO699" s="33"/>
      <c r="BP699" s="33"/>
      <c r="BQ699" s="33"/>
      <c r="BR699" s="33"/>
      <c r="BS699" s="33"/>
      <c r="BT699" s="33"/>
      <c r="BU699" s="33"/>
      <c r="BV699" s="33"/>
      <c r="BW699" s="33"/>
      <c r="BX699" s="33"/>
      <c r="BY699" s="33"/>
      <c r="BZ699" s="33"/>
      <c r="CA699" s="33"/>
      <c r="CB699" s="33"/>
      <c r="CC699" s="33"/>
      <c r="CD699" s="33"/>
      <c r="CE699" s="33"/>
      <c r="CF699" s="33"/>
      <c r="CG699" s="33"/>
      <c r="CH699" s="33"/>
      <c r="CI699" s="33"/>
      <c r="CJ699" s="33"/>
      <c r="CK699" s="33"/>
      <c r="CL699" s="33"/>
      <c r="CM699" s="33"/>
      <c r="CN699" s="33"/>
      <c r="CO699" s="33"/>
      <c r="CP699" s="33"/>
      <c r="CQ699" s="33"/>
      <c r="CR699" s="33"/>
      <c r="CS699" s="33"/>
      <c r="CT699" s="33"/>
      <c r="CU699" s="33"/>
      <c r="CV699" s="33"/>
      <c r="CW699" s="33"/>
      <c r="CX699" s="33"/>
      <c r="CY699" s="33"/>
      <c r="CZ699" s="33"/>
      <c r="DA699" s="33"/>
      <c r="DB699" s="33"/>
      <c r="DC699" s="33"/>
      <c r="DD699" s="33"/>
      <c r="DE699" s="33"/>
      <c r="DF699" s="33"/>
      <c r="DG699" s="33"/>
      <c r="DH699" s="33"/>
      <c r="DI699" s="33"/>
      <c r="DJ699" s="33"/>
      <c r="DK699" s="33"/>
      <c r="DL699" s="33"/>
      <c r="DM699" s="33"/>
      <c r="DN699" s="33"/>
      <c r="DO699" s="33"/>
      <c r="DP699" s="33"/>
      <c r="DQ699" s="33"/>
      <c r="DR699" s="33"/>
      <c r="DS699" s="33"/>
      <c r="DT699" s="33"/>
      <c r="DU699" s="33"/>
      <c r="DV699" s="33"/>
      <c r="DW699" s="33"/>
      <c r="DX699" s="33"/>
      <c r="DY699" s="33"/>
      <c r="DZ699" s="33"/>
      <c r="EA699" s="33"/>
      <c r="EB699" s="33"/>
      <c r="EC699" s="33"/>
      <c r="ED699" s="33"/>
      <c r="EE699" s="33"/>
      <c r="EF699" s="33"/>
      <c r="EG699" s="33"/>
      <c r="EH699" s="33"/>
      <c r="EI699" s="33"/>
      <c r="EJ699" s="33"/>
      <c r="EK699" s="33"/>
      <c r="EL699" s="33"/>
      <c r="EM699" s="33"/>
      <c r="EN699" s="33"/>
      <c r="EO699" s="33"/>
      <c r="EP699" s="33"/>
      <c r="EQ699" s="33"/>
      <c r="ER699" s="33"/>
      <c r="ES699" s="33"/>
    </row>
    <row r="700">
      <c r="A700" s="33"/>
      <c r="B700" s="33"/>
      <c r="C700" s="33"/>
      <c r="D700" s="33"/>
      <c r="E700" s="33"/>
      <c r="F700" s="33"/>
      <c r="G700" s="85"/>
      <c r="H700" s="85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33"/>
      <c r="Y700" s="33"/>
      <c r="Z700" s="33"/>
      <c r="AA700" s="33"/>
      <c r="AB700" s="33"/>
      <c r="AC700" s="33"/>
      <c r="AD700" s="33"/>
      <c r="AE700" s="33"/>
      <c r="AF700" s="33"/>
      <c r="AG700" s="33"/>
      <c r="AH700" s="33"/>
      <c r="AI700" s="33"/>
      <c r="AJ700" s="33"/>
      <c r="AK700" s="33"/>
      <c r="AL700" s="33"/>
      <c r="AM700" s="33"/>
      <c r="AN700" s="33"/>
      <c r="AO700" s="33"/>
      <c r="AP700" s="33"/>
      <c r="AQ700" s="33"/>
      <c r="AR700" s="33"/>
      <c r="AS700" s="33"/>
      <c r="AT700" s="33"/>
      <c r="AU700" s="33"/>
      <c r="AV700" s="33"/>
      <c r="AW700" s="33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  <c r="BI700" s="33"/>
      <c r="BJ700" s="33"/>
      <c r="BK700" s="33"/>
      <c r="BL700" s="33"/>
      <c r="BM700" s="33"/>
      <c r="BN700" s="33"/>
      <c r="BO700" s="33"/>
      <c r="BP700" s="33"/>
      <c r="BQ700" s="33"/>
      <c r="BR700" s="33"/>
      <c r="BS700" s="33"/>
      <c r="BT700" s="33"/>
      <c r="BU700" s="33"/>
      <c r="BV700" s="33"/>
      <c r="BW700" s="33"/>
      <c r="BX700" s="33"/>
      <c r="BY700" s="33"/>
      <c r="BZ700" s="33"/>
      <c r="CA700" s="33"/>
      <c r="CB700" s="33"/>
      <c r="CC700" s="33"/>
      <c r="CD700" s="33"/>
      <c r="CE700" s="33"/>
      <c r="CF700" s="33"/>
      <c r="CG700" s="33"/>
      <c r="CH700" s="33"/>
      <c r="CI700" s="33"/>
      <c r="CJ700" s="33"/>
      <c r="CK700" s="33"/>
      <c r="CL700" s="33"/>
      <c r="CM700" s="33"/>
      <c r="CN700" s="33"/>
      <c r="CO700" s="33"/>
      <c r="CP700" s="33"/>
      <c r="CQ700" s="33"/>
      <c r="CR700" s="33"/>
      <c r="CS700" s="33"/>
      <c r="CT700" s="33"/>
      <c r="CU700" s="33"/>
      <c r="CV700" s="33"/>
      <c r="CW700" s="33"/>
      <c r="CX700" s="33"/>
      <c r="CY700" s="33"/>
      <c r="CZ700" s="33"/>
      <c r="DA700" s="33"/>
      <c r="DB700" s="33"/>
      <c r="DC700" s="33"/>
      <c r="DD700" s="33"/>
      <c r="DE700" s="33"/>
      <c r="DF700" s="33"/>
      <c r="DG700" s="33"/>
      <c r="DH700" s="33"/>
      <c r="DI700" s="33"/>
      <c r="DJ700" s="33"/>
      <c r="DK700" s="33"/>
      <c r="DL700" s="33"/>
      <c r="DM700" s="33"/>
      <c r="DN700" s="33"/>
      <c r="DO700" s="33"/>
      <c r="DP700" s="33"/>
      <c r="DQ700" s="33"/>
      <c r="DR700" s="33"/>
      <c r="DS700" s="33"/>
      <c r="DT700" s="33"/>
      <c r="DU700" s="33"/>
      <c r="DV700" s="33"/>
      <c r="DW700" s="33"/>
      <c r="DX700" s="33"/>
      <c r="DY700" s="33"/>
      <c r="DZ700" s="33"/>
      <c r="EA700" s="33"/>
      <c r="EB700" s="33"/>
      <c r="EC700" s="33"/>
      <c r="ED700" s="33"/>
      <c r="EE700" s="33"/>
      <c r="EF700" s="33"/>
      <c r="EG700" s="33"/>
      <c r="EH700" s="33"/>
      <c r="EI700" s="33"/>
      <c r="EJ700" s="33"/>
      <c r="EK700" s="33"/>
      <c r="EL700" s="33"/>
      <c r="EM700" s="33"/>
      <c r="EN700" s="33"/>
      <c r="EO700" s="33"/>
      <c r="EP700" s="33"/>
      <c r="EQ700" s="33"/>
      <c r="ER700" s="33"/>
      <c r="ES700" s="33"/>
    </row>
    <row r="701">
      <c r="A701" s="33"/>
      <c r="B701" s="33"/>
      <c r="C701" s="33"/>
      <c r="D701" s="33"/>
      <c r="E701" s="33"/>
      <c r="F701" s="33"/>
      <c r="G701" s="85"/>
      <c r="H701" s="85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33"/>
      <c r="Y701" s="33"/>
      <c r="Z701" s="33"/>
      <c r="AA701" s="33"/>
      <c r="AB701" s="33"/>
      <c r="AC701" s="33"/>
      <c r="AD701" s="33"/>
      <c r="AE701" s="33"/>
      <c r="AF701" s="33"/>
      <c r="AG701" s="33"/>
      <c r="AH701" s="33"/>
      <c r="AI701" s="33"/>
      <c r="AJ701" s="33"/>
      <c r="AK701" s="33"/>
      <c r="AL701" s="33"/>
      <c r="AM701" s="33"/>
      <c r="AN701" s="33"/>
      <c r="AO701" s="33"/>
      <c r="AP701" s="33"/>
      <c r="AQ701" s="33"/>
      <c r="AR701" s="33"/>
      <c r="AS701" s="33"/>
      <c r="AT701" s="33"/>
      <c r="AU701" s="33"/>
      <c r="AV701" s="33"/>
      <c r="AW701" s="33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  <c r="BI701" s="33"/>
      <c r="BJ701" s="33"/>
      <c r="BK701" s="33"/>
      <c r="BL701" s="33"/>
      <c r="BM701" s="33"/>
      <c r="BN701" s="33"/>
      <c r="BO701" s="33"/>
      <c r="BP701" s="33"/>
      <c r="BQ701" s="33"/>
      <c r="BR701" s="33"/>
      <c r="BS701" s="33"/>
      <c r="BT701" s="33"/>
      <c r="BU701" s="33"/>
      <c r="BV701" s="33"/>
      <c r="BW701" s="33"/>
      <c r="BX701" s="33"/>
      <c r="BY701" s="33"/>
      <c r="BZ701" s="33"/>
      <c r="CA701" s="33"/>
      <c r="CB701" s="33"/>
      <c r="CC701" s="33"/>
      <c r="CD701" s="33"/>
      <c r="CE701" s="33"/>
      <c r="CF701" s="33"/>
      <c r="CG701" s="33"/>
      <c r="CH701" s="33"/>
      <c r="CI701" s="33"/>
      <c r="CJ701" s="33"/>
      <c r="CK701" s="33"/>
      <c r="CL701" s="33"/>
      <c r="CM701" s="33"/>
      <c r="CN701" s="33"/>
      <c r="CO701" s="33"/>
      <c r="CP701" s="33"/>
      <c r="CQ701" s="33"/>
      <c r="CR701" s="33"/>
      <c r="CS701" s="33"/>
      <c r="CT701" s="33"/>
      <c r="CU701" s="33"/>
      <c r="CV701" s="33"/>
      <c r="CW701" s="33"/>
      <c r="CX701" s="33"/>
      <c r="CY701" s="33"/>
      <c r="CZ701" s="33"/>
      <c r="DA701" s="33"/>
      <c r="DB701" s="33"/>
      <c r="DC701" s="33"/>
      <c r="DD701" s="33"/>
      <c r="DE701" s="33"/>
      <c r="DF701" s="33"/>
      <c r="DG701" s="33"/>
      <c r="DH701" s="33"/>
      <c r="DI701" s="33"/>
      <c r="DJ701" s="33"/>
      <c r="DK701" s="33"/>
      <c r="DL701" s="33"/>
      <c r="DM701" s="33"/>
      <c r="DN701" s="33"/>
      <c r="DO701" s="33"/>
      <c r="DP701" s="33"/>
      <c r="DQ701" s="33"/>
      <c r="DR701" s="33"/>
      <c r="DS701" s="33"/>
      <c r="DT701" s="33"/>
      <c r="DU701" s="33"/>
      <c r="DV701" s="33"/>
      <c r="DW701" s="33"/>
      <c r="DX701" s="33"/>
      <c r="DY701" s="33"/>
      <c r="DZ701" s="33"/>
      <c r="EA701" s="33"/>
      <c r="EB701" s="33"/>
      <c r="EC701" s="33"/>
      <c r="ED701" s="33"/>
      <c r="EE701" s="33"/>
      <c r="EF701" s="33"/>
      <c r="EG701" s="33"/>
      <c r="EH701" s="33"/>
      <c r="EI701" s="33"/>
      <c r="EJ701" s="33"/>
      <c r="EK701" s="33"/>
      <c r="EL701" s="33"/>
      <c r="EM701" s="33"/>
      <c r="EN701" s="33"/>
      <c r="EO701" s="33"/>
      <c r="EP701" s="33"/>
      <c r="EQ701" s="33"/>
      <c r="ER701" s="33"/>
      <c r="ES701" s="33"/>
    </row>
    <row r="702">
      <c r="A702" s="33"/>
      <c r="B702" s="33"/>
      <c r="C702" s="33"/>
      <c r="D702" s="33"/>
      <c r="E702" s="33"/>
      <c r="F702" s="33"/>
      <c r="G702" s="85"/>
      <c r="H702" s="85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33"/>
      <c r="Y702" s="33"/>
      <c r="Z702" s="33"/>
      <c r="AA702" s="33"/>
      <c r="AB702" s="33"/>
      <c r="AC702" s="33"/>
      <c r="AD702" s="33"/>
      <c r="AE702" s="33"/>
      <c r="AF702" s="33"/>
      <c r="AG702" s="33"/>
      <c r="AH702" s="33"/>
      <c r="AI702" s="33"/>
      <c r="AJ702" s="33"/>
      <c r="AK702" s="33"/>
      <c r="AL702" s="33"/>
      <c r="AM702" s="33"/>
      <c r="AN702" s="33"/>
      <c r="AO702" s="33"/>
      <c r="AP702" s="33"/>
      <c r="AQ702" s="33"/>
      <c r="AR702" s="33"/>
      <c r="AS702" s="33"/>
      <c r="AT702" s="33"/>
      <c r="AU702" s="33"/>
      <c r="AV702" s="33"/>
      <c r="AW702" s="33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  <c r="BI702" s="33"/>
      <c r="BJ702" s="33"/>
      <c r="BK702" s="33"/>
      <c r="BL702" s="33"/>
      <c r="BM702" s="33"/>
      <c r="BN702" s="33"/>
      <c r="BO702" s="33"/>
      <c r="BP702" s="33"/>
      <c r="BQ702" s="33"/>
      <c r="BR702" s="33"/>
      <c r="BS702" s="33"/>
      <c r="BT702" s="33"/>
      <c r="BU702" s="33"/>
      <c r="BV702" s="33"/>
      <c r="BW702" s="33"/>
      <c r="BX702" s="33"/>
      <c r="BY702" s="33"/>
      <c r="BZ702" s="33"/>
      <c r="CA702" s="33"/>
      <c r="CB702" s="33"/>
      <c r="CC702" s="33"/>
      <c r="CD702" s="33"/>
      <c r="CE702" s="33"/>
      <c r="CF702" s="33"/>
      <c r="CG702" s="33"/>
      <c r="CH702" s="33"/>
      <c r="CI702" s="33"/>
      <c r="CJ702" s="33"/>
      <c r="CK702" s="33"/>
      <c r="CL702" s="33"/>
      <c r="CM702" s="33"/>
      <c r="CN702" s="33"/>
      <c r="CO702" s="33"/>
      <c r="CP702" s="33"/>
      <c r="CQ702" s="33"/>
      <c r="CR702" s="33"/>
      <c r="CS702" s="33"/>
      <c r="CT702" s="33"/>
      <c r="CU702" s="33"/>
      <c r="CV702" s="33"/>
      <c r="CW702" s="33"/>
      <c r="CX702" s="33"/>
      <c r="CY702" s="33"/>
      <c r="CZ702" s="33"/>
      <c r="DA702" s="33"/>
      <c r="DB702" s="33"/>
      <c r="DC702" s="33"/>
      <c r="DD702" s="33"/>
      <c r="DE702" s="33"/>
      <c r="DF702" s="33"/>
      <c r="DG702" s="33"/>
      <c r="DH702" s="33"/>
      <c r="DI702" s="33"/>
      <c r="DJ702" s="33"/>
      <c r="DK702" s="33"/>
      <c r="DL702" s="33"/>
      <c r="DM702" s="33"/>
      <c r="DN702" s="33"/>
      <c r="DO702" s="33"/>
      <c r="DP702" s="33"/>
      <c r="DQ702" s="33"/>
      <c r="DR702" s="33"/>
      <c r="DS702" s="33"/>
      <c r="DT702" s="33"/>
      <c r="DU702" s="33"/>
      <c r="DV702" s="33"/>
      <c r="DW702" s="33"/>
      <c r="DX702" s="33"/>
      <c r="DY702" s="33"/>
      <c r="DZ702" s="33"/>
      <c r="EA702" s="33"/>
      <c r="EB702" s="33"/>
      <c r="EC702" s="33"/>
      <c r="ED702" s="33"/>
      <c r="EE702" s="33"/>
      <c r="EF702" s="33"/>
      <c r="EG702" s="33"/>
      <c r="EH702" s="33"/>
      <c r="EI702" s="33"/>
      <c r="EJ702" s="33"/>
      <c r="EK702" s="33"/>
      <c r="EL702" s="33"/>
      <c r="EM702" s="33"/>
      <c r="EN702" s="33"/>
      <c r="EO702" s="33"/>
      <c r="EP702" s="33"/>
      <c r="EQ702" s="33"/>
      <c r="ER702" s="33"/>
      <c r="ES702" s="33"/>
    </row>
    <row r="703">
      <c r="A703" s="33"/>
      <c r="B703" s="33"/>
      <c r="C703" s="33"/>
      <c r="D703" s="33"/>
      <c r="E703" s="33"/>
      <c r="F703" s="33"/>
      <c r="G703" s="85"/>
      <c r="H703" s="85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33"/>
      <c r="Y703" s="33"/>
      <c r="Z703" s="33"/>
      <c r="AA703" s="33"/>
      <c r="AB703" s="33"/>
      <c r="AC703" s="33"/>
      <c r="AD703" s="33"/>
      <c r="AE703" s="33"/>
      <c r="AF703" s="33"/>
      <c r="AG703" s="33"/>
      <c r="AH703" s="33"/>
      <c r="AI703" s="33"/>
      <c r="AJ703" s="33"/>
      <c r="AK703" s="33"/>
      <c r="AL703" s="33"/>
      <c r="AM703" s="33"/>
      <c r="AN703" s="33"/>
      <c r="AO703" s="33"/>
      <c r="AP703" s="33"/>
      <c r="AQ703" s="33"/>
      <c r="AR703" s="33"/>
      <c r="AS703" s="33"/>
      <c r="AT703" s="33"/>
      <c r="AU703" s="33"/>
      <c r="AV703" s="33"/>
      <c r="AW703" s="33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  <c r="BI703" s="33"/>
      <c r="BJ703" s="33"/>
      <c r="BK703" s="33"/>
      <c r="BL703" s="33"/>
      <c r="BM703" s="33"/>
      <c r="BN703" s="33"/>
      <c r="BO703" s="33"/>
      <c r="BP703" s="33"/>
      <c r="BQ703" s="33"/>
      <c r="BR703" s="33"/>
      <c r="BS703" s="33"/>
      <c r="BT703" s="33"/>
      <c r="BU703" s="33"/>
      <c r="BV703" s="33"/>
      <c r="BW703" s="33"/>
      <c r="BX703" s="33"/>
      <c r="BY703" s="33"/>
      <c r="BZ703" s="33"/>
      <c r="CA703" s="33"/>
      <c r="CB703" s="33"/>
      <c r="CC703" s="33"/>
      <c r="CD703" s="33"/>
      <c r="CE703" s="33"/>
      <c r="CF703" s="33"/>
      <c r="CG703" s="33"/>
      <c r="CH703" s="33"/>
      <c r="CI703" s="33"/>
      <c r="CJ703" s="33"/>
      <c r="CK703" s="33"/>
      <c r="CL703" s="33"/>
      <c r="CM703" s="33"/>
      <c r="CN703" s="33"/>
      <c r="CO703" s="33"/>
      <c r="CP703" s="33"/>
      <c r="CQ703" s="33"/>
      <c r="CR703" s="33"/>
      <c r="CS703" s="33"/>
      <c r="CT703" s="33"/>
      <c r="CU703" s="33"/>
      <c r="CV703" s="33"/>
      <c r="CW703" s="33"/>
      <c r="CX703" s="33"/>
      <c r="CY703" s="33"/>
      <c r="CZ703" s="33"/>
      <c r="DA703" s="33"/>
      <c r="DB703" s="33"/>
      <c r="DC703" s="33"/>
      <c r="DD703" s="33"/>
      <c r="DE703" s="33"/>
      <c r="DF703" s="33"/>
      <c r="DG703" s="33"/>
      <c r="DH703" s="33"/>
      <c r="DI703" s="33"/>
      <c r="DJ703" s="33"/>
      <c r="DK703" s="33"/>
      <c r="DL703" s="33"/>
      <c r="DM703" s="33"/>
      <c r="DN703" s="33"/>
      <c r="DO703" s="33"/>
      <c r="DP703" s="33"/>
      <c r="DQ703" s="33"/>
      <c r="DR703" s="33"/>
      <c r="DS703" s="33"/>
      <c r="DT703" s="33"/>
      <c r="DU703" s="33"/>
      <c r="DV703" s="33"/>
      <c r="DW703" s="33"/>
      <c r="DX703" s="33"/>
      <c r="DY703" s="33"/>
      <c r="DZ703" s="33"/>
      <c r="EA703" s="33"/>
      <c r="EB703" s="33"/>
      <c r="EC703" s="33"/>
      <c r="ED703" s="33"/>
      <c r="EE703" s="33"/>
      <c r="EF703" s="33"/>
      <c r="EG703" s="33"/>
      <c r="EH703" s="33"/>
      <c r="EI703" s="33"/>
      <c r="EJ703" s="33"/>
      <c r="EK703" s="33"/>
      <c r="EL703" s="33"/>
      <c r="EM703" s="33"/>
      <c r="EN703" s="33"/>
      <c r="EO703" s="33"/>
      <c r="EP703" s="33"/>
      <c r="EQ703" s="33"/>
      <c r="ER703" s="33"/>
      <c r="ES703" s="33"/>
    </row>
    <row r="704">
      <c r="A704" s="33"/>
      <c r="B704" s="33"/>
      <c r="C704" s="33"/>
      <c r="D704" s="33"/>
      <c r="E704" s="33"/>
      <c r="F704" s="33"/>
      <c r="G704" s="85"/>
      <c r="H704" s="85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33"/>
      <c r="Y704" s="33"/>
      <c r="Z704" s="33"/>
      <c r="AA704" s="33"/>
      <c r="AB704" s="33"/>
      <c r="AC704" s="33"/>
      <c r="AD704" s="33"/>
      <c r="AE704" s="33"/>
      <c r="AF704" s="33"/>
      <c r="AG704" s="33"/>
      <c r="AH704" s="33"/>
      <c r="AI704" s="33"/>
      <c r="AJ704" s="33"/>
      <c r="AK704" s="33"/>
      <c r="AL704" s="33"/>
      <c r="AM704" s="33"/>
      <c r="AN704" s="33"/>
      <c r="AO704" s="33"/>
      <c r="AP704" s="33"/>
      <c r="AQ704" s="33"/>
      <c r="AR704" s="33"/>
      <c r="AS704" s="33"/>
      <c r="AT704" s="33"/>
      <c r="AU704" s="33"/>
      <c r="AV704" s="33"/>
      <c r="AW704" s="33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  <c r="BI704" s="33"/>
      <c r="BJ704" s="33"/>
      <c r="BK704" s="33"/>
      <c r="BL704" s="33"/>
      <c r="BM704" s="33"/>
      <c r="BN704" s="33"/>
      <c r="BO704" s="33"/>
      <c r="BP704" s="33"/>
      <c r="BQ704" s="33"/>
      <c r="BR704" s="33"/>
      <c r="BS704" s="33"/>
      <c r="BT704" s="33"/>
      <c r="BU704" s="33"/>
      <c r="BV704" s="33"/>
      <c r="BW704" s="33"/>
      <c r="BX704" s="33"/>
      <c r="BY704" s="33"/>
      <c r="BZ704" s="33"/>
      <c r="CA704" s="33"/>
      <c r="CB704" s="33"/>
      <c r="CC704" s="33"/>
      <c r="CD704" s="33"/>
      <c r="CE704" s="33"/>
      <c r="CF704" s="33"/>
      <c r="CG704" s="33"/>
      <c r="CH704" s="33"/>
      <c r="CI704" s="33"/>
      <c r="CJ704" s="33"/>
      <c r="CK704" s="33"/>
      <c r="CL704" s="33"/>
      <c r="CM704" s="33"/>
      <c r="CN704" s="33"/>
      <c r="CO704" s="33"/>
      <c r="CP704" s="33"/>
      <c r="CQ704" s="33"/>
      <c r="CR704" s="33"/>
      <c r="CS704" s="33"/>
      <c r="CT704" s="33"/>
      <c r="CU704" s="33"/>
      <c r="CV704" s="33"/>
      <c r="CW704" s="33"/>
      <c r="CX704" s="33"/>
      <c r="CY704" s="33"/>
      <c r="CZ704" s="33"/>
      <c r="DA704" s="33"/>
      <c r="DB704" s="33"/>
      <c r="DC704" s="33"/>
      <c r="DD704" s="33"/>
      <c r="DE704" s="33"/>
      <c r="DF704" s="33"/>
      <c r="DG704" s="33"/>
      <c r="DH704" s="33"/>
      <c r="DI704" s="33"/>
      <c r="DJ704" s="33"/>
      <c r="DK704" s="33"/>
      <c r="DL704" s="33"/>
      <c r="DM704" s="33"/>
      <c r="DN704" s="33"/>
      <c r="DO704" s="33"/>
      <c r="DP704" s="33"/>
      <c r="DQ704" s="33"/>
      <c r="DR704" s="33"/>
      <c r="DS704" s="33"/>
      <c r="DT704" s="33"/>
      <c r="DU704" s="33"/>
      <c r="DV704" s="33"/>
      <c r="DW704" s="33"/>
      <c r="DX704" s="33"/>
      <c r="DY704" s="33"/>
      <c r="DZ704" s="33"/>
      <c r="EA704" s="33"/>
      <c r="EB704" s="33"/>
      <c r="EC704" s="33"/>
      <c r="ED704" s="33"/>
      <c r="EE704" s="33"/>
      <c r="EF704" s="33"/>
      <c r="EG704" s="33"/>
      <c r="EH704" s="33"/>
      <c r="EI704" s="33"/>
      <c r="EJ704" s="33"/>
      <c r="EK704" s="33"/>
      <c r="EL704" s="33"/>
      <c r="EM704" s="33"/>
      <c r="EN704" s="33"/>
      <c r="EO704" s="33"/>
      <c r="EP704" s="33"/>
      <c r="EQ704" s="33"/>
      <c r="ER704" s="33"/>
      <c r="ES704" s="33"/>
    </row>
    <row r="705">
      <c r="A705" s="33"/>
      <c r="B705" s="33"/>
      <c r="C705" s="33"/>
      <c r="D705" s="33"/>
      <c r="E705" s="33"/>
      <c r="F705" s="33"/>
      <c r="G705" s="85"/>
      <c r="H705" s="85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33"/>
      <c r="Y705" s="33"/>
      <c r="Z705" s="33"/>
      <c r="AA705" s="33"/>
      <c r="AB705" s="33"/>
      <c r="AC705" s="33"/>
      <c r="AD705" s="33"/>
      <c r="AE705" s="33"/>
      <c r="AF705" s="33"/>
      <c r="AG705" s="33"/>
      <c r="AH705" s="33"/>
      <c r="AI705" s="33"/>
      <c r="AJ705" s="33"/>
      <c r="AK705" s="33"/>
      <c r="AL705" s="33"/>
      <c r="AM705" s="33"/>
      <c r="AN705" s="33"/>
      <c r="AO705" s="33"/>
      <c r="AP705" s="33"/>
      <c r="AQ705" s="33"/>
      <c r="AR705" s="33"/>
      <c r="AS705" s="33"/>
      <c r="AT705" s="33"/>
      <c r="AU705" s="33"/>
      <c r="AV705" s="33"/>
      <c r="AW705" s="33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  <c r="BI705" s="33"/>
      <c r="BJ705" s="33"/>
      <c r="BK705" s="33"/>
      <c r="BL705" s="33"/>
      <c r="BM705" s="33"/>
      <c r="BN705" s="33"/>
      <c r="BO705" s="33"/>
      <c r="BP705" s="33"/>
      <c r="BQ705" s="33"/>
      <c r="BR705" s="33"/>
      <c r="BS705" s="33"/>
      <c r="BT705" s="33"/>
      <c r="BU705" s="33"/>
      <c r="BV705" s="33"/>
      <c r="BW705" s="33"/>
      <c r="BX705" s="33"/>
      <c r="BY705" s="33"/>
      <c r="BZ705" s="33"/>
      <c r="CA705" s="33"/>
      <c r="CB705" s="33"/>
      <c r="CC705" s="33"/>
      <c r="CD705" s="33"/>
      <c r="CE705" s="33"/>
      <c r="CF705" s="33"/>
      <c r="CG705" s="33"/>
      <c r="CH705" s="33"/>
      <c r="CI705" s="33"/>
      <c r="CJ705" s="33"/>
      <c r="CK705" s="33"/>
      <c r="CL705" s="33"/>
      <c r="CM705" s="33"/>
      <c r="CN705" s="33"/>
      <c r="CO705" s="33"/>
      <c r="CP705" s="33"/>
      <c r="CQ705" s="33"/>
      <c r="CR705" s="33"/>
      <c r="CS705" s="33"/>
      <c r="CT705" s="33"/>
      <c r="CU705" s="33"/>
      <c r="CV705" s="33"/>
      <c r="CW705" s="33"/>
      <c r="CX705" s="33"/>
      <c r="CY705" s="33"/>
      <c r="CZ705" s="33"/>
      <c r="DA705" s="33"/>
      <c r="DB705" s="33"/>
      <c r="DC705" s="33"/>
      <c r="DD705" s="33"/>
      <c r="DE705" s="33"/>
      <c r="DF705" s="33"/>
      <c r="DG705" s="33"/>
      <c r="DH705" s="33"/>
      <c r="DI705" s="33"/>
      <c r="DJ705" s="33"/>
      <c r="DK705" s="33"/>
      <c r="DL705" s="33"/>
      <c r="DM705" s="33"/>
      <c r="DN705" s="33"/>
      <c r="DO705" s="33"/>
      <c r="DP705" s="33"/>
      <c r="DQ705" s="33"/>
      <c r="DR705" s="33"/>
      <c r="DS705" s="33"/>
      <c r="DT705" s="33"/>
      <c r="DU705" s="33"/>
      <c r="DV705" s="33"/>
      <c r="DW705" s="33"/>
      <c r="DX705" s="33"/>
      <c r="DY705" s="33"/>
      <c r="DZ705" s="33"/>
      <c r="EA705" s="33"/>
      <c r="EB705" s="33"/>
      <c r="EC705" s="33"/>
      <c r="ED705" s="33"/>
      <c r="EE705" s="33"/>
      <c r="EF705" s="33"/>
      <c r="EG705" s="33"/>
      <c r="EH705" s="33"/>
      <c r="EI705" s="33"/>
      <c r="EJ705" s="33"/>
      <c r="EK705" s="33"/>
      <c r="EL705" s="33"/>
      <c r="EM705" s="33"/>
      <c r="EN705" s="33"/>
      <c r="EO705" s="33"/>
      <c r="EP705" s="33"/>
      <c r="EQ705" s="33"/>
      <c r="ER705" s="33"/>
      <c r="ES705" s="33"/>
    </row>
    <row r="706">
      <c r="A706" s="33"/>
      <c r="B706" s="33"/>
      <c r="C706" s="33"/>
      <c r="D706" s="33"/>
      <c r="E706" s="33"/>
      <c r="F706" s="33"/>
      <c r="G706" s="85"/>
      <c r="H706" s="85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33"/>
      <c r="Y706" s="33"/>
      <c r="Z706" s="33"/>
      <c r="AA706" s="33"/>
      <c r="AB706" s="33"/>
      <c r="AC706" s="33"/>
      <c r="AD706" s="33"/>
      <c r="AE706" s="33"/>
      <c r="AF706" s="33"/>
      <c r="AG706" s="33"/>
      <c r="AH706" s="33"/>
      <c r="AI706" s="33"/>
      <c r="AJ706" s="33"/>
      <c r="AK706" s="33"/>
      <c r="AL706" s="33"/>
      <c r="AM706" s="33"/>
      <c r="AN706" s="33"/>
      <c r="AO706" s="33"/>
      <c r="AP706" s="33"/>
      <c r="AQ706" s="33"/>
      <c r="AR706" s="33"/>
      <c r="AS706" s="33"/>
      <c r="AT706" s="33"/>
      <c r="AU706" s="33"/>
      <c r="AV706" s="33"/>
      <c r="AW706" s="33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  <c r="BI706" s="33"/>
      <c r="BJ706" s="33"/>
      <c r="BK706" s="33"/>
      <c r="BL706" s="33"/>
      <c r="BM706" s="33"/>
      <c r="BN706" s="33"/>
      <c r="BO706" s="33"/>
      <c r="BP706" s="33"/>
      <c r="BQ706" s="33"/>
      <c r="BR706" s="33"/>
      <c r="BS706" s="33"/>
      <c r="BT706" s="33"/>
      <c r="BU706" s="33"/>
      <c r="BV706" s="33"/>
      <c r="BW706" s="33"/>
      <c r="BX706" s="33"/>
      <c r="BY706" s="33"/>
      <c r="BZ706" s="33"/>
      <c r="CA706" s="33"/>
      <c r="CB706" s="33"/>
      <c r="CC706" s="33"/>
      <c r="CD706" s="33"/>
      <c r="CE706" s="33"/>
      <c r="CF706" s="33"/>
      <c r="CG706" s="33"/>
      <c r="CH706" s="33"/>
      <c r="CI706" s="33"/>
      <c r="CJ706" s="33"/>
      <c r="CK706" s="33"/>
      <c r="CL706" s="33"/>
      <c r="CM706" s="33"/>
      <c r="CN706" s="33"/>
      <c r="CO706" s="33"/>
      <c r="CP706" s="33"/>
      <c r="CQ706" s="33"/>
      <c r="CR706" s="33"/>
      <c r="CS706" s="33"/>
      <c r="CT706" s="33"/>
      <c r="CU706" s="33"/>
      <c r="CV706" s="33"/>
      <c r="CW706" s="33"/>
      <c r="CX706" s="33"/>
      <c r="CY706" s="33"/>
      <c r="CZ706" s="33"/>
      <c r="DA706" s="33"/>
      <c r="DB706" s="33"/>
      <c r="DC706" s="33"/>
      <c r="DD706" s="33"/>
      <c r="DE706" s="33"/>
      <c r="DF706" s="33"/>
      <c r="DG706" s="33"/>
      <c r="DH706" s="33"/>
      <c r="DI706" s="33"/>
      <c r="DJ706" s="33"/>
      <c r="DK706" s="33"/>
      <c r="DL706" s="33"/>
      <c r="DM706" s="33"/>
      <c r="DN706" s="33"/>
      <c r="DO706" s="33"/>
      <c r="DP706" s="33"/>
      <c r="DQ706" s="33"/>
      <c r="DR706" s="33"/>
      <c r="DS706" s="33"/>
      <c r="DT706" s="33"/>
      <c r="DU706" s="33"/>
      <c r="DV706" s="33"/>
      <c r="DW706" s="33"/>
      <c r="DX706" s="33"/>
      <c r="DY706" s="33"/>
      <c r="DZ706" s="33"/>
      <c r="EA706" s="33"/>
      <c r="EB706" s="33"/>
      <c r="EC706" s="33"/>
      <c r="ED706" s="33"/>
      <c r="EE706" s="33"/>
      <c r="EF706" s="33"/>
      <c r="EG706" s="33"/>
      <c r="EH706" s="33"/>
      <c r="EI706" s="33"/>
      <c r="EJ706" s="33"/>
      <c r="EK706" s="33"/>
      <c r="EL706" s="33"/>
      <c r="EM706" s="33"/>
      <c r="EN706" s="33"/>
      <c r="EO706" s="33"/>
      <c r="EP706" s="33"/>
      <c r="EQ706" s="33"/>
      <c r="ER706" s="33"/>
      <c r="ES706" s="33"/>
    </row>
    <row r="707">
      <c r="A707" s="33"/>
      <c r="B707" s="33"/>
      <c r="C707" s="33"/>
      <c r="D707" s="33"/>
      <c r="E707" s="33"/>
      <c r="F707" s="33"/>
      <c r="G707" s="85"/>
      <c r="H707" s="85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33"/>
      <c r="Y707" s="33"/>
      <c r="Z707" s="33"/>
      <c r="AA707" s="33"/>
      <c r="AB707" s="33"/>
      <c r="AC707" s="33"/>
      <c r="AD707" s="33"/>
      <c r="AE707" s="33"/>
      <c r="AF707" s="33"/>
      <c r="AG707" s="33"/>
      <c r="AH707" s="33"/>
      <c r="AI707" s="33"/>
      <c r="AJ707" s="33"/>
      <c r="AK707" s="33"/>
      <c r="AL707" s="33"/>
      <c r="AM707" s="33"/>
      <c r="AN707" s="33"/>
      <c r="AO707" s="33"/>
      <c r="AP707" s="33"/>
      <c r="AQ707" s="33"/>
      <c r="AR707" s="33"/>
      <c r="AS707" s="33"/>
      <c r="AT707" s="33"/>
      <c r="AU707" s="33"/>
      <c r="AV707" s="33"/>
      <c r="AW707" s="33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  <c r="BI707" s="33"/>
      <c r="BJ707" s="33"/>
      <c r="BK707" s="33"/>
      <c r="BL707" s="33"/>
      <c r="BM707" s="33"/>
      <c r="BN707" s="33"/>
      <c r="BO707" s="33"/>
      <c r="BP707" s="33"/>
      <c r="BQ707" s="33"/>
      <c r="BR707" s="33"/>
      <c r="BS707" s="33"/>
      <c r="BT707" s="33"/>
      <c r="BU707" s="33"/>
      <c r="BV707" s="33"/>
      <c r="BW707" s="33"/>
      <c r="BX707" s="33"/>
      <c r="BY707" s="33"/>
      <c r="BZ707" s="33"/>
      <c r="CA707" s="33"/>
      <c r="CB707" s="33"/>
      <c r="CC707" s="33"/>
      <c r="CD707" s="33"/>
      <c r="CE707" s="33"/>
      <c r="CF707" s="33"/>
      <c r="CG707" s="33"/>
      <c r="CH707" s="33"/>
      <c r="CI707" s="33"/>
      <c r="CJ707" s="33"/>
      <c r="CK707" s="33"/>
      <c r="CL707" s="33"/>
      <c r="CM707" s="33"/>
      <c r="CN707" s="33"/>
      <c r="CO707" s="33"/>
      <c r="CP707" s="33"/>
      <c r="CQ707" s="33"/>
      <c r="CR707" s="33"/>
      <c r="CS707" s="33"/>
      <c r="CT707" s="33"/>
      <c r="CU707" s="33"/>
      <c r="CV707" s="33"/>
      <c r="CW707" s="33"/>
      <c r="CX707" s="33"/>
      <c r="CY707" s="33"/>
      <c r="CZ707" s="33"/>
      <c r="DA707" s="33"/>
      <c r="DB707" s="33"/>
      <c r="DC707" s="33"/>
      <c r="DD707" s="33"/>
      <c r="DE707" s="33"/>
      <c r="DF707" s="33"/>
      <c r="DG707" s="33"/>
      <c r="DH707" s="33"/>
      <c r="DI707" s="33"/>
      <c r="DJ707" s="33"/>
      <c r="DK707" s="33"/>
      <c r="DL707" s="33"/>
      <c r="DM707" s="33"/>
      <c r="DN707" s="33"/>
      <c r="DO707" s="33"/>
      <c r="DP707" s="33"/>
      <c r="DQ707" s="33"/>
      <c r="DR707" s="33"/>
      <c r="DS707" s="33"/>
      <c r="DT707" s="33"/>
      <c r="DU707" s="33"/>
      <c r="DV707" s="33"/>
      <c r="DW707" s="33"/>
      <c r="DX707" s="33"/>
      <c r="DY707" s="33"/>
      <c r="DZ707" s="33"/>
      <c r="EA707" s="33"/>
      <c r="EB707" s="33"/>
      <c r="EC707" s="33"/>
      <c r="ED707" s="33"/>
      <c r="EE707" s="33"/>
      <c r="EF707" s="33"/>
      <c r="EG707" s="33"/>
      <c r="EH707" s="33"/>
      <c r="EI707" s="33"/>
      <c r="EJ707" s="33"/>
      <c r="EK707" s="33"/>
      <c r="EL707" s="33"/>
      <c r="EM707" s="33"/>
      <c r="EN707" s="33"/>
      <c r="EO707" s="33"/>
      <c r="EP707" s="33"/>
      <c r="EQ707" s="33"/>
      <c r="ER707" s="33"/>
      <c r="ES707" s="33"/>
    </row>
    <row r="708">
      <c r="A708" s="33"/>
      <c r="B708" s="33"/>
      <c r="C708" s="33"/>
      <c r="D708" s="33"/>
      <c r="E708" s="33"/>
      <c r="F708" s="33"/>
      <c r="G708" s="85"/>
      <c r="H708" s="85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33"/>
      <c r="Y708" s="33"/>
      <c r="Z708" s="33"/>
      <c r="AA708" s="33"/>
      <c r="AB708" s="33"/>
      <c r="AC708" s="33"/>
      <c r="AD708" s="33"/>
      <c r="AE708" s="33"/>
      <c r="AF708" s="33"/>
      <c r="AG708" s="33"/>
      <c r="AH708" s="33"/>
      <c r="AI708" s="33"/>
      <c r="AJ708" s="33"/>
      <c r="AK708" s="33"/>
      <c r="AL708" s="33"/>
      <c r="AM708" s="33"/>
      <c r="AN708" s="33"/>
      <c r="AO708" s="33"/>
      <c r="AP708" s="33"/>
      <c r="AQ708" s="33"/>
      <c r="AR708" s="33"/>
      <c r="AS708" s="33"/>
      <c r="AT708" s="33"/>
      <c r="AU708" s="33"/>
      <c r="AV708" s="33"/>
      <c r="AW708" s="33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  <c r="BI708" s="33"/>
      <c r="BJ708" s="33"/>
      <c r="BK708" s="33"/>
      <c r="BL708" s="33"/>
      <c r="BM708" s="33"/>
      <c r="BN708" s="33"/>
      <c r="BO708" s="33"/>
      <c r="BP708" s="33"/>
      <c r="BQ708" s="33"/>
      <c r="BR708" s="33"/>
      <c r="BS708" s="33"/>
      <c r="BT708" s="33"/>
      <c r="BU708" s="33"/>
      <c r="BV708" s="33"/>
      <c r="BW708" s="33"/>
      <c r="BX708" s="33"/>
      <c r="BY708" s="33"/>
      <c r="BZ708" s="33"/>
      <c r="CA708" s="33"/>
      <c r="CB708" s="33"/>
      <c r="CC708" s="33"/>
      <c r="CD708" s="33"/>
      <c r="CE708" s="33"/>
      <c r="CF708" s="33"/>
      <c r="CG708" s="33"/>
      <c r="CH708" s="33"/>
      <c r="CI708" s="33"/>
      <c r="CJ708" s="33"/>
      <c r="CK708" s="33"/>
      <c r="CL708" s="33"/>
      <c r="CM708" s="33"/>
      <c r="CN708" s="33"/>
      <c r="CO708" s="33"/>
      <c r="CP708" s="33"/>
      <c r="CQ708" s="33"/>
      <c r="CR708" s="33"/>
      <c r="CS708" s="33"/>
      <c r="CT708" s="33"/>
      <c r="CU708" s="33"/>
      <c r="CV708" s="33"/>
      <c r="CW708" s="33"/>
      <c r="CX708" s="33"/>
      <c r="CY708" s="33"/>
      <c r="CZ708" s="33"/>
      <c r="DA708" s="33"/>
      <c r="DB708" s="33"/>
      <c r="DC708" s="33"/>
      <c r="DD708" s="33"/>
      <c r="DE708" s="33"/>
      <c r="DF708" s="33"/>
      <c r="DG708" s="33"/>
      <c r="DH708" s="33"/>
      <c r="DI708" s="33"/>
      <c r="DJ708" s="33"/>
      <c r="DK708" s="33"/>
      <c r="DL708" s="33"/>
      <c r="DM708" s="33"/>
      <c r="DN708" s="33"/>
      <c r="DO708" s="33"/>
      <c r="DP708" s="33"/>
      <c r="DQ708" s="33"/>
      <c r="DR708" s="33"/>
      <c r="DS708" s="33"/>
      <c r="DT708" s="33"/>
      <c r="DU708" s="33"/>
      <c r="DV708" s="33"/>
      <c r="DW708" s="33"/>
      <c r="DX708" s="33"/>
      <c r="DY708" s="33"/>
      <c r="DZ708" s="33"/>
      <c r="EA708" s="33"/>
      <c r="EB708" s="33"/>
      <c r="EC708" s="33"/>
      <c r="ED708" s="33"/>
      <c r="EE708" s="33"/>
      <c r="EF708" s="33"/>
      <c r="EG708" s="33"/>
      <c r="EH708" s="33"/>
      <c r="EI708" s="33"/>
      <c r="EJ708" s="33"/>
      <c r="EK708" s="33"/>
      <c r="EL708" s="33"/>
      <c r="EM708" s="33"/>
      <c r="EN708" s="33"/>
      <c r="EO708" s="33"/>
      <c r="EP708" s="33"/>
      <c r="EQ708" s="33"/>
      <c r="ER708" s="33"/>
      <c r="ES708" s="33"/>
    </row>
    <row r="709">
      <c r="A709" s="33"/>
      <c r="B709" s="33"/>
      <c r="C709" s="33"/>
      <c r="D709" s="33"/>
      <c r="E709" s="33"/>
      <c r="F709" s="33"/>
      <c r="G709" s="85"/>
      <c r="H709" s="85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33"/>
      <c r="Y709" s="33"/>
      <c r="Z709" s="33"/>
      <c r="AA709" s="33"/>
      <c r="AB709" s="33"/>
      <c r="AC709" s="33"/>
      <c r="AD709" s="33"/>
      <c r="AE709" s="33"/>
      <c r="AF709" s="33"/>
      <c r="AG709" s="33"/>
      <c r="AH709" s="33"/>
      <c r="AI709" s="33"/>
      <c r="AJ709" s="33"/>
      <c r="AK709" s="33"/>
      <c r="AL709" s="33"/>
      <c r="AM709" s="33"/>
      <c r="AN709" s="33"/>
      <c r="AO709" s="33"/>
      <c r="AP709" s="33"/>
      <c r="AQ709" s="33"/>
      <c r="AR709" s="33"/>
      <c r="AS709" s="33"/>
      <c r="AT709" s="33"/>
      <c r="AU709" s="33"/>
      <c r="AV709" s="33"/>
      <c r="AW709" s="33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  <c r="BI709" s="33"/>
      <c r="BJ709" s="33"/>
      <c r="BK709" s="33"/>
      <c r="BL709" s="33"/>
      <c r="BM709" s="33"/>
      <c r="BN709" s="33"/>
      <c r="BO709" s="33"/>
      <c r="BP709" s="33"/>
      <c r="BQ709" s="33"/>
      <c r="BR709" s="33"/>
      <c r="BS709" s="33"/>
      <c r="BT709" s="33"/>
      <c r="BU709" s="33"/>
      <c r="BV709" s="33"/>
      <c r="BW709" s="33"/>
      <c r="BX709" s="33"/>
      <c r="BY709" s="33"/>
      <c r="BZ709" s="33"/>
      <c r="CA709" s="33"/>
      <c r="CB709" s="33"/>
      <c r="CC709" s="33"/>
      <c r="CD709" s="33"/>
      <c r="CE709" s="33"/>
      <c r="CF709" s="33"/>
      <c r="CG709" s="33"/>
      <c r="CH709" s="33"/>
      <c r="CI709" s="33"/>
      <c r="CJ709" s="33"/>
      <c r="CK709" s="33"/>
      <c r="CL709" s="33"/>
      <c r="CM709" s="33"/>
      <c r="CN709" s="33"/>
      <c r="CO709" s="33"/>
      <c r="CP709" s="33"/>
      <c r="CQ709" s="33"/>
      <c r="CR709" s="33"/>
      <c r="CS709" s="33"/>
      <c r="CT709" s="33"/>
      <c r="CU709" s="33"/>
      <c r="CV709" s="33"/>
      <c r="CW709" s="33"/>
      <c r="CX709" s="33"/>
      <c r="CY709" s="33"/>
      <c r="CZ709" s="33"/>
      <c r="DA709" s="33"/>
      <c r="DB709" s="33"/>
      <c r="DC709" s="33"/>
      <c r="DD709" s="33"/>
      <c r="DE709" s="33"/>
      <c r="DF709" s="33"/>
      <c r="DG709" s="33"/>
      <c r="DH709" s="33"/>
      <c r="DI709" s="33"/>
      <c r="DJ709" s="33"/>
      <c r="DK709" s="33"/>
      <c r="DL709" s="33"/>
      <c r="DM709" s="33"/>
      <c r="DN709" s="33"/>
      <c r="DO709" s="33"/>
      <c r="DP709" s="33"/>
      <c r="DQ709" s="33"/>
      <c r="DR709" s="33"/>
      <c r="DS709" s="33"/>
      <c r="DT709" s="33"/>
      <c r="DU709" s="33"/>
      <c r="DV709" s="33"/>
      <c r="DW709" s="33"/>
      <c r="DX709" s="33"/>
      <c r="DY709" s="33"/>
      <c r="DZ709" s="33"/>
      <c r="EA709" s="33"/>
      <c r="EB709" s="33"/>
      <c r="EC709" s="33"/>
      <c r="ED709" s="33"/>
      <c r="EE709" s="33"/>
      <c r="EF709" s="33"/>
      <c r="EG709" s="33"/>
      <c r="EH709" s="33"/>
      <c r="EI709" s="33"/>
      <c r="EJ709" s="33"/>
      <c r="EK709" s="33"/>
      <c r="EL709" s="33"/>
      <c r="EM709" s="33"/>
      <c r="EN709" s="33"/>
      <c r="EO709" s="33"/>
      <c r="EP709" s="33"/>
      <c r="EQ709" s="33"/>
      <c r="ER709" s="33"/>
      <c r="ES709" s="33"/>
    </row>
    <row r="710">
      <c r="A710" s="33"/>
      <c r="B710" s="33"/>
      <c r="C710" s="33"/>
      <c r="D710" s="33"/>
      <c r="E710" s="33"/>
      <c r="F710" s="33"/>
      <c r="G710" s="85"/>
      <c r="H710" s="85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33"/>
      <c r="Y710" s="33"/>
      <c r="Z710" s="33"/>
      <c r="AA710" s="33"/>
      <c r="AB710" s="33"/>
      <c r="AC710" s="33"/>
      <c r="AD710" s="33"/>
      <c r="AE710" s="33"/>
      <c r="AF710" s="33"/>
      <c r="AG710" s="33"/>
      <c r="AH710" s="33"/>
      <c r="AI710" s="33"/>
      <c r="AJ710" s="33"/>
      <c r="AK710" s="33"/>
      <c r="AL710" s="33"/>
      <c r="AM710" s="33"/>
      <c r="AN710" s="33"/>
      <c r="AO710" s="33"/>
      <c r="AP710" s="33"/>
      <c r="AQ710" s="33"/>
      <c r="AR710" s="33"/>
      <c r="AS710" s="33"/>
      <c r="AT710" s="33"/>
      <c r="AU710" s="33"/>
      <c r="AV710" s="33"/>
      <c r="AW710" s="33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  <c r="BI710" s="33"/>
      <c r="BJ710" s="33"/>
      <c r="BK710" s="33"/>
      <c r="BL710" s="33"/>
      <c r="BM710" s="33"/>
      <c r="BN710" s="33"/>
      <c r="BO710" s="33"/>
      <c r="BP710" s="33"/>
      <c r="BQ710" s="33"/>
      <c r="BR710" s="33"/>
      <c r="BS710" s="33"/>
      <c r="BT710" s="33"/>
      <c r="BU710" s="33"/>
      <c r="BV710" s="33"/>
      <c r="BW710" s="33"/>
      <c r="BX710" s="33"/>
      <c r="BY710" s="33"/>
      <c r="BZ710" s="33"/>
      <c r="CA710" s="33"/>
      <c r="CB710" s="33"/>
      <c r="CC710" s="33"/>
      <c r="CD710" s="33"/>
      <c r="CE710" s="33"/>
      <c r="CF710" s="33"/>
      <c r="CG710" s="33"/>
      <c r="CH710" s="33"/>
      <c r="CI710" s="33"/>
      <c r="CJ710" s="33"/>
      <c r="CK710" s="33"/>
      <c r="CL710" s="33"/>
      <c r="CM710" s="33"/>
      <c r="CN710" s="33"/>
      <c r="CO710" s="33"/>
      <c r="CP710" s="33"/>
      <c r="CQ710" s="33"/>
      <c r="CR710" s="33"/>
      <c r="CS710" s="33"/>
      <c r="CT710" s="33"/>
      <c r="CU710" s="33"/>
      <c r="CV710" s="33"/>
      <c r="CW710" s="33"/>
      <c r="CX710" s="33"/>
      <c r="CY710" s="33"/>
      <c r="CZ710" s="33"/>
      <c r="DA710" s="33"/>
      <c r="DB710" s="33"/>
      <c r="DC710" s="33"/>
      <c r="DD710" s="33"/>
      <c r="DE710" s="33"/>
      <c r="DF710" s="33"/>
      <c r="DG710" s="33"/>
      <c r="DH710" s="33"/>
      <c r="DI710" s="33"/>
      <c r="DJ710" s="33"/>
      <c r="DK710" s="33"/>
      <c r="DL710" s="33"/>
      <c r="DM710" s="33"/>
      <c r="DN710" s="33"/>
      <c r="DO710" s="33"/>
      <c r="DP710" s="33"/>
      <c r="DQ710" s="33"/>
      <c r="DR710" s="33"/>
      <c r="DS710" s="33"/>
      <c r="DT710" s="33"/>
      <c r="DU710" s="33"/>
      <c r="DV710" s="33"/>
      <c r="DW710" s="33"/>
      <c r="DX710" s="33"/>
      <c r="DY710" s="33"/>
      <c r="DZ710" s="33"/>
      <c r="EA710" s="33"/>
      <c r="EB710" s="33"/>
      <c r="EC710" s="33"/>
      <c r="ED710" s="33"/>
      <c r="EE710" s="33"/>
      <c r="EF710" s="33"/>
      <c r="EG710" s="33"/>
      <c r="EH710" s="33"/>
      <c r="EI710" s="33"/>
      <c r="EJ710" s="33"/>
      <c r="EK710" s="33"/>
      <c r="EL710" s="33"/>
      <c r="EM710" s="33"/>
      <c r="EN710" s="33"/>
      <c r="EO710" s="33"/>
      <c r="EP710" s="33"/>
      <c r="EQ710" s="33"/>
      <c r="ER710" s="33"/>
      <c r="ES710" s="33"/>
    </row>
    <row r="711">
      <c r="A711" s="33"/>
      <c r="B711" s="33"/>
      <c r="C711" s="33"/>
      <c r="D711" s="33"/>
      <c r="E711" s="33"/>
      <c r="F711" s="33"/>
      <c r="G711" s="85"/>
      <c r="H711" s="85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33"/>
      <c r="Y711" s="33"/>
      <c r="Z711" s="33"/>
      <c r="AA711" s="33"/>
      <c r="AB711" s="33"/>
      <c r="AC711" s="33"/>
      <c r="AD711" s="33"/>
      <c r="AE711" s="33"/>
      <c r="AF711" s="33"/>
      <c r="AG711" s="33"/>
      <c r="AH711" s="33"/>
      <c r="AI711" s="33"/>
      <c r="AJ711" s="33"/>
      <c r="AK711" s="33"/>
      <c r="AL711" s="33"/>
      <c r="AM711" s="33"/>
      <c r="AN711" s="33"/>
      <c r="AO711" s="33"/>
      <c r="AP711" s="33"/>
      <c r="AQ711" s="33"/>
      <c r="AR711" s="33"/>
      <c r="AS711" s="33"/>
      <c r="AT711" s="33"/>
      <c r="AU711" s="33"/>
      <c r="AV711" s="33"/>
      <c r="AW711" s="33"/>
      <c r="AX711" s="33"/>
      <c r="AY711" s="33"/>
      <c r="AZ711" s="33"/>
      <c r="BA711" s="33"/>
      <c r="BB711" s="33"/>
      <c r="BC711" s="33"/>
      <c r="BD711" s="33"/>
      <c r="BE711" s="33"/>
      <c r="BF711" s="33"/>
      <c r="BG711" s="33"/>
      <c r="BH711" s="33"/>
      <c r="BI711" s="33"/>
      <c r="BJ711" s="33"/>
      <c r="BK711" s="33"/>
      <c r="BL711" s="33"/>
      <c r="BM711" s="33"/>
      <c r="BN711" s="33"/>
      <c r="BO711" s="33"/>
      <c r="BP711" s="33"/>
      <c r="BQ711" s="33"/>
      <c r="BR711" s="33"/>
      <c r="BS711" s="33"/>
      <c r="BT711" s="33"/>
      <c r="BU711" s="33"/>
      <c r="BV711" s="33"/>
      <c r="BW711" s="33"/>
      <c r="BX711" s="33"/>
      <c r="BY711" s="33"/>
      <c r="BZ711" s="33"/>
      <c r="CA711" s="33"/>
      <c r="CB711" s="33"/>
      <c r="CC711" s="33"/>
      <c r="CD711" s="33"/>
      <c r="CE711" s="33"/>
      <c r="CF711" s="33"/>
      <c r="CG711" s="33"/>
      <c r="CH711" s="33"/>
      <c r="CI711" s="33"/>
      <c r="CJ711" s="33"/>
      <c r="CK711" s="33"/>
      <c r="CL711" s="33"/>
      <c r="CM711" s="33"/>
      <c r="CN711" s="33"/>
      <c r="CO711" s="33"/>
      <c r="CP711" s="33"/>
      <c r="CQ711" s="33"/>
      <c r="CR711" s="33"/>
      <c r="CS711" s="33"/>
      <c r="CT711" s="33"/>
      <c r="CU711" s="33"/>
      <c r="CV711" s="33"/>
      <c r="CW711" s="33"/>
      <c r="CX711" s="33"/>
      <c r="CY711" s="33"/>
      <c r="CZ711" s="33"/>
      <c r="DA711" s="33"/>
      <c r="DB711" s="33"/>
      <c r="DC711" s="33"/>
      <c r="DD711" s="33"/>
      <c r="DE711" s="33"/>
      <c r="DF711" s="33"/>
      <c r="DG711" s="33"/>
      <c r="DH711" s="33"/>
      <c r="DI711" s="33"/>
      <c r="DJ711" s="33"/>
      <c r="DK711" s="33"/>
      <c r="DL711" s="33"/>
      <c r="DM711" s="33"/>
      <c r="DN711" s="33"/>
      <c r="DO711" s="33"/>
      <c r="DP711" s="33"/>
      <c r="DQ711" s="33"/>
      <c r="DR711" s="33"/>
      <c r="DS711" s="33"/>
      <c r="DT711" s="33"/>
      <c r="DU711" s="33"/>
      <c r="DV711" s="33"/>
      <c r="DW711" s="33"/>
      <c r="DX711" s="33"/>
      <c r="DY711" s="33"/>
      <c r="DZ711" s="33"/>
      <c r="EA711" s="33"/>
      <c r="EB711" s="33"/>
      <c r="EC711" s="33"/>
      <c r="ED711" s="33"/>
      <c r="EE711" s="33"/>
      <c r="EF711" s="33"/>
      <c r="EG711" s="33"/>
      <c r="EH711" s="33"/>
      <c r="EI711" s="33"/>
      <c r="EJ711" s="33"/>
      <c r="EK711" s="33"/>
      <c r="EL711" s="33"/>
      <c r="EM711" s="33"/>
      <c r="EN711" s="33"/>
      <c r="EO711" s="33"/>
      <c r="EP711" s="33"/>
      <c r="EQ711" s="33"/>
      <c r="ER711" s="33"/>
      <c r="ES711" s="33"/>
    </row>
    <row r="712">
      <c r="A712" s="33"/>
      <c r="B712" s="33"/>
      <c r="C712" s="33"/>
      <c r="D712" s="33"/>
      <c r="E712" s="33"/>
      <c r="F712" s="33"/>
      <c r="G712" s="85"/>
      <c r="H712" s="85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33"/>
      <c r="Y712" s="33"/>
      <c r="Z712" s="33"/>
      <c r="AA712" s="33"/>
      <c r="AB712" s="33"/>
      <c r="AC712" s="33"/>
      <c r="AD712" s="33"/>
      <c r="AE712" s="33"/>
      <c r="AF712" s="33"/>
      <c r="AG712" s="33"/>
      <c r="AH712" s="33"/>
      <c r="AI712" s="33"/>
      <c r="AJ712" s="33"/>
      <c r="AK712" s="33"/>
      <c r="AL712" s="33"/>
      <c r="AM712" s="33"/>
      <c r="AN712" s="33"/>
      <c r="AO712" s="33"/>
      <c r="AP712" s="33"/>
      <c r="AQ712" s="33"/>
      <c r="AR712" s="33"/>
      <c r="AS712" s="33"/>
      <c r="AT712" s="33"/>
      <c r="AU712" s="33"/>
      <c r="AV712" s="33"/>
      <c r="AW712" s="33"/>
      <c r="AX712" s="33"/>
      <c r="AY712" s="33"/>
      <c r="AZ712" s="33"/>
      <c r="BA712" s="33"/>
      <c r="BB712" s="33"/>
      <c r="BC712" s="33"/>
      <c r="BD712" s="33"/>
      <c r="BE712" s="33"/>
      <c r="BF712" s="33"/>
      <c r="BG712" s="33"/>
      <c r="BH712" s="33"/>
      <c r="BI712" s="33"/>
      <c r="BJ712" s="33"/>
      <c r="BK712" s="33"/>
      <c r="BL712" s="33"/>
      <c r="BM712" s="33"/>
      <c r="BN712" s="33"/>
      <c r="BO712" s="33"/>
      <c r="BP712" s="33"/>
      <c r="BQ712" s="33"/>
      <c r="BR712" s="33"/>
      <c r="BS712" s="33"/>
      <c r="BT712" s="33"/>
      <c r="BU712" s="33"/>
      <c r="BV712" s="33"/>
      <c r="BW712" s="33"/>
      <c r="BX712" s="33"/>
      <c r="BY712" s="33"/>
      <c r="BZ712" s="33"/>
      <c r="CA712" s="33"/>
      <c r="CB712" s="33"/>
      <c r="CC712" s="33"/>
      <c r="CD712" s="33"/>
      <c r="CE712" s="33"/>
      <c r="CF712" s="33"/>
      <c r="CG712" s="33"/>
      <c r="CH712" s="33"/>
      <c r="CI712" s="33"/>
      <c r="CJ712" s="33"/>
      <c r="CK712" s="33"/>
      <c r="CL712" s="33"/>
      <c r="CM712" s="33"/>
      <c r="CN712" s="33"/>
      <c r="CO712" s="33"/>
      <c r="CP712" s="33"/>
      <c r="CQ712" s="33"/>
      <c r="CR712" s="33"/>
      <c r="CS712" s="33"/>
      <c r="CT712" s="33"/>
      <c r="CU712" s="33"/>
      <c r="CV712" s="33"/>
      <c r="CW712" s="33"/>
      <c r="CX712" s="33"/>
      <c r="CY712" s="33"/>
      <c r="CZ712" s="33"/>
      <c r="DA712" s="33"/>
      <c r="DB712" s="33"/>
      <c r="DC712" s="33"/>
      <c r="DD712" s="33"/>
      <c r="DE712" s="33"/>
      <c r="DF712" s="33"/>
      <c r="DG712" s="33"/>
      <c r="DH712" s="33"/>
      <c r="DI712" s="33"/>
      <c r="DJ712" s="33"/>
      <c r="DK712" s="33"/>
      <c r="DL712" s="33"/>
      <c r="DM712" s="33"/>
      <c r="DN712" s="33"/>
      <c r="DO712" s="33"/>
      <c r="DP712" s="33"/>
      <c r="DQ712" s="33"/>
      <c r="DR712" s="33"/>
      <c r="DS712" s="33"/>
      <c r="DT712" s="33"/>
      <c r="DU712" s="33"/>
      <c r="DV712" s="33"/>
      <c r="DW712" s="33"/>
      <c r="DX712" s="33"/>
      <c r="DY712" s="33"/>
      <c r="DZ712" s="33"/>
      <c r="EA712" s="33"/>
      <c r="EB712" s="33"/>
      <c r="EC712" s="33"/>
      <c r="ED712" s="33"/>
      <c r="EE712" s="33"/>
      <c r="EF712" s="33"/>
      <c r="EG712" s="33"/>
      <c r="EH712" s="33"/>
      <c r="EI712" s="33"/>
      <c r="EJ712" s="33"/>
      <c r="EK712" s="33"/>
      <c r="EL712" s="33"/>
      <c r="EM712" s="33"/>
      <c r="EN712" s="33"/>
      <c r="EO712" s="33"/>
      <c r="EP712" s="33"/>
      <c r="EQ712" s="33"/>
      <c r="ER712" s="33"/>
      <c r="ES712" s="33"/>
    </row>
    <row r="713">
      <c r="A713" s="33"/>
      <c r="B713" s="33"/>
      <c r="C713" s="33"/>
      <c r="D713" s="33"/>
      <c r="E713" s="33"/>
      <c r="F713" s="33"/>
      <c r="G713" s="85"/>
      <c r="H713" s="85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33"/>
      <c r="Y713" s="33"/>
      <c r="Z713" s="33"/>
      <c r="AA713" s="33"/>
      <c r="AB713" s="33"/>
      <c r="AC713" s="33"/>
      <c r="AD713" s="33"/>
      <c r="AE713" s="33"/>
      <c r="AF713" s="33"/>
      <c r="AG713" s="33"/>
      <c r="AH713" s="33"/>
      <c r="AI713" s="33"/>
      <c r="AJ713" s="33"/>
      <c r="AK713" s="33"/>
      <c r="AL713" s="33"/>
      <c r="AM713" s="33"/>
      <c r="AN713" s="33"/>
      <c r="AO713" s="33"/>
      <c r="AP713" s="33"/>
      <c r="AQ713" s="33"/>
      <c r="AR713" s="33"/>
      <c r="AS713" s="33"/>
      <c r="AT713" s="33"/>
      <c r="AU713" s="33"/>
      <c r="AV713" s="33"/>
      <c r="AW713" s="33"/>
      <c r="AX713" s="33"/>
      <c r="AY713" s="33"/>
      <c r="AZ713" s="33"/>
      <c r="BA713" s="33"/>
      <c r="BB713" s="33"/>
      <c r="BC713" s="33"/>
      <c r="BD713" s="33"/>
      <c r="BE713" s="33"/>
      <c r="BF713" s="33"/>
      <c r="BG713" s="33"/>
      <c r="BH713" s="33"/>
      <c r="BI713" s="33"/>
      <c r="BJ713" s="33"/>
      <c r="BK713" s="33"/>
      <c r="BL713" s="33"/>
      <c r="BM713" s="33"/>
      <c r="BN713" s="33"/>
      <c r="BO713" s="33"/>
      <c r="BP713" s="33"/>
      <c r="BQ713" s="33"/>
      <c r="BR713" s="33"/>
      <c r="BS713" s="33"/>
      <c r="BT713" s="33"/>
      <c r="BU713" s="33"/>
      <c r="BV713" s="33"/>
      <c r="BW713" s="33"/>
      <c r="BX713" s="33"/>
      <c r="BY713" s="33"/>
      <c r="BZ713" s="33"/>
      <c r="CA713" s="33"/>
      <c r="CB713" s="33"/>
      <c r="CC713" s="33"/>
      <c r="CD713" s="33"/>
      <c r="CE713" s="33"/>
      <c r="CF713" s="33"/>
      <c r="CG713" s="33"/>
      <c r="CH713" s="33"/>
      <c r="CI713" s="33"/>
      <c r="CJ713" s="33"/>
      <c r="CK713" s="33"/>
      <c r="CL713" s="33"/>
      <c r="CM713" s="33"/>
      <c r="CN713" s="33"/>
      <c r="CO713" s="33"/>
      <c r="CP713" s="33"/>
      <c r="CQ713" s="33"/>
      <c r="CR713" s="33"/>
      <c r="CS713" s="33"/>
      <c r="CT713" s="33"/>
      <c r="CU713" s="33"/>
      <c r="CV713" s="33"/>
      <c r="CW713" s="33"/>
      <c r="CX713" s="33"/>
      <c r="CY713" s="33"/>
      <c r="CZ713" s="33"/>
      <c r="DA713" s="33"/>
      <c r="DB713" s="33"/>
      <c r="DC713" s="33"/>
      <c r="DD713" s="33"/>
      <c r="DE713" s="33"/>
      <c r="DF713" s="33"/>
      <c r="DG713" s="33"/>
      <c r="DH713" s="33"/>
      <c r="DI713" s="33"/>
      <c r="DJ713" s="33"/>
      <c r="DK713" s="33"/>
      <c r="DL713" s="33"/>
      <c r="DM713" s="33"/>
      <c r="DN713" s="33"/>
      <c r="DO713" s="33"/>
      <c r="DP713" s="33"/>
      <c r="DQ713" s="33"/>
      <c r="DR713" s="33"/>
      <c r="DS713" s="33"/>
      <c r="DT713" s="33"/>
      <c r="DU713" s="33"/>
      <c r="DV713" s="33"/>
      <c r="DW713" s="33"/>
      <c r="DX713" s="33"/>
      <c r="DY713" s="33"/>
      <c r="DZ713" s="33"/>
      <c r="EA713" s="33"/>
      <c r="EB713" s="33"/>
      <c r="EC713" s="33"/>
      <c r="ED713" s="33"/>
      <c r="EE713" s="33"/>
      <c r="EF713" s="33"/>
      <c r="EG713" s="33"/>
      <c r="EH713" s="33"/>
      <c r="EI713" s="33"/>
      <c r="EJ713" s="33"/>
      <c r="EK713" s="33"/>
      <c r="EL713" s="33"/>
      <c r="EM713" s="33"/>
      <c r="EN713" s="33"/>
      <c r="EO713" s="33"/>
      <c r="EP713" s="33"/>
      <c r="EQ713" s="33"/>
      <c r="ER713" s="33"/>
      <c r="ES713" s="33"/>
    </row>
    <row r="714">
      <c r="A714" s="33"/>
      <c r="B714" s="33"/>
      <c r="C714" s="33"/>
      <c r="D714" s="33"/>
      <c r="E714" s="33"/>
      <c r="F714" s="33"/>
      <c r="G714" s="85"/>
      <c r="H714" s="85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33"/>
      <c r="Y714" s="33"/>
      <c r="Z714" s="33"/>
      <c r="AA714" s="33"/>
      <c r="AB714" s="33"/>
      <c r="AC714" s="33"/>
      <c r="AD714" s="33"/>
      <c r="AE714" s="33"/>
      <c r="AF714" s="33"/>
      <c r="AG714" s="33"/>
      <c r="AH714" s="33"/>
      <c r="AI714" s="33"/>
      <c r="AJ714" s="33"/>
      <c r="AK714" s="33"/>
      <c r="AL714" s="33"/>
      <c r="AM714" s="33"/>
      <c r="AN714" s="33"/>
      <c r="AO714" s="33"/>
      <c r="AP714" s="33"/>
      <c r="AQ714" s="33"/>
      <c r="AR714" s="33"/>
      <c r="AS714" s="33"/>
      <c r="AT714" s="33"/>
      <c r="AU714" s="33"/>
      <c r="AV714" s="33"/>
      <c r="AW714" s="33"/>
      <c r="AX714" s="33"/>
      <c r="AY714" s="33"/>
      <c r="AZ714" s="33"/>
      <c r="BA714" s="33"/>
      <c r="BB714" s="33"/>
      <c r="BC714" s="33"/>
      <c r="BD714" s="33"/>
      <c r="BE714" s="33"/>
      <c r="BF714" s="33"/>
      <c r="BG714" s="33"/>
      <c r="BH714" s="33"/>
      <c r="BI714" s="33"/>
      <c r="BJ714" s="33"/>
      <c r="BK714" s="33"/>
      <c r="BL714" s="33"/>
      <c r="BM714" s="33"/>
      <c r="BN714" s="33"/>
      <c r="BO714" s="33"/>
      <c r="BP714" s="33"/>
      <c r="BQ714" s="33"/>
      <c r="BR714" s="33"/>
      <c r="BS714" s="33"/>
      <c r="BT714" s="33"/>
      <c r="BU714" s="33"/>
      <c r="BV714" s="33"/>
      <c r="BW714" s="33"/>
      <c r="BX714" s="33"/>
      <c r="BY714" s="33"/>
      <c r="BZ714" s="33"/>
      <c r="CA714" s="33"/>
      <c r="CB714" s="33"/>
      <c r="CC714" s="33"/>
      <c r="CD714" s="33"/>
      <c r="CE714" s="33"/>
      <c r="CF714" s="33"/>
      <c r="CG714" s="33"/>
      <c r="CH714" s="33"/>
      <c r="CI714" s="33"/>
      <c r="CJ714" s="33"/>
      <c r="CK714" s="33"/>
      <c r="CL714" s="33"/>
      <c r="CM714" s="33"/>
      <c r="CN714" s="33"/>
      <c r="CO714" s="33"/>
      <c r="CP714" s="33"/>
      <c r="CQ714" s="33"/>
      <c r="CR714" s="33"/>
      <c r="CS714" s="33"/>
      <c r="CT714" s="33"/>
      <c r="CU714" s="33"/>
      <c r="CV714" s="33"/>
      <c r="CW714" s="33"/>
      <c r="CX714" s="33"/>
      <c r="CY714" s="33"/>
      <c r="CZ714" s="33"/>
      <c r="DA714" s="33"/>
      <c r="DB714" s="33"/>
      <c r="DC714" s="33"/>
      <c r="DD714" s="33"/>
      <c r="DE714" s="33"/>
      <c r="DF714" s="33"/>
      <c r="DG714" s="33"/>
      <c r="DH714" s="33"/>
      <c r="DI714" s="33"/>
      <c r="DJ714" s="33"/>
      <c r="DK714" s="33"/>
      <c r="DL714" s="33"/>
      <c r="DM714" s="33"/>
      <c r="DN714" s="33"/>
      <c r="DO714" s="33"/>
      <c r="DP714" s="33"/>
      <c r="DQ714" s="33"/>
      <c r="DR714" s="33"/>
      <c r="DS714" s="33"/>
      <c r="DT714" s="33"/>
      <c r="DU714" s="33"/>
      <c r="DV714" s="33"/>
      <c r="DW714" s="33"/>
      <c r="DX714" s="33"/>
      <c r="DY714" s="33"/>
      <c r="DZ714" s="33"/>
      <c r="EA714" s="33"/>
      <c r="EB714" s="33"/>
      <c r="EC714" s="33"/>
      <c r="ED714" s="33"/>
      <c r="EE714" s="33"/>
      <c r="EF714" s="33"/>
      <c r="EG714" s="33"/>
      <c r="EH714" s="33"/>
      <c r="EI714" s="33"/>
      <c r="EJ714" s="33"/>
      <c r="EK714" s="33"/>
      <c r="EL714" s="33"/>
      <c r="EM714" s="33"/>
      <c r="EN714" s="33"/>
      <c r="EO714" s="33"/>
      <c r="EP714" s="33"/>
      <c r="EQ714" s="33"/>
      <c r="ER714" s="33"/>
      <c r="ES714" s="33"/>
    </row>
    <row r="715">
      <c r="A715" s="33"/>
      <c r="B715" s="33"/>
      <c r="C715" s="33"/>
      <c r="D715" s="33"/>
      <c r="E715" s="33"/>
      <c r="F715" s="33"/>
      <c r="G715" s="85"/>
      <c r="H715" s="85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33"/>
      <c r="Y715" s="33"/>
      <c r="Z715" s="33"/>
      <c r="AA715" s="33"/>
      <c r="AB715" s="33"/>
      <c r="AC715" s="33"/>
      <c r="AD715" s="33"/>
      <c r="AE715" s="33"/>
      <c r="AF715" s="33"/>
      <c r="AG715" s="33"/>
      <c r="AH715" s="33"/>
      <c r="AI715" s="33"/>
      <c r="AJ715" s="33"/>
      <c r="AK715" s="33"/>
      <c r="AL715" s="33"/>
      <c r="AM715" s="33"/>
      <c r="AN715" s="33"/>
      <c r="AO715" s="33"/>
      <c r="AP715" s="33"/>
      <c r="AQ715" s="33"/>
      <c r="AR715" s="33"/>
      <c r="AS715" s="33"/>
      <c r="AT715" s="33"/>
      <c r="AU715" s="33"/>
      <c r="AV715" s="33"/>
      <c r="AW715" s="33"/>
      <c r="AX715" s="33"/>
      <c r="AY715" s="33"/>
      <c r="AZ715" s="33"/>
      <c r="BA715" s="33"/>
      <c r="BB715" s="33"/>
      <c r="BC715" s="33"/>
      <c r="BD715" s="33"/>
      <c r="BE715" s="33"/>
      <c r="BF715" s="33"/>
      <c r="BG715" s="33"/>
      <c r="BH715" s="33"/>
      <c r="BI715" s="33"/>
      <c r="BJ715" s="33"/>
      <c r="BK715" s="33"/>
      <c r="BL715" s="33"/>
      <c r="BM715" s="33"/>
      <c r="BN715" s="33"/>
      <c r="BO715" s="33"/>
      <c r="BP715" s="33"/>
      <c r="BQ715" s="33"/>
      <c r="BR715" s="33"/>
      <c r="BS715" s="33"/>
      <c r="BT715" s="33"/>
      <c r="BU715" s="33"/>
      <c r="BV715" s="33"/>
      <c r="BW715" s="33"/>
      <c r="BX715" s="33"/>
      <c r="BY715" s="33"/>
      <c r="BZ715" s="33"/>
      <c r="CA715" s="33"/>
      <c r="CB715" s="33"/>
      <c r="CC715" s="33"/>
      <c r="CD715" s="33"/>
      <c r="CE715" s="33"/>
      <c r="CF715" s="33"/>
      <c r="CG715" s="33"/>
      <c r="CH715" s="33"/>
      <c r="CI715" s="33"/>
      <c r="CJ715" s="33"/>
      <c r="CK715" s="33"/>
      <c r="CL715" s="33"/>
      <c r="CM715" s="33"/>
      <c r="CN715" s="33"/>
      <c r="CO715" s="33"/>
      <c r="CP715" s="33"/>
      <c r="CQ715" s="33"/>
      <c r="CR715" s="33"/>
      <c r="CS715" s="33"/>
      <c r="CT715" s="33"/>
      <c r="CU715" s="33"/>
      <c r="CV715" s="33"/>
      <c r="CW715" s="33"/>
      <c r="CX715" s="33"/>
      <c r="CY715" s="33"/>
      <c r="CZ715" s="33"/>
      <c r="DA715" s="33"/>
      <c r="DB715" s="33"/>
      <c r="DC715" s="33"/>
      <c r="DD715" s="33"/>
      <c r="DE715" s="33"/>
      <c r="DF715" s="33"/>
      <c r="DG715" s="33"/>
      <c r="DH715" s="33"/>
      <c r="DI715" s="33"/>
      <c r="DJ715" s="33"/>
      <c r="DK715" s="33"/>
      <c r="DL715" s="33"/>
      <c r="DM715" s="33"/>
      <c r="DN715" s="33"/>
      <c r="DO715" s="33"/>
      <c r="DP715" s="33"/>
      <c r="DQ715" s="33"/>
      <c r="DR715" s="33"/>
      <c r="DS715" s="33"/>
      <c r="DT715" s="33"/>
      <c r="DU715" s="33"/>
      <c r="DV715" s="33"/>
      <c r="DW715" s="33"/>
      <c r="DX715" s="33"/>
      <c r="DY715" s="33"/>
      <c r="DZ715" s="33"/>
      <c r="EA715" s="33"/>
      <c r="EB715" s="33"/>
      <c r="EC715" s="33"/>
      <c r="ED715" s="33"/>
      <c r="EE715" s="33"/>
      <c r="EF715" s="33"/>
      <c r="EG715" s="33"/>
      <c r="EH715" s="33"/>
      <c r="EI715" s="33"/>
      <c r="EJ715" s="33"/>
      <c r="EK715" s="33"/>
      <c r="EL715" s="33"/>
      <c r="EM715" s="33"/>
      <c r="EN715" s="33"/>
      <c r="EO715" s="33"/>
      <c r="EP715" s="33"/>
      <c r="EQ715" s="33"/>
      <c r="ER715" s="33"/>
      <c r="ES715" s="33"/>
    </row>
    <row r="716">
      <c r="A716" s="33"/>
      <c r="B716" s="33"/>
      <c r="C716" s="33"/>
      <c r="D716" s="33"/>
      <c r="E716" s="33"/>
      <c r="F716" s="33"/>
      <c r="G716" s="85"/>
      <c r="H716" s="85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33"/>
      <c r="Y716" s="33"/>
      <c r="Z716" s="33"/>
      <c r="AA716" s="33"/>
      <c r="AB716" s="33"/>
      <c r="AC716" s="33"/>
      <c r="AD716" s="33"/>
      <c r="AE716" s="33"/>
      <c r="AF716" s="33"/>
      <c r="AG716" s="33"/>
      <c r="AH716" s="33"/>
      <c r="AI716" s="33"/>
      <c r="AJ716" s="33"/>
      <c r="AK716" s="33"/>
      <c r="AL716" s="33"/>
      <c r="AM716" s="33"/>
      <c r="AN716" s="33"/>
      <c r="AO716" s="33"/>
      <c r="AP716" s="33"/>
      <c r="AQ716" s="33"/>
      <c r="AR716" s="33"/>
      <c r="AS716" s="33"/>
      <c r="AT716" s="33"/>
      <c r="AU716" s="33"/>
      <c r="AV716" s="33"/>
      <c r="AW716" s="33"/>
      <c r="AX716" s="33"/>
      <c r="AY716" s="33"/>
      <c r="AZ716" s="33"/>
      <c r="BA716" s="33"/>
      <c r="BB716" s="33"/>
      <c r="BC716" s="33"/>
      <c r="BD716" s="33"/>
      <c r="BE716" s="33"/>
      <c r="BF716" s="33"/>
      <c r="BG716" s="33"/>
      <c r="BH716" s="33"/>
      <c r="BI716" s="33"/>
      <c r="BJ716" s="33"/>
      <c r="BK716" s="33"/>
      <c r="BL716" s="33"/>
      <c r="BM716" s="33"/>
      <c r="BN716" s="33"/>
      <c r="BO716" s="33"/>
      <c r="BP716" s="33"/>
      <c r="BQ716" s="33"/>
      <c r="BR716" s="33"/>
      <c r="BS716" s="33"/>
      <c r="BT716" s="33"/>
      <c r="BU716" s="33"/>
      <c r="BV716" s="33"/>
      <c r="BW716" s="33"/>
      <c r="BX716" s="33"/>
      <c r="BY716" s="33"/>
      <c r="BZ716" s="33"/>
      <c r="CA716" s="33"/>
      <c r="CB716" s="33"/>
      <c r="CC716" s="33"/>
      <c r="CD716" s="33"/>
      <c r="CE716" s="33"/>
      <c r="CF716" s="33"/>
      <c r="CG716" s="33"/>
      <c r="CH716" s="33"/>
      <c r="CI716" s="33"/>
      <c r="CJ716" s="33"/>
      <c r="CK716" s="33"/>
      <c r="CL716" s="33"/>
      <c r="CM716" s="33"/>
      <c r="CN716" s="33"/>
      <c r="CO716" s="33"/>
      <c r="CP716" s="33"/>
      <c r="CQ716" s="33"/>
      <c r="CR716" s="33"/>
      <c r="CS716" s="33"/>
      <c r="CT716" s="33"/>
      <c r="CU716" s="33"/>
      <c r="CV716" s="33"/>
      <c r="CW716" s="33"/>
      <c r="CX716" s="33"/>
      <c r="CY716" s="33"/>
      <c r="CZ716" s="33"/>
      <c r="DA716" s="33"/>
      <c r="DB716" s="33"/>
      <c r="DC716" s="33"/>
      <c r="DD716" s="33"/>
      <c r="DE716" s="33"/>
      <c r="DF716" s="33"/>
      <c r="DG716" s="33"/>
      <c r="DH716" s="33"/>
      <c r="DI716" s="33"/>
      <c r="DJ716" s="33"/>
      <c r="DK716" s="33"/>
      <c r="DL716" s="33"/>
      <c r="DM716" s="33"/>
      <c r="DN716" s="33"/>
      <c r="DO716" s="33"/>
      <c r="DP716" s="33"/>
      <c r="DQ716" s="33"/>
      <c r="DR716" s="33"/>
      <c r="DS716" s="33"/>
      <c r="DT716" s="33"/>
      <c r="DU716" s="33"/>
      <c r="DV716" s="33"/>
      <c r="DW716" s="33"/>
      <c r="DX716" s="33"/>
      <c r="DY716" s="33"/>
      <c r="DZ716" s="33"/>
      <c r="EA716" s="33"/>
      <c r="EB716" s="33"/>
      <c r="EC716" s="33"/>
      <c r="ED716" s="33"/>
      <c r="EE716" s="33"/>
      <c r="EF716" s="33"/>
      <c r="EG716" s="33"/>
      <c r="EH716" s="33"/>
      <c r="EI716" s="33"/>
      <c r="EJ716" s="33"/>
      <c r="EK716" s="33"/>
      <c r="EL716" s="33"/>
      <c r="EM716" s="33"/>
      <c r="EN716" s="33"/>
      <c r="EO716" s="33"/>
      <c r="EP716" s="33"/>
      <c r="EQ716" s="33"/>
      <c r="ER716" s="33"/>
      <c r="ES716" s="33"/>
    </row>
    <row r="717">
      <c r="A717" s="33"/>
      <c r="B717" s="33"/>
      <c r="C717" s="33"/>
      <c r="D717" s="33"/>
      <c r="E717" s="33"/>
      <c r="F717" s="33"/>
      <c r="G717" s="85"/>
      <c r="H717" s="85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33"/>
      <c r="Y717" s="33"/>
      <c r="Z717" s="33"/>
      <c r="AA717" s="33"/>
      <c r="AB717" s="33"/>
      <c r="AC717" s="33"/>
      <c r="AD717" s="33"/>
      <c r="AE717" s="33"/>
      <c r="AF717" s="33"/>
      <c r="AG717" s="33"/>
      <c r="AH717" s="33"/>
      <c r="AI717" s="33"/>
      <c r="AJ717" s="33"/>
      <c r="AK717" s="33"/>
      <c r="AL717" s="33"/>
      <c r="AM717" s="33"/>
      <c r="AN717" s="33"/>
      <c r="AO717" s="33"/>
      <c r="AP717" s="33"/>
      <c r="AQ717" s="33"/>
      <c r="AR717" s="33"/>
      <c r="AS717" s="33"/>
      <c r="AT717" s="33"/>
      <c r="AU717" s="33"/>
      <c r="AV717" s="33"/>
      <c r="AW717" s="33"/>
      <c r="AX717" s="33"/>
      <c r="AY717" s="33"/>
      <c r="AZ717" s="33"/>
      <c r="BA717" s="33"/>
      <c r="BB717" s="33"/>
      <c r="BC717" s="33"/>
      <c r="BD717" s="33"/>
      <c r="BE717" s="33"/>
      <c r="BF717" s="33"/>
      <c r="BG717" s="33"/>
      <c r="BH717" s="33"/>
      <c r="BI717" s="33"/>
      <c r="BJ717" s="33"/>
      <c r="BK717" s="33"/>
      <c r="BL717" s="33"/>
      <c r="BM717" s="33"/>
      <c r="BN717" s="33"/>
      <c r="BO717" s="33"/>
      <c r="BP717" s="33"/>
      <c r="BQ717" s="33"/>
      <c r="BR717" s="33"/>
      <c r="BS717" s="33"/>
      <c r="BT717" s="33"/>
      <c r="BU717" s="33"/>
      <c r="BV717" s="33"/>
      <c r="BW717" s="33"/>
      <c r="BX717" s="33"/>
      <c r="BY717" s="33"/>
      <c r="BZ717" s="33"/>
      <c r="CA717" s="33"/>
      <c r="CB717" s="33"/>
      <c r="CC717" s="33"/>
      <c r="CD717" s="33"/>
      <c r="CE717" s="33"/>
      <c r="CF717" s="33"/>
      <c r="CG717" s="33"/>
      <c r="CH717" s="33"/>
      <c r="CI717" s="33"/>
      <c r="CJ717" s="33"/>
      <c r="CK717" s="33"/>
      <c r="CL717" s="33"/>
      <c r="CM717" s="33"/>
      <c r="CN717" s="33"/>
      <c r="CO717" s="33"/>
      <c r="CP717" s="33"/>
      <c r="CQ717" s="33"/>
      <c r="CR717" s="33"/>
      <c r="CS717" s="33"/>
      <c r="CT717" s="33"/>
      <c r="CU717" s="33"/>
      <c r="CV717" s="33"/>
      <c r="CW717" s="33"/>
      <c r="CX717" s="33"/>
      <c r="CY717" s="33"/>
      <c r="CZ717" s="33"/>
      <c r="DA717" s="33"/>
      <c r="DB717" s="33"/>
      <c r="DC717" s="33"/>
      <c r="DD717" s="33"/>
      <c r="DE717" s="33"/>
      <c r="DF717" s="33"/>
      <c r="DG717" s="33"/>
      <c r="DH717" s="33"/>
      <c r="DI717" s="33"/>
      <c r="DJ717" s="33"/>
      <c r="DK717" s="33"/>
      <c r="DL717" s="33"/>
      <c r="DM717" s="33"/>
      <c r="DN717" s="33"/>
      <c r="DO717" s="33"/>
      <c r="DP717" s="33"/>
      <c r="DQ717" s="33"/>
      <c r="DR717" s="33"/>
      <c r="DS717" s="33"/>
      <c r="DT717" s="33"/>
      <c r="DU717" s="33"/>
      <c r="DV717" s="33"/>
      <c r="DW717" s="33"/>
      <c r="DX717" s="33"/>
      <c r="DY717" s="33"/>
      <c r="DZ717" s="33"/>
      <c r="EA717" s="33"/>
      <c r="EB717" s="33"/>
      <c r="EC717" s="33"/>
      <c r="ED717" s="33"/>
      <c r="EE717" s="33"/>
      <c r="EF717" s="33"/>
      <c r="EG717" s="33"/>
      <c r="EH717" s="33"/>
      <c r="EI717" s="33"/>
      <c r="EJ717" s="33"/>
      <c r="EK717" s="33"/>
      <c r="EL717" s="33"/>
      <c r="EM717" s="33"/>
      <c r="EN717" s="33"/>
      <c r="EO717" s="33"/>
      <c r="EP717" s="33"/>
      <c r="EQ717" s="33"/>
      <c r="ER717" s="33"/>
      <c r="ES717" s="33"/>
    </row>
    <row r="718">
      <c r="A718" s="33"/>
      <c r="B718" s="33"/>
      <c r="C718" s="33"/>
      <c r="D718" s="33"/>
      <c r="E718" s="33"/>
      <c r="F718" s="33"/>
      <c r="G718" s="85"/>
      <c r="H718" s="85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33"/>
      <c r="Y718" s="33"/>
      <c r="Z718" s="33"/>
      <c r="AA718" s="33"/>
      <c r="AB718" s="33"/>
      <c r="AC718" s="33"/>
      <c r="AD718" s="33"/>
      <c r="AE718" s="33"/>
      <c r="AF718" s="33"/>
      <c r="AG718" s="33"/>
      <c r="AH718" s="33"/>
      <c r="AI718" s="33"/>
      <c r="AJ718" s="33"/>
      <c r="AK718" s="33"/>
      <c r="AL718" s="33"/>
      <c r="AM718" s="33"/>
      <c r="AN718" s="33"/>
      <c r="AO718" s="33"/>
      <c r="AP718" s="33"/>
      <c r="AQ718" s="33"/>
      <c r="AR718" s="33"/>
      <c r="AS718" s="33"/>
      <c r="AT718" s="33"/>
      <c r="AU718" s="33"/>
      <c r="AV718" s="33"/>
      <c r="AW718" s="33"/>
      <c r="AX718" s="33"/>
      <c r="AY718" s="33"/>
      <c r="AZ718" s="33"/>
      <c r="BA718" s="33"/>
      <c r="BB718" s="33"/>
      <c r="BC718" s="33"/>
      <c r="BD718" s="33"/>
      <c r="BE718" s="33"/>
      <c r="BF718" s="33"/>
      <c r="BG718" s="33"/>
      <c r="BH718" s="33"/>
      <c r="BI718" s="33"/>
      <c r="BJ718" s="33"/>
      <c r="BK718" s="33"/>
      <c r="BL718" s="33"/>
      <c r="BM718" s="33"/>
      <c r="BN718" s="33"/>
      <c r="BO718" s="33"/>
      <c r="BP718" s="33"/>
      <c r="BQ718" s="33"/>
      <c r="BR718" s="33"/>
      <c r="BS718" s="33"/>
      <c r="BT718" s="33"/>
      <c r="BU718" s="33"/>
      <c r="BV718" s="33"/>
      <c r="BW718" s="33"/>
      <c r="BX718" s="33"/>
      <c r="BY718" s="33"/>
      <c r="BZ718" s="33"/>
      <c r="CA718" s="33"/>
      <c r="CB718" s="33"/>
      <c r="CC718" s="33"/>
      <c r="CD718" s="33"/>
      <c r="CE718" s="33"/>
      <c r="CF718" s="33"/>
      <c r="CG718" s="33"/>
      <c r="CH718" s="33"/>
      <c r="CI718" s="33"/>
      <c r="CJ718" s="33"/>
      <c r="CK718" s="33"/>
      <c r="CL718" s="33"/>
      <c r="CM718" s="33"/>
      <c r="CN718" s="33"/>
      <c r="CO718" s="33"/>
      <c r="CP718" s="33"/>
      <c r="CQ718" s="33"/>
      <c r="CR718" s="33"/>
      <c r="CS718" s="33"/>
      <c r="CT718" s="33"/>
      <c r="CU718" s="33"/>
      <c r="CV718" s="33"/>
      <c r="CW718" s="33"/>
      <c r="CX718" s="33"/>
      <c r="CY718" s="33"/>
      <c r="CZ718" s="33"/>
      <c r="DA718" s="33"/>
      <c r="DB718" s="33"/>
      <c r="DC718" s="33"/>
      <c r="DD718" s="33"/>
      <c r="DE718" s="33"/>
      <c r="DF718" s="33"/>
      <c r="DG718" s="33"/>
      <c r="DH718" s="33"/>
      <c r="DI718" s="33"/>
      <c r="DJ718" s="33"/>
      <c r="DK718" s="33"/>
      <c r="DL718" s="33"/>
      <c r="DM718" s="33"/>
      <c r="DN718" s="33"/>
      <c r="DO718" s="33"/>
      <c r="DP718" s="33"/>
      <c r="DQ718" s="33"/>
      <c r="DR718" s="33"/>
      <c r="DS718" s="33"/>
      <c r="DT718" s="33"/>
      <c r="DU718" s="33"/>
      <c r="DV718" s="33"/>
      <c r="DW718" s="33"/>
      <c r="DX718" s="33"/>
      <c r="DY718" s="33"/>
      <c r="DZ718" s="33"/>
      <c r="EA718" s="33"/>
      <c r="EB718" s="33"/>
      <c r="EC718" s="33"/>
      <c r="ED718" s="33"/>
      <c r="EE718" s="33"/>
      <c r="EF718" s="33"/>
      <c r="EG718" s="33"/>
      <c r="EH718" s="33"/>
      <c r="EI718" s="33"/>
      <c r="EJ718" s="33"/>
      <c r="EK718" s="33"/>
      <c r="EL718" s="33"/>
      <c r="EM718" s="33"/>
      <c r="EN718" s="33"/>
      <c r="EO718" s="33"/>
      <c r="EP718" s="33"/>
      <c r="EQ718" s="33"/>
      <c r="ER718" s="33"/>
      <c r="ES718" s="33"/>
    </row>
    <row r="719">
      <c r="A719" s="33"/>
      <c r="B719" s="33"/>
      <c r="C719" s="33"/>
      <c r="D719" s="33"/>
      <c r="E719" s="33"/>
      <c r="F719" s="33"/>
      <c r="G719" s="85"/>
      <c r="H719" s="85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33"/>
      <c r="Y719" s="33"/>
      <c r="Z719" s="33"/>
      <c r="AA719" s="33"/>
      <c r="AB719" s="33"/>
      <c r="AC719" s="33"/>
      <c r="AD719" s="33"/>
      <c r="AE719" s="33"/>
      <c r="AF719" s="33"/>
      <c r="AG719" s="33"/>
      <c r="AH719" s="33"/>
      <c r="AI719" s="33"/>
      <c r="AJ719" s="33"/>
      <c r="AK719" s="33"/>
      <c r="AL719" s="33"/>
      <c r="AM719" s="33"/>
      <c r="AN719" s="33"/>
      <c r="AO719" s="33"/>
      <c r="AP719" s="33"/>
      <c r="AQ719" s="33"/>
      <c r="AR719" s="33"/>
      <c r="AS719" s="33"/>
      <c r="AT719" s="33"/>
      <c r="AU719" s="33"/>
      <c r="AV719" s="33"/>
      <c r="AW719" s="33"/>
      <c r="AX719" s="33"/>
      <c r="AY719" s="33"/>
      <c r="AZ719" s="33"/>
      <c r="BA719" s="33"/>
      <c r="BB719" s="33"/>
      <c r="BC719" s="33"/>
      <c r="BD719" s="33"/>
      <c r="BE719" s="33"/>
      <c r="BF719" s="33"/>
      <c r="BG719" s="33"/>
      <c r="BH719" s="33"/>
      <c r="BI719" s="33"/>
      <c r="BJ719" s="33"/>
      <c r="BK719" s="33"/>
      <c r="BL719" s="33"/>
      <c r="BM719" s="33"/>
      <c r="BN719" s="33"/>
      <c r="BO719" s="33"/>
      <c r="BP719" s="33"/>
      <c r="BQ719" s="33"/>
      <c r="BR719" s="33"/>
      <c r="BS719" s="33"/>
      <c r="BT719" s="33"/>
      <c r="BU719" s="33"/>
      <c r="BV719" s="33"/>
      <c r="BW719" s="33"/>
      <c r="BX719" s="33"/>
      <c r="BY719" s="33"/>
      <c r="BZ719" s="33"/>
      <c r="CA719" s="33"/>
      <c r="CB719" s="33"/>
      <c r="CC719" s="33"/>
      <c r="CD719" s="33"/>
      <c r="CE719" s="33"/>
      <c r="CF719" s="33"/>
      <c r="CG719" s="33"/>
      <c r="CH719" s="33"/>
      <c r="CI719" s="33"/>
      <c r="CJ719" s="33"/>
      <c r="CK719" s="33"/>
      <c r="CL719" s="33"/>
      <c r="CM719" s="33"/>
      <c r="CN719" s="33"/>
      <c r="CO719" s="33"/>
      <c r="CP719" s="33"/>
      <c r="CQ719" s="33"/>
      <c r="CR719" s="33"/>
      <c r="CS719" s="33"/>
      <c r="CT719" s="33"/>
      <c r="CU719" s="33"/>
      <c r="CV719" s="33"/>
      <c r="CW719" s="33"/>
      <c r="CX719" s="33"/>
      <c r="CY719" s="33"/>
      <c r="CZ719" s="33"/>
      <c r="DA719" s="33"/>
      <c r="DB719" s="33"/>
      <c r="DC719" s="33"/>
      <c r="DD719" s="33"/>
      <c r="DE719" s="33"/>
      <c r="DF719" s="33"/>
      <c r="DG719" s="33"/>
      <c r="DH719" s="33"/>
      <c r="DI719" s="33"/>
      <c r="DJ719" s="33"/>
      <c r="DK719" s="33"/>
      <c r="DL719" s="33"/>
      <c r="DM719" s="33"/>
      <c r="DN719" s="33"/>
      <c r="DO719" s="33"/>
      <c r="DP719" s="33"/>
      <c r="DQ719" s="33"/>
      <c r="DR719" s="33"/>
      <c r="DS719" s="33"/>
      <c r="DT719" s="33"/>
      <c r="DU719" s="33"/>
      <c r="DV719" s="33"/>
      <c r="DW719" s="33"/>
      <c r="DX719" s="33"/>
      <c r="DY719" s="33"/>
      <c r="DZ719" s="33"/>
      <c r="EA719" s="33"/>
      <c r="EB719" s="33"/>
      <c r="EC719" s="33"/>
      <c r="ED719" s="33"/>
      <c r="EE719" s="33"/>
      <c r="EF719" s="33"/>
      <c r="EG719" s="33"/>
      <c r="EH719" s="33"/>
      <c r="EI719" s="33"/>
      <c r="EJ719" s="33"/>
      <c r="EK719" s="33"/>
      <c r="EL719" s="33"/>
      <c r="EM719" s="33"/>
      <c r="EN719" s="33"/>
      <c r="EO719" s="33"/>
      <c r="EP719" s="33"/>
      <c r="EQ719" s="33"/>
      <c r="ER719" s="33"/>
      <c r="ES719" s="33"/>
    </row>
    <row r="720">
      <c r="A720" s="33"/>
      <c r="B720" s="33"/>
      <c r="C720" s="33"/>
      <c r="D720" s="33"/>
      <c r="E720" s="33"/>
      <c r="F720" s="33"/>
      <c r="G720" s="85"/>
      <c r="H720" s="85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33"/>
      <c r="Y720" s="33"/>
      <c r="Z720" s="33"/>
      <c r="AA720" s="33"/>
      <c r="AB720" s="33"/>
      <c r="AC720" s="33"/>
      <c r="AD720" s="33"/>
      <c r="AE720" s="33"/>
      <c r="AF720" s="33"/>
      <c r="AG720" s="33"/>
      <c r="AH720" s="33"/>
      <c r="AI720" s="33"/>
      <c r="AJ720" s="33"/>
      <c r="AK720" s="33"/>
      <c r="AL720" s="33"/>
      <c r="AM720" s="33"/>
      <c r="AN720" s="33"/>
      <c r="AO720" s="33"/>
      <c r="AP720" s="33"/>
      <c r="AQ720" s="33"/>
      <c r="AR720" s="33"/>
      <c r="AS720" s="33"/>
      <c r="AT720" s="33"/>
      <c r="AU720" s="33"/>
      <c r="AV720" s="33"/>
      <c r="AW720" s="33"/>
      <c r="AX720" s="33"/>
      <c r="AY720" s="33"/>
      <c r="AZ720" s="33"/>
      <c r="BA720" s="33"/>
      <c r="BB720" s="33"/>
      <c r="BC720" s="33"/>
      <c r="BD720" s="33"/>
      <c r="BE720" s="33"/>
      <c r="BF720" s="33"/>
      <c r="BG720" s="33"/>
      <c r="BH720" s="33"/>
      <c r="BI720" s="33"/>
      <c r="BJ720" s="33"/>
      <c r="BK720" s="33"/>
      <c r="BL720" s="33"/>
      <c r="BM720" s="33"/>
      <c r="BN720" s="33"/>
      <c r="BO720" s="33"/>
      <c r="BP720" s="33"/>
      <c r="BQ720" s="33"/>
      <c r="BR720" s="33"/>
      <c r="BS720" s="33"/>
      <c r="BT720" s="33"/>
      <c r="BU720" s="33"/>
      <c r="BV720" s="33"/>
      <c r="BW720" s="33"/>
      <c r="BX720" s="33"/>
      <c r="BY720" s="33"/>
      <c r="BZ720" s="33"/>
      <c r="CA720" s="33"/>
      <c r="CB720" s="33"/>
      <c r="CC720" s="33"/>
      <c r="CD720" s="33"/>
      <c r="CE720" s="33"/>
      <c r="CF720" s="33"/>
      <c r="CG720" s="33"/>
      <c r="CH720" s="33"/>
      <c r="CI720" s="33"/>
      <c r="CJ720" s="33"/>
      <c r="CK720" s="33"/>
      <c r="CL720" s="33"/>
      <c r="CM720" s="33"/>
      <c r="CN720" s="33"/>
      <c r="CO720" s="33"/>
      <c r="CP720" s="33"/>
      <c r="CQ720" s="33"/>
      <c r="CR720" s="33"/>
      <c r="CS720" s="33"/>
      <c r="CT720" s="33"/>
      <c r="CU720" s="33"/>
      <c r="CV720" s="33"/>
      <c r="CW720" s="33"/>
      <c r="CX720" s="33"/>
      <c r="CY720" s="33"/>
      <c r="CZ720" s="33"/>
      <c r="DA720" s="33"/>
      <c r="DB720" s="33"/>
      <c r="DC720" s="33"/>
      <c r="DD720" s="33"/>
      <c r="DE720" s="33"/>
      <c r="DF720" s="33"/>
      <c r="DG720" s="33"/>
      <c r="DH720" s="33"/>
      <c r="DI720" s="33"/>
      <c r="DJ720" s="33"/>
      <c r="DK720" s="33"/>
      <c r="DL720" s="33"/>
      <c r="DM720" s="33"/>
      <c r="DN720" s="33"/>
      <c r="DO720" s="33"/>
      <c r="DP720" s="33"/>
      <c r="DQ720" s="33"/>
      <c r="DR720" s="33"/>
      <c r="DS720" s="33"/>
      <c r="DT720" s="33"/>
      <c r="DU720" s="33"/>
      <c r="DV720" s="33"/>
      <c r="DW720" s="33"/>
      <c r="DX720" s="33"/>
      <c r="DY720" s="33"/>
      <c r="DZ720" s="33"/>
      <c r="EA720" s="33"/>
      <c r="EB720" s="33"/>
      <c r="EC720" s="33"/>
      <c r="ED720" s="33"/>
      <c r="EE720" s="33"/>
      <c r="EF720" s="33"/>
      <c r="EG720" s="33"/>
      <c r="EH720" s="33"/>
      <c r="EI720" s="33"/>
      <c r="EJ720" s="33"/>
      <c r="EK720" s="33"/>
      <c r="EL720" s="33"/>
      <c r="EM720" s="33"/>
      <c r="EN720" s="33"/>
      <c r="EO720" s="33"/>
      <c r="EP720" s="33"/>
      <c r="EQ720" s="33"/>
      <c r="ER720" s="33"/>
      <c r="ES720" s="33"/>
    </row>
    <row r="721">
      <c r="A721" s="33"/>
      <c r="B721" s="33"/>
      <c r="C721" s="33"/>
      <c r="D721" s="33"/>
      <c r="E721" s="33"/>
      <c r="F721" s="33"/>
      <c r="G721" s="85"/>
      <c r="H721" s="85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33"/>
      <c r="Y721" s="33"/>
      <c r="Z721" s="33"/>
      <c r="AA721" s="33"/>
      <c r="AB721" s="33"/>
      <c r="AC721" s="33"/>
      <c r="AD721" s="33"/>
      <c r="AE721" s="33"/>
      <c r="AF721" s="33"/>
      <c r="AG721" s="33"/>
      <c r="AH721" s="33"/>
      <c r="AI721" s="33"/>
      <c r="AJ721" s="33"/>
      <c r="AK721" s="33"/>
      <c r="AL721" s="33"/>
      <c r="AM721" s="33"/>
      <c r="AN721" s="33"/>
      <c r="AO721" s="33"/>
      <c r="AP721" s="33"/>
      <c r="AQ721" s="33"/>
      <c r="AR721" s="33"/>
      <c r="AS721" s="33"/>
      <c r="AT721" s="33"/>
      <c r="AU721" s="33"/>
      <c r="AV721" s="33"/>
      <c r="AW721" s="33"/>
      <c r="AX721" s="33"/>
      <c r="AY721" s="33"/>
      <c r="AZ721" s="33"/>
      <c r="BA721" s="33"/>
      <c r="BB721" s="33"/>
      <c r="BC721" s="33"/>
      <c r="BD721" s="33"/>
      <c r="BE721" s="33"/>
      <c r="BF721" s="33"/>
      <c r="BG721" s="33"/>
      <c r="BH721" s="33"/>
      <c r="BI721" s="33"/>
      <c r="BJ721" s="33"/>
      <c r="BK721" s="33"/>
      <c r="BL721" s="33"/>
      <c r="BM721" s="33"/>
      <c r="BN721" s="33"/>
      <c r="BO721" s="33"/>
      <c r="BP721" s="33"/>
      <c r="BQ721" s="33"/>
      <c r="BR721" s="33"/>
      <c r="BS721" s="33"/>
      <c r="BT721" s="33"/>
      <c r="BU721" s="33"/>
      <c r="BV721" s="33"/>
      <c r="BW721" s="33"/>
      <c r="BX721" s="33"/>
      <c r="BY721" s="33"/>
      <c r="BZ721" s="33"/>
      <c r="CA721" s="33"/>
      <c r="CB721" s="33"/>
      <c r="CC721" s="33"/>
      <c r="CD721" s="33"/>
      <c r="CE721" s="33"/>
      <c r="CF721" s="33"/>
      <c r="CG721" s="33"/>
      <c r="CH721" s="33"/>
      <c r="CI721" s="33"/>
      <c r="CJ721" s="33"/>
      <c r="CK721" s="33"/>
      <c r="CL721" s="33"/>
      <c r="CM721" s="33"/>
      <c r="CN721" s="33"/>
      <c r="CO721" s="33"/>
      <c r="CP721" s="33"/>
      <c r="CQ721" s="33"/>
      <c r="CR721" s="33"/>
      <c r="CS721" s="33"/>
      <c r="CT721" s="33"/>
      <c r="CU721" s="33"/>
      <c r="CV721" s="33"/>
      <c r="CW721" s="33"/>
      <c r="CX721" s="33"/>
      <c r="CY721" s="33"/>
      <c r="CZ721" s="33"/>
      <c r="DA721" s="33"/>
      <c r="DB721" s="33"/>
      <c r="DC721" s="33"/>
      <c r="DD721" s="33"/>
      <c r="DE721" s="33"/>
      <c r="DF721" s="33"/>
      <c r="DG721" s="33"/>
      <c r="DH721" s="33"/>
      <c r="DI721" s="33"/>
      <c r="DJ721" s="33"/>
      <c r="DK721" s="33"/>
      <c r="DL721" s="33"/>
      <c r="DM721" s="33"/>
      <c r="DN721" s="33"/>
      <c r="DO721" s="33"/>
      <c r="DP721" s="33"/>
      <c r="DQ721" s="33"/>
      <c r="DR721" s="33"/>
      <c r="DS721" s="33"/>
      <c r="DT721" s="33"/>
      <c r="DU721" s="33"/>
      <c r="DV721" s="33"/>
      <c r="DW721" s="33"/>
      <c r="DX721" s="33"/>
      <c r="DY721" s="33"/>
      <c r="DZ721" s="33"/>
      <c r="EA721" s="33"/>
      <c r="EB721" s="33"/>
      <c r="EC721" s="33"/>
      <c r="ED721" s="33"/>
      <c r="EE721" s="33"/>
      <c r="EF721" s="33"/>
      <c r="EG721" s="33"/>
      <c r="EH721" s="33"/>
      <c r="EI721" s="33"/>
      <c r="EJ721" s="33"/>
      <c r="EK721" s="33"/>
      <c r="EL721" s="33"/>
      <c r="EM721" s="33"/>
      <c r="EN721" s="33"/>
      <c r="EO721" s="33"/>
      <c r="EP721" s="33"/>
      <c r="EQ721" s="33"/>
      <c r="ER721" s="33"/>
      <c r="ES721" s="33"/>
    </row>
    <row r="722">
      <c r="A722" s="33"/>
      <c r="B722" s="33"/>
      <c r="C722" s="33"/>
      <c r="D722" s="33"/>
      <c r="E722" s="33"/>
      <c r="F722" s="33"/>
      <c r="G722" s="85"/>
      <c r="H722" s="85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33"/>
      <c r="Y722" s="33"/>
      <c r="Z722" s="33"/>
      <c r="AA722" s="33"/>
      <c r="AB722" s="33"/>
      <c r="AC722" s="33"/>
      <c r="AD722" s="33"/>
      <c r="AE722" s="33"/>
      <c r="AF722" s="33"/>
      <c r="AG722" s="33"/>
      <c r="AH722" s="33"/>
      <c r="AI722" s="33"/>
      <c r="AJ722" s="33"/>
      <c r="AK722" s="33"/>
      <c r="AL722" s="33"/>
      <c r="AM722" s="33"/>
      <c r="AN722" s="33"/>
      <c r="AO722" s="33"/>
      <c r="AP722" s="33"/>
      <c r="AQ722" s="33"/>
      <c r="AR722" s="33"/>
      <c r="AS722" s="33"/>
      <c r="AT722" s="33"/>
      <c r="AU722" s="33"/>
      <c r="AV722" s="33"/>
      <c r="AW722" s="33"/>
      <c r="AX722" s="33"/>
      <c r="AY722" s="33"/>
      <c r="AZ722" s="33"/>
      <c r="BA722" s="33"/>
      <c r="BB722" s="33"/>
      <c r="BC722" s="33"/>
      <c r="BD722" s="33"/>
      <c r="BE722" s="33"/>
      <c r="BF722" s="33"/>
      <c r="BG722" s="33"/>
      <c r="BH722" s="33"/>
      <c r="BI722" s="33"/>
      <c r="BJ722" s="33"/>
      <c r="BK722" s="33"/>
      <c r="BL722" s="33"/>
      <c r="BM722" s="33"/>
      <c r="BN722" s="33"/>
      <c r="BO722" s="33"/>
      <c r="BP722" s="33"/>
      <c r="BQ722" s="33"/>
      <c r="BR722" s="33"/>
      <c r="BS722" s="33"/>
      <c r="BT722" s="33"/>
      <c r="BU722" s="33"/>
      <c r="BV722" s="33"/>
      <c r="BW722" s="33"/>
      <c r="BX722" s="33"/>
      <c r="BY722" s="33"/>
      <c r="BZ722" s="33"/>
      <c r="CA722" s="33"/>
      <c r="CB722" s="33"/>
      <c r="CC722" s="33"/>
      <c r="CD722" s="33"/>
      <c r="CE722" s="33"/>
      <c r="CF722" s="33"/>
      <c r="CG722" s="33"/>
      <c r="CH722" s="33"/>
      <c r="CI722" s="33"/>
      <c r="CJ722" s="33"/>
      <c r="CK722" s="33"/>
      <c r="CL722" s="33"/>
      <c r="CM722" s="33"/>
      <c r="CN722" s="33"/>
      <c r="CO722" s="33"/>
      <c r="CP722" s="33"/>
      <c r="CQ722" s="33"/>
      <c r="CR722" s="33"/>
      <c r="CS722" s="33"/>
      <c r="CT722" s="33"/>
      <c r="CU722" s="33"/>
      <c r="CV722" s="33"/>
      <c r="CW722" s="33"/>
      <c r="CX722" s="33"/>
      <c r="CY722" s="33"/>
      <c r="CZ722" s="33"/>
      <c r="DA722" s="33"/>
      <c r="DB722" s="33"/>
      <c r="DC722" s="33"/>
      <c r="DD722" s="33"/>
      <c r="DE722" s="33"/>
      <c r="DF722" s="33"/>
      <c r="DG722" s="33"/>
      <c r="DH722" s="33"/>
      <c r="DI722" s="33"/>
      <c r="DJ722" s="33"/>
      <c r="DK722" s="33"/>
      <c r="DL722" s="33"/>
      <c r="DM722" s="33"/>
      <c r="DN722" s="33"/>
      <c r="DO722" s="33"/>
      <c r="DP722" s="33"/>
      <c r="DQ722" s="33"/>
      <c r="DR722" s="33"/>
      <c r="DS722" s="33"/>
      <c r="DT722" s="33"/>
      <c r="DU722" s="33"/>
      <c r="DV722" s="33"/>
      <c r="DW722" s="33"/>
      <c r="DX722" s="33"/>
      <c r="DY722" s="33"/>
      <c r="DZ722" s="33"/>
      <c r="EA722" s="33"/>
      <c r="EB722" s="33"/>
      <c r="EC722" s="33"/>
      <c r="ED722" s="33"/>
      <c r="EE722" s="33"/>
      <c r="EF722" s="33"/>
      <c r="EG722" s="33"/>
      <c r="EH722" s="33"/>
      <c r="EI722" s="33"/>
      <c r="EJ722" s="33"/>
      <c r="EK722" s="33"/>
      <c r="EL722" s="33"/>
      <c r="EM722" s="33"/>
      <c r="EN722" s="33"/>
      <c r="EO722" s="33"/>
      <c r="EP722" s="33"/>
      <c r="EQ722" s="33"/>
      <c r="ER722" s="33"/>
      <c r="ES722" s="33"/>
    </row>
    <row r="723">
      <c r="A723" s="33"/>
      <c r="B723" s="33"/>
      <c r="C723" s="33"/>
      <c r="D723" s="33"/>
      <c r="E723" s="33"/>
      <c r="F723" s="33"/>
      <c r="G723" s="85"/>
      <c r="H723" s="85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33"/>
      <c r="Y723" s="33"/>
      <c r="Z723" s="33"/>
      <c r="AA723" s="33"/>
      <c r="AB723" s="33"/>
      <c r="AC723" s="33"/>
      <c r="AD723" s="33"/>
      <c r="AE723" s="33"/>
      <c r="AF723" s="33"/>
      <c r="AG723" s="33"/>
      <c r="AH723" s="33"/>
      <c r="AI723" s="33"/>
      <c r="AJ723" s="33"/>
      <c r="AK723" s="33"/>
      <c r="AL723" s="33"/>
      <c r="AM723" s="33"/>
      <c r="AN723" s="33"/>
      <c r="AO723" s="33"/>
      <c r="AP723" s="33"/>
      <c r="AQ723" s="33"/>
      <c r="AR723" s="33"/>
      <c r="AS723" s="33"/>
      <c r="AT723" s="33"/>
      <c r="AU723" s="33"/>
      <c r="AV723" s="33"/>
      <c r="AW723" s="33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  <c r="BI723" s="33"/>
      <c r="BJ723" s="33"/>
      <c r="BK723" s="33"/>
      <c r="BL723" s="33"/>
      <c r="BM723" s="33"/>
      <c r="BN723" s="33"/>
      <c r="BO723" s="33"/>
      <c r="BP723" s="33"/>
      <c r="BQ723" s="33"/>
      <c r="BR723" s="33"/>
      <c r="BS723" s="33"/>
      <c r="BT723" s="33"/>
      <c r="BU723" s="33"/>
      <c r="BV723" s="33"/>
      <c r="BW723" s="33"/>
      <c r="BX723" s="33"/>
      <c r="BY723" s="33"/>
      <c r="BZ723" s="33"/>
      <c r="CA723" s="33"/>
      <c r="CB723" s="33"/>
      <c r="CC723" s="33"/>
      <c r="CD723" s="33"/>
      <c r="CE723" s="33"/>
      <c r="CF723" s="33"/>
      <c r="CG723" s="33"/>
      <c r="CH723" s="33"/>
      <c r="CI723" s="33"/>
      <c r="CJ723" s="33"/>
      <c r="CK723" s="33"/>
      <c r="CL723" s="33"/>
      <c r="CM723" s="33"/>
      <c r="CN723" s="33"/>
      <c r="CO723" s="33"/>
      <c r="CP723" s="33"/>
      <c r="CQ723" s="33"/>
      <c r="CR723" s="33"/>
      <c r="CS723" s="33"/>
      <c r="CT723" s="33"/>
      <c r="CU723" s="33"/>
      <c r="CV723" s="33"/>
      <c r="CW723" s="33"/>
      <c r="CX723" s="33"/>
      <c r="CY723" s="33"/>
      <c r="CZ723" s="33"/>
      <c r="DA723" s="33"/>
      <c r="DB723" s="33"/>
      <c r="DC723" s="33"/>
      <c r="DD723" s="33"/>
      <c r="DE723" s="33"/>
      <c r="DF723" s="33"/>
      <c r="DG723" s="33"/>
      <c r="DH723" s="33"/>
      <c r="DI723" s="33"/>
      <c r="DJ723" s="33"/>
      <c r="DK723" s="33"/>
      <c r="DL723" s="33"/>
      <c r="DM723" s="33"/>
      <c r="DN723" s="33"/>
      <c r="DO723" s="33"/>
      <c r="DP723" s="33"/>
      <c r="DQ723" s="33"/>
      <c r="DR723" s="33"/>
      <c r="DS723" s="33"/>
      <c r="DT723" s="33"/>
      <c r="DU723" s="33"/>
      <c r="DV723" s="33"/>
      <c r="DW723" s="33"/>
      <c r="DX723" s="33"/>
      <c r="DY723" s="33"/>
      <c r="DZ723" s="33"/>
      <c r="EA723" s="33"/>
      <c r="EB723" s="33"/>
      <c r="EC723" s="33"/>
      <c r="ED723" s="33"/>
      <c r="EE723" s="33"/>
      <c r="EF723" s="33"/>
      <c r="EG723" s="33"/>
      <c r="EH723" s="33"/>
      <c r="EI723" s="33"/>
      <c r="EJ723" s="33"/>
      <c r="EK723" s="33"/>
      <c r="EL723" s="33"/>
      <c r="EM723" s="33"/>
      <c r="EN723" s="33"/>
      <c r="EO723" s="33"/>
      <c r="EP723" s="33"/>
      <c r="EQ723" s="33"/>
      <c r="ER723" s="33"/>
      <c r="ES723" s="33"/>
    </row>
    <row r="724">
      <c r="A724" s="33"/>
      <c r="B724" s="33"/>
      <c r="C724" s="33"/>
      <c r="D724" s="33"/>
      <c r="E724" s="33"/>
      <c r="F724" s="33"/>
      <c r="G724" s="85"/>
      <c r="H724" s="85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33"/>
      <c r="Y724" s="33"/>
      <c r="Z724" s="33"/>
      <c r="AA724" s="33"/>
      <c r="AB724" s="33"/>
      <c r="AC724" s="33"/>
      <c r="AD724" s="33"/>
      <c r="AE724" s="33"/>
      <c r="AF724" s="33"/>
      <c r="AG724" s="33"/>
      <c r="AH724" s="33"/>
      <c r="AI724" s="33"/>
      <c r="AJ724" s="33"/>
      <c r="AK724" s="33"/>
      <c r="AL724" s="33"/>
      <c r="AM724" s="33"/>
      <c r="AN724" s="33"/>
      <c r="AO724" s="33"/>
      <c r="AP724" s="33"/>
      <c r="AQ724" s="33"/>
      <c r="AR724" s="33"/>
      <c r="AS724" s="33"/>
      <c r="AT724" s="33"/>
      <c r="AU724" s="33"/>
      <c r="AV724" s="33"/>
      <c r="AW724" s="33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  <c r="BI724" s="33"/>
      <c r="BJ724" s="33"/>
      <c r="BK724" s="33"/>
      <c r="BL724" s="33"/>
      <c r="BM724" s="33"/>
      <c r="BN724" s="33"/>
      <c r="BO724" s="33"/>
      <c r="BP724" s="33"/>
      <c r="BQ724" s="33"/>
      <c r="BR724" s="33"/>
      <c r="BS724" s="33"/>
      <c r="BT724" s="33"/>
      <c r="BU724" s="33"/>
      <c r="BV724" s="33"/>
      <c r="BW724" s="33"/>
      <c r="BX724" s="33"/>
      <c r="BY724" s="33"/>
      <c r="BZ724" s="33"/>
      <c r="CA724" s="33"/>
      <c r="CB724" s="33"/>
      <c r="CC724" s="33"/>
      <c r="CD724" s="33"/>
      <c r="CE724" s="33"/>
      <c r="CF724" s="33"/>
      <c r="CG724" s="33"/>
      <c r="CH724" s="33"/>
      <c r="CI724" s="33"/>
      <c r="CJ724" s="33"/>
      <c r="CK724" s="33"/>
      <c r="CL724" s="33"/>
      <c r="CM724" s="33"/>
      <c r="CN724" s="33"/>
      <c r="CO724" s="33"/>
      <c r="CP724" s="33"/>
      <c r="CQ724" s="33"/>
      <c r="CR724" s="33"/>
      <c r="CS724" s="33"/>
      <c r="CT724" s="33"/>
      <c r="CU724" s="33"/>
      <c r="CV724" s="33"/>
      <c r="CW724" s="33"/>
      <c r="CX724" s="33"/>
      <c r="CY724" s="33"/>
      <c r="CZ724" s="33"/>
      <c r="DA724" s="33"/>
      <c r="DB724" s="33"/>
      <c r="DC724" s="33"/>
      <c r="DD724" s="33"/>
      <c r="DE724" s="33"/>
      <c r="DF724" s="33"/>
      <c r="DG724" s="33"/>
      <c r="DH724" s="33"/>
      <c r="DI724" s="33"/>
      <c r="DJ724" s="33"/>
      <c r="DK724" s="33"/>
      <c r="DL724" s="33"/>
      <c r="DM724" s="33"/>
      <c r="DN724" s="33"/>
      <c r="DO724" s="33"/>
      <c r="DP724" s="33"/>
      <c r="DQ724" s="33"/>
      <c r="DR724" s="33"/>
      <c r="DS724" s="33"/>
      <c r="DT724" s="33"/>
      <c r="DU724" s="33"/>
      <c r="DV724" s="33"/>
      <c r="DW724" s="33"/>
      <c r="DX724" s="33"/>
      <c r="DY724" s="33"/>
      <c r="DZ724" s="33"/>
      <c r="EA724" s="33"/>
      <c r="EB724" s="33"/>
      <c r="EC724" s="33"/>
      <c r="ED724" s="33"/>
      <c r="EE724" s="33"/>
      <c r="EF724" s="33"/>
      <c r="EG724" s="33"/>
      <c r="EH724" s="33"/>
      <c r="EI724" s="33"/>
      <c r="EJ724" s="33"/>
      <c r="EK724" s="33"/>
      <c r="EL724" s="33"/>
      <c r="EM724" s="33"/>
      <c r="EN724" s="33"/>
      <c r="EO724" s="33"/>
      <c r="EP724" s="33"/>
      <c r="EQ724" s="33"/>
      <c r="ER724" s="33"/>
      <c r="ES724" s="33"/>
    </row>
    <row r="725">
      <c r="A725" s="33"/>
      <c r="B725" s="33"/>
      <c r="C725" s="33"/>
      <c r="D725" s="33"/>
      <c r="E725" s="33"/>
      <c r="F725" s="33"/>
      <c r="G725" s="85"/>
      <c r="H725" s="85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33"/>
      <c r="Y725" s="33"/>
      <c r="Z725" s="33"/>
      <c r="AA725" s="33"/>
      <c r="AB725" s="33"/>
      <c r="AC725" s="33"/>
      <c r="AD725" s="33"/>
      <c r="AE725" s="33"/>
      <c r="AF725" s="33"/>
      <c r="AG725" s="33"/>
      <c r="AH725" s="33"/>
      <c r="AI725" s="33"/>
      <c r="AJ725" s="33"/>
      <c r="AK725" s="33"/>
      <c r="AL725" s="33"/>
      <c r="AM725" s="33"/>
      <c r="AN725" s="33"/>
      <c r="AO725" s="33"/>
      <c r="AP725" s="33"/>
      <c r="AQ725" s="33"/>
      <c r="AR725" s="33"/>
      <c r="AS725" s="33"/>
      <c r="AT725" s="33"/>
      <c r="AU725" s="33"/>
      <c r="AV725" s="33"/>
      <c r="AW725" s="33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  <c r="BI725" s="33"/>
      <c r="BJ725" s="33"/>
      <c r="BK725" s="33"/>
      <c r="BL725" s="33"/>
      <c r="BM725" s="33"/>
      <c r="BN725" s="33"/>
      <c r="BO725" s="33"/>
      <c r="BP725" s="33"/>
      <c r="BQ725" s="33"/>
      <c r="BR725" s="33"/>
      <c r="BS725" s="33"/>
      <c r="BT725" s="33"/>
      <c r="BU725" s="33"/>
      <c r="BV725" s="33"/>
      <c r="BW725" s="33"/>
      <c r="BX725" s="33"/>
      <c r="BY725" s="33"/>
      <c r="BZ725" s="33"/>
      <c r="CA725" s="33"/>
      <c r="CB725" s="33"/>
      <c r="CC725" s="33"/>
      <c r="CD725" s="33"/>
      <c r="CE725" s="33"/>
      <c r="CF725" s="33"/>
      <c r="CG725" s="33"/>
      <c r="CH725" s="33"/>
      <c r="CI725" s="33"/>
      <c r="CJ725" s="33"/>
      <c r="CK725" s="33"/>
      <c r="CL725" s="33"/>
      <c r="CM725" s="33"/>
      <c r="CN725" s="33"/>
      <c r="CO725" s="33"/>
      <c r="CP725" s="33"/>
      <c r="CQ725" s="33"/>
      <c r="CR725" s="33"/>
      <c r="CS725" s="33"/>
      <c r="CT725" s="33"/>
      <c r="CU725" s="33"/>
      <c r="CV725" s="33"/>
      <c r="CW725" s="33"/>
      <c r="CX725" s="33"/>
      <c r="CY725" s="33"/>
      <c r="CZ725" s="33"/>
      <c r="DA725" s="33"/>
      <c r="DB725" s="33"/>
      <c r="DC725" s="33"/>
      <c r="DD725" s="33"/>
      <c r="DE725" s="33"/>
      <c r="DF725" s="33"/>
      <c r="DG725" s="33"/>
      <c r="DH725" s="33"/>
      <c r="DI725" s="33"/>
      <c r="DJ725" s="33"/>
      <c r="DK725" s="33"/>
      <c r="DL725" s="33"/>
      <c r="DM725" s="33"/>
      <c r="DN725" s="33"/>
      <c r="DO725" s="33"/>
      <c r="DP725" s="33"/>
      <c r="DQ725" s="33"/>
      <c r="DR725" s="33"/>
      <c r="DS725" s="33"/>
      <c r="DT725" s="33"/>
      <c r="DU725" s="33"/>
      <c r="DV725" s="33"/>
      <c r="DW725" s="33"/>
      <c r="DX725" s="33"/>
      <c r="DY725" s="33"/>
      <c r="DZ725" s="33"/>
      <c r="EA725" s="33"/>
      <c r="EB725" s="33"/>
      <c r="EC725" s="33"/>
      <c r="ED725" s="33"/>
      <c r="EE725" s="33"/>
      <c r="EF725" s="33"/>
      <c r="EG725" s="33"/>
      <c r="EH725" s="33"/>
      <c r="EI725" s="33"/>
      <c r="EJ725" s="33"/>
      <c r="EK725" s="33"/>
      <c r="EL725" s="33"/>
      <c r="EM725" s="33"/>
      <c r="EN725" s="33"/>
      <c r="EO725" s="33"/>
      <c r="EP725" s="33"/>
      <c r="EQ725" s="33"/>
      <c r="ER725" s="33"/>
      <c r="ES725" s="33"/>
    </row>
    <row r="726">
      <c r="A726" s="33"/>
      <c r="B726" s="33"/>
      <c r="C726" s="33"/>
      <c r="D726" s="33"/>
      <c r="E726" s="33"/>
      <c r="F726" s="33"/>
      <c r="G726" s="85"/>
      <c r="H726" s="85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33"/>
      <c r="Y726" s="33"/>
      <c r="Z726" s="33"/>
      <c r="AA726" s="33"/>
      <c r="AB726" s="33"/>
      <c r="AC726" s="33"/>
      <c r="AD726" s="33"/>
      <c r="AE726" s="33"/>
      <c r="AF726" s="33"/>
      <c r="AG726" s="33"/>
      <c r="AH726" s="33"/>
      <c r="AI726" s="33"/>
      <c r="AJ726" s="33"/>
      <c r="AK726" s="33"/>
      <c r="AL726" s="33"/>
      <c r="AM726" s="33"/>
      <c r="AN726" s="33"/>
      <c r="AO726" s="33"/>
      <c r="AP726" s="33"/>
      <c r="AQ726" s="33"/>
      <c r="AR726" s="33"/>
      <c r="AS726" s="33"/>
      <c r="AT726" s="33"/>
      <c r="AU726" s="33"/>
      <c r="AV726" s="33"/>
      <c r="AW726" s="33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  <c r="BI726" s="33"/>
      <c r="BJ726" s="33"/>
      <c r="BK726" s="33"/>
      <c r="BL726" s="33"/>
      <c r="BM726" s="33"/>
      <c r="BN726" s="33"/>
      <c r="BO726" s="33"/>
      <c r="BP726" s="33"/>
      <c r="BQ726" s="33"/>
      <c r="BR726" s="33"/>
      <c r="BS726" s="33"/>
      <c r="BT726" s="33"/>
      <c r="BU726" s="33"/>
      <c r="BV726" s="33"/>
      <c r="BW726" s="33"/>
      <c r="BX726" s="33"/>
      <c r="BY726" s="33"/>
      <c r="BZ726" s="33"/>
      <c r="CA726" s="33"/>
      <c r="CB726" s="33"/>
      <c r="CC726" s="33"/>
      <c r="CD726" s="33"/>
      <c r="CE726" s="33"/>
      <c r="CF726" s="33"/>
      <c r="CG726" s="33"/>
      <c r="CH726" s="33"/>
      <c r="CI726" s="33"/>
      <c r="CJ726" s="33"/>
      <c r="CK726" s="33"/>
      <c r="CL726" s="33"/>
      <c r="CM726" s="33"/>
      <c r="CN726" s="33"/>
      <c r="CO726" s="33"/>
      <c r="CP726" s="33"/>
      <c r="CQ726" s="33"/>
      <c r="CR726" s="33"/>
      <c r="CS726" s="33"/>
      <c r="CT726" s="33"/>
      <c r="CU726" s="33"/>
      <c r="CV726" s="33"/>
      <c r="CW726" s="33"/>
      <c r="CX726" s="33"/>
      <c r="CY726" s="33"/>
      <c r="CZ726" s="33"/>
      <c r="DA726" s="33"/>
      <c r="DB726" s="33"/>
      <c r="DC726" s="33"/>
      <c r="DD726" s="33"/>
      <c r="DE726" s="33"/>
      <c r="DF726" s="33"/>
      <c r="DG726" s="33"/>
      <c r="DH726" s="33"/>
      <c r="DI726" s="33"/>
      <c r="DJ726" s="33"/>
      <c r="DK726" s="33"/>
      <c r="DL726" s="33"/>
      <c r="DM726" s="33"/>
      <c r="DN726" s="33"/>
      <c r="DO726" s="33"/>
      <c r="DP726" s="33"/>
      <c r="DQ726" s="33"/>
      <c r="DR726" s="33"/>
      <c r="DS726" s="33"/>
      <c r="DT726" s="33"/>
      <c r="DU726" s="33"/>
      <c r="DV726" s="33"/>
      <c r="DW726" s="33"/>
      <c r="DX726" s="33"/>
      <c r="DY726" s="33"/>
      <c r="DZ726" s="33"/>
      <c r="EA726" s="33"/>
      <c r="EB726" s="33"/>
      <c r="EC726" s="33"/>
      <c r="ED726" s="33"/>
      <c r="EE726" s="33"/>
      <c r="EF726" s="33"/>
      <c r="EG726" s="33"/>
      <c r="EH726" s="33"/>
      <c r="EI726" s="33"/>
      <c r="EJ726" s="33"/>
      <c r="EK726" s="33"/>
      <c r="EL726" s="33"/>
      <c r="EM726" s="33"/>
      <c r="EN726" s="33"/>
      <c r="EO726" s="33"/>
      <c r="EP726" s="33"/>
      <c r="EQ726" s="33"/>
      <c r="ER726" s="33"/>
      <c r="ES726" s="33"/>
    </row>
    <row r="727">
      <c r="A727" s="33"/>
      <c r="B727" s="33"/>
      <c r="C727" s="33"/>
      <c r="D727" s="33"/>
      <c r="E727" s="33"/>
      <c r="F727" s="33"/>
      <c r="G727" s="85"/>
      <c r="H727" s="85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33"/>
      <c r="Y727" s="33"/>
      <c r="Z727" s="33"/>
      <c r="AA727" s="33"/>
      <c r="AB727" s="33"/>
      <c r="AC727" s="33"/>
      <c r="AD727" s="33"/>
      <c r="AE727" s="33"/>
      <c r="AF727" s="33"/>
      <c r="AG727" s="33"/>
      <c r="AH727" s="33"/>
      <c r="AI727" s="33"/>
      <c r="AJ727" s="33"/>
      <c r="AK727" s="33"/>
      <c r="AL727" s="33"/>
      <c r="AM727" s="33"/>
      <c r="AN727" s="33"/>
      <c r="AO727" s="33"/>
      <c r="AP727" s="33"/>
      <c r="AQ727" s="33"/>
      <c r="AR727" s="33"/>
      <c r="AS727" s="33"/>
      <c r="AT727" s="33"/>
      <c r="AU727" s="33"/>
      <c r="AV727" s="33"/>
      <c r="AW727" s="33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  <c r="BI727" s="33"/>
      <c r="BJ727" s="33"/>
      <c r="BK727" s="33"/>
      <c r="BL727" s="33"/>
      <c r="BM727" s="33"/>
      <c r="BN727" s="33"/>
      <c r="BO727" s="33"/>
      <c r="BP727" s="33"/>
      <c r="BQ727" s="33"/>
      <c r="BR727" s="33"/>
      <c r="BS727" s="33"/>
      <c r="BT727" s="33"/>
      <c r="BU727" s="33"/>
      <c r="BV727" s="33"/>
      <c r="BW727" s="33"/>
      <c r="BX727" s="33"/>
      <c r="BY727" s="33"/>
      <c r="BZ727" s="33"/>
      <c r="CA727" s="33"/>
      <c r="CB727" s="33"/>
      <c r="CC727" s="33"/>
      <c r="CD727" s="33"/>
      <c r="CE727" s="33"/>
      <c r="CF727" s="33"/>
      <c r="CG727" s="33"/>
      <c r="CH727" s="33"/>
      <c r="CI727" s="33"/>
      <c r="CJ727" s="33"/>
      <c r="CK727" s="33"/>
      <c r="CL727" s="33"/>
      <c r="CM727" s="33"/>
      <c r="CN727" s="33"/>
      <c r="CO727" s="33"/>
      <c r="CP727" s="33"/>
      <c r="CQ727" s="33"/>
      <c r="CR727" s="33"/>
      <c r="CS727" s="33"/>
      <c r="CT727" s="33"/>
      <c r="CU727" s="33"/>
      <c r="CV727" s="33"/>
      <c r="CW727" s="33"/>
      <c r="CX727" s="33"/>
      <c r="CY727" s="33"/>
      <c r="CZ727" s="33"/>
      <c r="DA727" s="33"/>
      <c r="DB727" s="33"/>
      <c r="DC727" s="33"/>
      <c r="DD727" s="33"/>
      <c r="DE727" s="33"/>
      <c r="DF727" s="33"/>
      <c r="DG727" s="33"/>
      <c r="DH727" s="33"/>
      <c r="DI727" s="33"/>
      <c r="DJ727" s="33"/>
      <c r="DK727" s="33"/>
      <c r="DL727" s="33"/>
      <c r="DM727" s="33"/>
      <c r="DN727" s="33"/>
      <c r="DO727" s="33"/>
      <c r="DP727" s="33"/>
      <c r="DQ727" s="33"/>
      <c r="DR727" s="33"/>
      <c r="DS727" s="33"/>
      <c r="DT727" s="33"/>
      <c r="DU727" s="33"/>
      <c r="DV727" s="33"/>
      <c r="DW727" s="33"/>
      <c r="DX727" s="33"/>
      <c r="DY727" s="33"/>
      <c r="DZ727" s="33"/>
      <c r="EA727" s="33"/>
      <c r="EB727" s="33"/>
      <c r="EC727" s="33"/>
      <c r="ED727" s="33"/>
      <c r="EE727" s="33"/>
      <c r="EF727" s="33"/>
      <c r="EG727" s="33"/>
      <c r="EH727" s="33"/>
      <c r="EI727" s="33"/>
      <c r="EJ727" s="33"/>
      <c r="EK727" s="33"/>
      <c r="EL727" s="33"/>
      <c r="EM727" s="33"/>
      <c r="EN727" s="33"/>
      <c r="EO727" s="33"/>
      <c r="EP727" s="33"/>
      <c r="EQ727" s="33"/>
      <c r="ER727" s="33"/>
      <c r="ES727" s="33"/>
    </row>
    <row r="728">
      <c r="A728" s="33"/>
      <c r="B728" s="33"/>
      <c r="C728" s="33"/>
      <c r="D728" s="33"/>
      <c r="E728" s="33"/>
      <c r="F728" s="33"/>
      <c r="G728" s="85"/>
      <c r="H728" s="85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33"/>
      <c r="Y728" s="33"/>
      <c r="Z728" s="33"/>
      <c r="AA728" s="33"/>
      <c r="AB728" s="33"/>
      <c r="AC728" s="33"/>
      <c r="AD728" s="33"/>
      <c r="AE728" s="33"/>
      <c r="AF728" s="33"/>
      <c r="AG728" s="33"/>
      <c r="AH728" s="33"/>
      <c r="AI728" s="33"/>
      <c r="AJ728" s="33"/>
      <c r="AK728" s="33"/>
      <c r="AL728" s="33"/>
      <c r="AM728" s="33"/>
      <c r="AN728" s="33"/>
      <c r="AO728" s="33"/>
      <c r="AP728" s="33"/>
      <c r="AQ728" s="33"/>
      <c r="AR728" s="33"/>
      <c r="AS728" s="33"/>
      <c r="AT728" s="33"/>
      <c r="AU728" s="33"/>
      <c r="AV728" s="33"/>
      <c r="AW728" s="33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  <c r="BI728" s="33"/>
      <c r="BJ728" s="33"/>
      <c r="BK728" s="33"/>
      <c r="BL728" s="33"/>
      <c r="BM728" s="33"/>
      <c r="BN728" s="33"/>
      <c r="BO728" s="33"/>
      <c r="BP728" s="33"/>
      <c r="BQ728" s="33"/>
      <c r="BR728" s="33"/>
      <c r="BS728" s="33"/>
      <c r="BT728" s="33"/>
      <c r="BU728" s="33"/>
      <c r="BV728" s="33"/>
      <c r="BW728" s="33"/>
      <c r="BX728" s="33"/>
      <c r="BY728" s="33"/>
      <c r="BZ728" s="33"/>
      <c r="CA728" s="33"/>
      <c r="CB728" s="33"/>
      <c r="CC728" s="33"/>
      <c r="CD728" s="33"/>
      <c r="CE728" s="33"/>
      <c r="CF728" s="33"/>
      <c r="CG728" s="33"/>
      <c r="CH728" s="33"/>
      <c r="CI728" s="33"/>
      <c r="CJ728" s="33"/>
      <c r="CK728" s="33"/>
      <c r="CL728" s="33"/>
      <c r="CM728" s="33"/>
      <c r="CN728" s="33"/>
      <c r="CO728" s="33"/>
      <c r="CP728" s="33"/>
      <c r="CQ728" s="33"/>
      <c r="CR728" s="33"/>
      <c r="CS728" s="33"/>
      <c r="CT728" s="33"/>
      <c r="CU728" s="33"/>
      <c r="CV728" s="33"/>
      <c r="CW728" s="33"/>
      <c r="CX728" s="33"/>
      <c r="CY728" s="33"/>
      <c r="CZ728" s="33"/>
      <c r="DA728" s="33"/>
      <c r="DB728" s="33"/>
      <c r="DC728" s="33"/>
      <c r="DD728" s="33"/>
      <c r="DE728" s="33"/>
      <c r="DF728" s="33"/>
      <c r="DG728" s="33"/>
      <c r="DH728" s="33"/>
      <c r="DI728" s="33"/>
      <c r="DJ728" s="33"/>
      <c r="DK728" s="33"/>
      <c r="DL728" s="33"/>
      <c r="DM728" s="33"/>
      <c r="DN728" s="33"/>
      <c r="DO728" s="33"/>
      <c r="DP728" s="33"/>
      <c r="DQ728" s="33"/>
      <c r="DR728" s="33"/>
      <c r="DS728" s="33"/>
      <c r="DT728" s="33"/>
      <c r="DU728" s="33"/>
      <c r="DV728" s="33"/>
      <c r="DW728" s="33"/>
      <c r="DX728" s="33"/>
      <c r="DY728" s="33"/>
      <c r="DZ728" s="33"/>
      <c r="EA728" s="33"/>
      <c r="EB728" s="33"/>
      <c r="EC728" s="33"/>
      <c r="ED728" s="33"/>
      <c r="EE728" s="33"/>
      <c r="EF728" s="33"/>
      <c r="EG728" s="33"/>
      <c r="EH728" s="33"/>
      <c r="EI728" s="33"/>
      <c r="EJ728" s="33"/>
      <c r="EK728" s="33"/>
      <c r="EL728" s="33"/>
      <c r="EM728" s="33"/>
      <c r="EN728" s="33"/>
      <c r="EO728" s="33"/>
      <c r="EP728" s="33"/>
      <c r="EQ728" s="33"/>
      <c r="ER728" s="33"/>
      <c r="ES728" s="33"/>
    </row>
    <row r="729">
      <c r="A729" s="33"/>
      <c r="B729" s="33"/>
      <c r="C729" s="33"/>
      <c r="D729" s="33"/>
      <c r="E729" s="33"/>
      <c r="F729" s="33"/>
      <c r="G729" s="85"/>
      <c r="H729" s="85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33"/>
      <c r="Y729" s="33"/>
      <c r="Z729" s="33"/>
      <c r="AA729" s="33"/>
      <c r="AB729" s="33"/>
      <c r="AC729" s="33"/>
      <c r="AD729" s="33"/>
      <c r="AE729" s="33"/>
      <c r="AF729" s="33"/>
      <c r="AG729" s="33"/>
      <c r="AH729" s="33"/>
      <c r="AI729" s="33"/>
      <c r="AJ729" s="33"/>
      <c r="AK729" s="33"/>
      <c r="AL729" s="33"/>
      <c r="AM729" s="33"/>
      <c r="AN729" s="33"/>
      <c r="AO729" s="33"/>
      <c r="AP729" s="33"/>
      <c r="AQ729" s="33"/>
      <c r="AR729" s="33"/>
      <c r="AS729" s="33"/>
      <c r="AT729" s="33"/>
      <c r="AU729" s="33"/>
      <c r="AV729" s="33"/>
      <c r="AW729" s="33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  <c r="BI729" s="33"/>
      <c r="BJ729" s="33"/>
      <c r="BK729" s="33"/>
      <c r="BL729" s="33"/>
      <c r="BM729" s="33"/>
      <c r="BN729" s="33"/>
      <c r="BO729" s="33"/>
      <c r="BP729" s="33"/>
      <c r="BQ729" s="33"/>
      <c r="BR729" s="33"/>
      <c r="BS729" s="33"/>
      <c r="BT729" s="33"/>
      <c r="BU729" s="33"/>
      <c r="BV729" s="33"/>
      <c r="BW729" s="33"/>
      <c r="BX729" s="33"/>
      <c r="BY729" s="33"/>
      <c r="BZ729" s="33"/>
      <c r="CA729" s="33"/>
      <c r="CB729" s="33"/>
      <c r="CC729" s="33"/>
      <c r="CD729" s="33"/>
      <c r="CE729" s="33"/>
      <c r="CF729" s="33"/>
      <c r="CG729" s="33"/>
      <c r="CH729" s="33"/>
      <c r="CI729" s="33"/>
      <c r="CJ729" s="33"/>
      <c r="CK729" s="33"/>
      <c r="CL729" s="33"/>
      <c r="CM729" s="33"/>
      <c r="CN729" s="33"/>
      <c r="CO729" s="33"/>
      <c r="CP729" s="33"/>
      <c r="CQ729" s="33"/>
      <c r="CR729" s="33"/>
      <c r="CS729" s="33"/>
      <c r="CT729" s="33"/>
      <c r="CU729" s="33"/>
      <c r="CV729" s="33"/>
      <c r="CW729" s="33"/>
      <c r="CX729" s="33"/>
      <c r="CY729" s="33"/>
      <c r="CZ729" s="33"/>
      <c r="DA729" s="33"/>
      <c r="DB729" s="33"/>
      <c r="DC729" s="33"/>
      <c r="DD729" s="33"/>
      <c r="DE729" s="33"/>
      <c r="DF729" s="33"/>
      <c r="DG729" s="33"/>
      <c r="DH729" s="33"/>
      <c r="DI729" s="33"/>
      <c r="DJ729" s="33"/>
      <c r="DK729" s="33"/>
      <c r="DL729" s="33"/>
      <c r="DM729" s="33"/>
      <c r="DN729" s="33"/>
      <c r="DO729" s="33"/>
      <c r="DP729" s="33"/>
      <c r="DQ729" s="33"/>
      <c r="DR729" s="33"/>
      <c r="DS729" s="33"/>
      <c r="DT729" s="33"/>
      <c r="DU729" s="33"/>
      <c r="DV729" s="33"/>
      <c r="DW729" s="33"/>
      <c r="DX729" s="33"/>
      <c r="DY729" s="33"/>
      <c r="DZ729" s="33"/>
      <c r="EA729" s="33"/>
      <c r="EB729" s="33"/>
      <c r="EC729" s="33"/>
      <c r="ED729" s="33"/>
      <c r="EE729" s="33"/>
      <c r="EF729" s="33"/>
      <c r="EG729" s="33"/>
      <c r="EH729" s="33"/>
      <c r="EI729" s="33"/>
      <c r="EJ729" s="33"/>
      <c r="EK729" s="33"/>
      <c r="EL729" s="33"/>
      <c r="EM729" s="33"/>
      <c r="EN729" s="33"/>
      <c r="EO729" s="33"/>
      <c r="EP729" s="33"/>
      <c r="EQ729" s="33"/>
      <c r="ER729" s="33"/>
      <c r="ES729" s="33"/>
    </row>
    <row r="730">
      <c r="A730" s="33"/>
      <c r="B730" s="33"/>
      <c r="C730" s="33"/>
      <c r="D730" s="33"/>
      <c r="E730" s="33"/>
      <c r="F730" s="33"/>
      <c r="G730" s="85"/>
      <c r="H730" s="85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33"/>
      <c r="Y730" s="33"/>
      <c r="Z730" s="33"/>
      <c r="AA730" s="33"/>
      <c r="AB730" s="33"/>
      <c r="AC730" s="33"/>
      <c r="AD730" s="33"/>
      <c r="AE730" s="33"/>
      <c r="AF730" s="33"/>
      <c r="AG730" s="33"/>
      <c r="AH730" s="33"/>
      <c r="AI730" s="33"/>
      <c r="AJ730" s="33"/>
      <c r="AK730" s="33"/>
      <c r="AL730" s="33"/>
      <c r="AM730" s="33"/>
      <c r="AN730" s="33"/>
      <c r="AO730" s="33"/>
      <c r="AP730" s="33"/>
      <c r="AQ730" s="33"/>
      <c r="AR730" s="33"/>
      <c r="AS730" s="33"/>
      <c r="AT730" s="33"/>
      <c r="AU730" s="33"/>
      <c r="AV730" s="33"/>
      <c r="AW730" s="33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  <c r="BI730" s="33"/>
      <c r="BJ730" s="33"/>
      <c r="BK730" s="33"/>
      <c r="BL730" s="33"/>
      <c r="BM730" s="33"/>
      <c r="BN730" s="33"/>
      <c r="BO730" s="33"/>
      <c r="BP730" s="33"/>
      <c r="BQ730" s="33"/>
      <c r="BR730" s="33"/>
      <c r="BS730" s="33"/>
      <c r="BT730" s="33"/>
      <c r="BU730" s="33"/>
      <c r="BV730" s="33"/>
      <c r="BW730" s="33"/>
      <c r="BX730" s="33"/>
      <c r="BY730" s="33"/>
      <c r="BZ730" s="33"/>
      <c r="CA730" s="33"/>
      <c r="CB730" s="33"/>
      <c r="CC730" s="33"/>
      <c r="CD730" s="33"/>
      <c r="CE730" s="33"/>
      <c r="CF730" s="33"/>
      <c r="CG730" s="33"/>
      <c r="CH730" s="33"/>
      <c r="CI730" s="33"/>
      <c r="CJ730" s="33"/>
      <c r="CK730" s="33"/>
      <c r="CL730" s="33"/>
      <c r="CM730" s="33"/>
      <c r="CN730" s="33"/>
      <c r="CO730" s="33"/>
      <c r="CP730" s="33"/>
      <c r="CQ730" s="33"/>
      <c r="CR730" s="33"/>
      <c r="CS730" s="33"/>
      <c r="CT730" s="33"/>
      <c r="CU730" s="33"/>
      <c r="CV730" s="33"/>
      <c r="CW730" s="33"/>
      <c r="CX730" s="33"/>
      <c r="CY730" s="33"/>
      <c r="CZ730" s="33"/>
      <c r="DA730" s="33"/>
      <c r="DB730" s="33"/>
      <c r="DC730" s="33"/>
      <c r="DD730" s="33"/>
      <c r="DE730" s="33"/>
      <c r="DF730" s="33"/>
      <c r="DG730" s="33"/>
      <c r="DH730" s="33"/>
      <c r="DI730" s="33"/>
      <c r="DJ730" s="33"/>
      <c r="DK730" s="33"/>
      <c r="DL730" s="33"/>
      <c r="DM730" s="33"/>
      <c r="DN730" s="33"/>
      <c r="DO730" s="33"/>
      <c r="DP730" s="33"/>
      <c r="DQ730" s="33"/>
      <c r="DR730" s="33"/>
      <c r="DS730" s="33"/>
      <c r="DT730" s="33"/>
      <c r="DU730" s="33"/>
      <c r="DV730" s="33"/>
      <c r="DW730" s="33"/>
      <c r="DX730" s="33"/>
      <c r="DY730" s="33"/>
      <c r="DZ730" s="33"/>
      <c r="EA730" s="33"/>
      <c r="EB730" s="33"/>
      <c r="EC730" s="33"/>
      <c r="ED730" s="33"/>
      <c r="EE730" s="33"/>
      <c r="EF730" s="33"/>
      <c r="EG730" s="33"/>
      <c r="EH730" s="33"/>
      <c r="EI730" s="33"/>
      <c r="EJ730" s="33"/>
      <c r="EK730" s="33"/>
      <c r="EL730" s="33"/>
      <c r="EM730" s="33"/>
      <c r="EN730" s="33"/>
      <c r="EO730" s="33"/>
      <c r="EP730" s="33"/>
      <c r="EQ730" s="33"/>
      <c r="ER730" s="33"/>
      <c r="ES730" s="33"/>
    </row>
    <row r="731">
      <c r="A731" s="33"/>
      <c r="B731" s="33"/>
      <c r="C731" s="33"/>
      <c r="D731" s="33"/>
      <c r="E731" s="33"/>
      <c r="F731" s="33"/>
      <c r="G731" s="85"/>
      <c r="H731" s="85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33"/>
      <c r="Y731" s="33"/>
      <c r="Z731" s="33"/>
      <c r="AA731" s="33"/>
      <c r="AB731" s="33"/>
      <c r="AC731" s="33"/>
      <c r="AD731" s="33"/>
      <c r="AE731" s="33"/>
      <c r="AF731" s="33"/>
      <c r="AG731" s="33"/>
      <c r="AH731" s="33"/>
      <c r="AI731" s="33"/>
      <c r="AJ731" s="33"/>
      <c r="AK731" s="33"/>
      <c r="AL731" s="33"/>
      <c r="AM731" s="33"/>
      <c r="AN731" s="33"/>
      <c r="AO731" s="33"/>
      <c r="AP731" s="33"/>
      <c r="AQ731" s="33"/>
      <c r="AR731" s="33"/>
      <c r="AS731" s="33"/>
      <c r="AT731" s="33"/>
      <c r="AU731" s="33"/>
      <c r="AV731" s="33"/>
      <c r="AW731" s="33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  <c r="BI731" s="33"/>
      <c r="BJ731" s="33"/>
      <c r="BK731" s="33"/>
      <c r="BL731" s="33"/>
      <c r="BM731" s="33"/>
      <c r="BN731" s="33"/>
      <c r="BO731" s="33"/>
      <c r="BP731" s="33"/>
      <c r="BQ731" s="33"/>
      <c r="BR731" s="33"/>
      <c r="BS731" s="33"/>
      <c r="BT731" s="33"/>
      <c r="BU731" s="33"/>
      <c r="BV731" s="33"/>
      <c r="BW731" s="33"/>
      <c r="BX731" s="33"/>
      <c r="BY731" s="33"/>
      <c r="BZ731" s="33"/>
      <c r="CA731" s="33"/>
      <c r="CB731" s="33"/>
      <c r="CC731" s="33"/>
      <c r="CD731" s="33"/>
      <c r="CE731" s="33"/>
      <c r="CF731" s="33"/>
      <c r="CG731" s="33"/>
      <c r="CH731" s="33"/>
      <c r="CI731" s="33"/>
      <c r="CJ731" s="33"/>
      <c r="CK731" s="33"/>
      <c r="CL731" s="33"/>
      <c r="CM731" s="33"/>
      <c r="CN731" s="33"/>
      <c r="CO731" s="33"/>
      <c r="CP731" s="33"/>
      <c r="CQ731" s="33"/>
      <c r="CR731" s="33"/>
      <c r="CS731" s="33"/>
      <c r="CT731" s="33"/>
      <c r="CU731" s="33"/>
      <c r="CV731" s="33"/>
      <c r="CW731" s="33"/>
      <c r="CX731" s="33"/>
      <c r="CY731" s="33"/>
      <c r="CZ731" s="33"/>
      <c r="DA731" s="33"/>
      <c r="DB731" s="33"/>
      <c r="DC731" s="33"/>
      <c r="DD731" s="33"/>
      <c r="DE731" s="33"/>
      <c r="DF731" s="33"/>
      <c r="DG731" s="33"/>
      <c r="DH731" s="33"/>
      <c r="DI731" s="33"/>
      <c r="DJ731" s="33"/>
      <c r="DK731" s="33"/>
      <c r="DL731" s="33"/>
      <c r="DM731" s="33"/>
      <c r="DN731" s="33"/>
      <c r="DO731" s="33"/>
      <c r="DP731" s="33"/>
      <c r="DQ731" s="33"/>
      <c r="DR731" s="33"/>
      <c r="DS731" s="33"/>
      <c r="DT731" s="33"/>
      <c r="DU731" s="33"/>
      <c r="DV731" s="33"/>
      <c r="DW731" s="33"/>
      <c r="DX731" s="33"/>
      <c r="DY731" s="33"/>
      <c r="DZ731" s="33"/>
      <c r="EA731" s="33"/>
      <c r="EB731" s="33"/>
      <c r="EC731" s="33"/>
      <c r="ED731" s="33"/>
      <c r="EE731" s="33"/>
      <c r="EF731" s="33"/>
      <c r="EG731" s="33"/>
      <c r="EH731" s="33"/>
      <c r="EI731" s="33"/>
      <c r="EJ731" s="33"/>
      <c r="EK731" s="33"/>
      <c r="EL731" s="33"/>
      <c r="EM731" s="33"/>
      <c r="EN731" s="33"/>
      <c r="EO731" s="33"/>
      <c r="EP731" s="33"/>
      <c r="EQ731" s="33"/>
      <c r="ER731" s="33"/>
      <c r="ES731" s="33"/>
    </row>
    <row r="732">
      <c r="A732" s="33"/>
      <c r="B732" s="33"/>
      <c r="C732" s="33"/>
      <c r="D732" s="33"/>
      <c r="E732" s="33"/>
      <c r="F732" s="33"/>
      <c r="G732" s="85"/>
      <c r="H732" s="85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33"/>
      <c r="Y732" s="33"/>
      <c r="Z732" s="33"/>
      <c r="AA732" s="33"/>
      <c r="AB732" s="33"/>
      <c r="AC732" s="33"/>
      <c r="AD732" s="33"/>
      <c r="AE732" s="33"/>
      <c r="AF732" s="33"/>
      <c r="AG732" s="33"/>
      <c r="AH732" s="33"/>
      <c r="AI732" s="33"/>
      <c r="AJ732" s="33"/>
      <c r="AK732" s="33"/>
      <c r="AL732" s="33"/>
      <c r="AM732" s="33"/>
      <c r="AN732" s="33"/>
      <c r="AO732" s="33"/>
      <c r="AP732" s="33"/>
      <c r="AQ732" s="33"/>
      <c r="AR732" s="33"/>
      <c r="AS732" s="33"/>
      <c r="AT732" s="33"/>
      <c r="AU732" s="33"/>
      <c r="AV732" s="33"/>
      <c r="AW732" s="33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  <c r="BI732" s="33"/>
      <c r="BJ732" s="33"/>
      <c r="BK732" s="33"/>
      <c r="BL732" s="33"/>
      <c r="BM732" s="33"/>
      <c r="BN732" s="33"/>
      <c r="BO732" s="33"/>
      <c r="BP732" s="33"/>
      <c r="BQ732" s="33"/>
      <c r="BR732" s="33"/>
      <c r="BS732" s="33"/>
      <c r="BT732" s="33"/>
      <c r="BU732" s="33"/>
      <c r="BV732" s="33"/>
      <c r="BW732" s="33"/>
      <c r="BX732" s="33"/>
      <c r="BY732" s="33"/>
      <c r="BZ732" s="33"/>
      <c r="CA732" s="33"/>
      <c r="CB732" s="33"/>
      <c r="CC732" s="33"/>
      <c r="CD732" s="33"/>
      <c r="CE732" s="33"/>
      <c r="CF732" s="33"/>
      <c r="CG732" s="33"/>
      <c r="CH732" s="33"/>
      <c r="CI732" s="33"/>
      <c r="CJ732" s="33"/>
      <c r="CK732" s="33"/>
      <c r="CL732" s="33"/>
      <c r="CM732" s="33"/>
      <c r="CN732" s="33"/>
      <c r="CO732" s="33"/>
      <c r="CP732" s="33"/>
      <c r="CQ732" s="33"/>
      <c r="CR732" s="33"/>
      <c r="CS732" s="33"/>
      <c r="CT732" s="33"/>
      <c r="CU732" s="33"/>
      <c r="CV732" s="33"/>
      <c r="CW732" s="33"/>
      <c r="CX732" s="33"/>
      <c r="CY732" s="33"/>
      <c r="CZ732" s="33"/>
      <c r="DA732" s="33"/>
      <c r="DB732" s="33"/>
      <c r="DC732" s="33"/>
      <c r="DD732" s="33"/>
      <c r="DE732" s="33"/>
      <c r="DF732" s="33"/>
      <c r="DG732" s="33"/>
      <c r="DH732" s="33"/>
      <c r="DI732" s="33"/>
      <c r="DJ732" s="33"/>
      <c r="DK732" s="33"/>
      <c r="DL732" s="33"/>
      <c r="DM732" s="33"/>
      <c r="DN732" s="33"/>
      <c r="DO732" s="33"/>
      <c r="DP732" s="33"/>
      <c r="DQ732" s="33"/>
      <c r="DR732" s="33"/>
      <c r="DS732" s="33"/>
      <c r="DT732" s="33"/>
      <c r="DU732" s="33"/>
      <c r="DV732" s="33"/>
      <c r="DW732" s="33"/>
      <c r="DX732" s="33"/>
      <c r="DY732" s="33"/>
      <c r="DZ732" s="33"/>
      <c r="EA732" s="33"/>
      <c r="EB732" s="33"/>
      <c r="EC732" s="33"/>
      <c r="ED732" s="33"/>
      <c r="EE732" s="33"/>
      <c r="EF732" s="33"/>
      <c r="EG732" s="33"/>
      <c r="EH732" s="33"/>
      <c r="EI732" s="33"/>
      <c r="EJ732" s="33"/>
      <c r="EK732" s="33"/>
      <c r="EL732" s="33"/>
      <c r="EM732" s="33"/>
      <c r="EN732" s="33"/>
      <c r="EO732" s="33"/>
      <c r="EP732" s="33"/>
      <c r="EQ732" s="33"/>
      <c r="ER732" s="33"/>
      <c r="ES732" s="33"/>
    </row>
    <row r="733">
      <c r="A733" s="33"/>
      <c r="B733" s="33"/>
      <c r="C733" s="33"/>
      <c r="D733" s="33"/>
      <c r="E733" s="33"/>
      <c r="F733" s="33"/>
      <c r="G733" s="85"/>
      <c r="H733" s="85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33"/>
      <c r="Y733" s="33"/>
      <c r="Z733" s="33"/>
      <c r="AA733" s="33"/>
      <c r="AB733" s="33"/>
      <c r="AC733" s="33"/>
      <c r="AD733" s="33"/>
      <c r="AE733" s="33"/>
      <c r="AF733" s="33"/>
      <c r="AG733" s="33"/>
      <c r="AH733" s="33"/>
      <c r="AI733" s="33"/>
      <c r="AJ733" s="33"/>
      <c r="AK733" s="33"/>
      <c r="AL733" s="33"/>
      <c r="AM733" s="33"/>
      <c r="AN733" s="33"/>
      <c r="AO733" s="33"/>
      <c r="AP733" s="33"/>
      <c r="AQ733" s="33"/>
      <c r="AR733" s="33"/>
      <c r="AS733" s="33"/>
      <c r="AT733" s="33"/>
      <c r="AU733" s="33"/>
      <c r="AV733" s="33"/>
      <c r="AW733" s="33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  <c r="BI733" s="33"/>
      <c r="BJ733" s="33"/>
      <c r="BK733" s="33"/>
      <c r="BL733" s="33"/>
      <c r="BM733" s="33"/>
      <c r="BN733" s="33"/>
      <c r="BO733" s="33"/>
      <c r="BP733" s="33"/>
      <c r="BQ733" s="33"/>
      <c r="BR733" s="33"/>
      <c r="BS733" s="33"/>
      <c r="BT733" s="33"/>
      <c r="BU733" s="33"/>
      <c r="BV733" s="33"/>
      <c r="BW733" s="33"/>
      <c r="BX733" s="33"/>
      <c r="BY733" s="33"/>
      <c r="BZ733" s="33"/>
      <c r="CA733" s="33"/>
      <c r="CB733" s="33"/>
      <c r="CC733" s="33"/>
      <c r="CD733" s="33"/>
      <c r="CE733" s="33"/>
      <c r="CF733" s="33"/>
      <c r="CG733" s="33"/>
      <c r="CH733" s="33"/>
      <c r="CI733" s="33"/>
      <c r="CJ733" s="33"/>
      <c r="CK733" s="33"/>
      <c r="CL733" s="33"/>
      <c r="CM733" s="33"/>
      <c r="CN733" s="33"/>
      <c r="CO733" s="33"/>
      <c r="CP733" s="33"/>
      <c r="CQ733" s="33"/>
      <c r="CR733" s="33"/>
      <c r="CS733" s="33"/>
      <c r="CT733" s="33"/>
      <c r="CU733" s="33"/>
      <c r="CV733" s="33"/>
      <c r="CW733" s="33"/>
      <c r="CX733" s="33"/>
      <c r="CY733" s="33"/>
      <c r="CZ733" s="33"/>
      <c r="DA733" s="33"/>
      <c r="DB733" s="33"/>
      <c r="DC733" s="33"/>
      <c r="DD733" s="33"/>
      <c r="DE733" s="33"/>
      <c r="DF733" s="33"/>
      <c r="DG733" s="33"/>
      <c r="DH733" s="33"/>
      <c r="DI733" s="33"/>
      <c r="DJ733" s="33"/>
      <c r="DK733" s="33"/>
      <c r="DL733" s="33"/>
      <c r="DM733" s="33"/>
      <c r="DN733" s="33"/>
      <c r="DO733" s="33"/>
      <c r="DP733" s="33"/>
      <c r="DQ733" s="33"/>
      <c r="DR733" s="33"/>
      <c r="DS733" s="33"/>
      <c r="DT733" s="33"/>
      <c r="DU733" s="33"/>
      <c r="DV733" s="33"/>
      <c r="DW733" s="33"/>
      <c r="DX733" s="33"/>
      <c r="DY733" s="33"/>
      <c r="DZ733" s="33"/>
      <c r="EA733" s="33"/>
      <c r="EB733" s="33"/>
      <c r="EC733" s="33"/>
      <c r="ED733" s="33"/>
      <c r="EE733" s="33"/>
      <c r="EF733" s="33"/>
      <c r="EG733" s="33"/>
      <c r="EH733" s="33"/>
      <c r="EI733" s="33"/>
      <c r="EJ733" s="33"/>
      <c r="EK733" s="33"/>
      <c r="EL733" s="33"/>
      <c r="EM733" s="33"/>
      <c r="EN733" s="33"/>
      <c r="EO733" s="33"/>
      <c r="EP733" s="33"/>
      <c r="EQ733" s="33"/>
      <c r="ER733" s="33"/>
      <c r="ES733" s="33"/>
    </row>
    <row r="734">
      <c r="A734" s="33"/>
      <c r="B734" s="33"/>
      <c r="C734" s="33"/>
      <c r="D734" s="33"/>
      <c r="E734" s="33"/>
      <c r="F734" s="33"/>
      <c r="G734" s="85"/>
      <c r="H734" s="85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33"/>
      <c r="Y734" s="33"/>
      <c r="Z734" s="33"/>
      <c r="AA734" s="33"/>
      <c r="AB734" s="33"/>
      <c r="AC734" s="33"/>
      <c r="AD734" s="33"/>
      <c r="AE734" s="33"/>
      <c r="AF734" s="33"/>
      <c r="AG734" s="33"/>
      <c r="AH734" s="33"/>
      <c r="AI734" s="33"/>
      <c r="AJ734" s="33"/>
      <c r="AK734" s="33"/>
      <c r="AL734" s="33"/>
      <c r="AM734" s="33"/>
      <c r="AN734" s="33"/>
      <c r="AO734" s="33"/>
      <c r="AP734" s="33"/>
      <c r="AQ734" s="33"/>
      <c r="AR734" s="33"/>
      <c r="AS734" s="33"/>
      <c r="AT734" s="33"/>
      <c r="AU734" s="33"/>
      <c r="AV734" s="33"/>
      <c r="AW734" s="33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  <c r="BI734" s="33"/>
      <c r="BJ734" s="33"/>
      <c r="BK734" s="33"/>
      <c r="BL734" s="33"/>
      <c r="BM734" s="33"/>
      <c r="BN734" s="33"/>
      <c r="BO734" s="33"/>
      <c r="BP734" s="33"/>
      <c r="BQ734" s="33"/>
      <c r="BR734" s="33"/>
      <c r="BS734" s="33"/>
      <c r="BT734" s="33"/>
      <c r="BU734" s="33"/>
      <c r="BV734" s="33"/>
      <c r="BW734" s="33"/>
      <c r="BX734" s="33"/>
      <c r="BY734" s="33"/>
      <c r="BZ734" s="33"/>
      <c r="CA734" s="33"/>
      <c r="CB734" s="33"/>
      <c r="CC734" s="33"/>
      <c r="CD734" s="33"/>
      <c r="CE734" s="33"/>
      <c r="CF734" s="33"/>
      <c r="CG734" s="33"/>
      <c r="CH734" s="33"/>
      <c r="CI734" s="33"/>
      <c r="CJ734" s="33"/>
      <c r="CK734" s="33"/>
      <c r="CL734" s="33"/>
      <c r="CM734" s="33"/>
      <c r="CN734" s="33"/>
      <c r="CO734" s="33"/>
      <c r="CP734" s="33"/>
      <c r="CQ734" s="33"/>
      <c r="CR734" s="33"/>
      <c r="CS734" s="33"/>
      <c r="CT734" s="33"/>
      <c r="CU734" s="33"/>
      <c r="CV734" s="33"/>
      <c r="CW734" s="33"/>
      <c r="CX734" s="33"/>
      <c r="CY734" s="33"/>
      <c r="CZ734" s="33"/>
      <c r="DA734" s="33"/>
      <c r="DB734" s="33"/>
      <c r="DC734" s="33"/>
      <c r="DD734" s="33"/>
      <c r="DE734" s="33"/>
      <c r="DF734" s="33"/>
      <c r="DG734" s="33"/>
      <c r="DH734" s="33"/>
      <c r="DI734" s="33"/>
      <c r="DJ734" s="33"/>
      <c r="DK734" s="33"/>
      <c r="DL734" s="33"/>
      <c r="DM734" s="33"/>
      <c r="DN734" s="33"/>
      <c r="DO734" s="33"/>
      <c r="DP734" s="33"/>
      <c r="DQ734" s="33"/>
      <c r="DR734" s="33"/>
      <c r="DS734" s="33"/>
      <c r="DT734" s="33"/>
      <c r="DU734" s="33"/>
      <c r="DV734" s="33"/>
      <c r="DW734" s="33"/>
      <c r="DX734" s="33"/>
      <c r="DY734" s="33"/>
      <c r="DZ734" s="33"/>
      <c r="EA734" s="33"/>
      <c r="EB734" s="33"/>
      <c r="EC734" s="33"/>
      <c r="ED734" s="33"/>
      <c r="EE734" s="33"/>
      <c r="EF734" s="33"/>
      <c r="EG734" s="33"/>
      <c r="EH734" s="33"/>
      <c r="EI734" s="33"/>
      <c r="EJ734" s="33"/>
      <c r="EK734" s="33"/>
      <c r="EL734" s="33"/>
      <c r="EM734" s="33"/>
      <c r="EN734" s="33"/>
      <c r="EO734" s="33"/>
      <c r="EP734" s="33"/>
      <c r="EQ734" s="33"/>
      <c r="ER734" s="33"/>
      <c r="ES734" s="33"/>
    </row>
    <row r="735">
      <c r="A735" s="33"/>
      <c r="B735" s="33"/>
      <c r="C735" s="33"/>
      <c r="D735" s="33"/>
      <c r="E735" s="33"/>
      <c r="F735" s="33"/>
      <c r="G735" s="85"/>
      <c r="H735" s="85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33"/>
      <c r="Y735" s="33"/>
      <c r="Z735" s="33"/>
      <c r="AA735" s="33"/>
      <c r="AB735" s="33"/>
      <c r="AC735" s="33"/>
      <c r="AD735" s="33"/>
      <c r="AE735" s="33"/>
      <c r="AF735" s="33"/>
      <c r="AG735" s="33"/>
      <c r="AH735" s="33"/>
      <c r="AI735" s="33"/>
      <c r="AJ735" s="33"/>
      <c r="AK735" s="33"/>
      <c r="AL735" s="33"/>
      <c r="AM735" s="33"/>
      <c r="AN735" s="33"/>
      <c r="AO735" s="33"/>
      <c r="AP735" s="33"/>
      <c r="AQ735" s="33"/>
      <c r="AR735" s="33"/>
      <c r="AS735" s="33"/>
      <c r="AT735" s="33"/>
      <c r="AU735" s="33"/>
      <c r="AV735" s="33"/>
      <c r="AW735" s="33"/>
      <c r="AX735" s="33"/>
      <c r="AY735" s="33"/>
      <c r="AZ735" s="33"/>
      <c r="BA735" s="33"/>
      <c r="BB735" s="33"/>
      <c r="BC735" s="33"/>
      <c r="BD735" s="33"/>
      <c r="BE735" s="33"/>
      <c r="BF735" s="33"/>
      <c r="BG735" s="33"/>
      <c r="BH735" s="33"/>
      <c r="BI735" s="33"/>
      <c r="BJ735" s="33"/>
      <c r="BK735" s="33"/>
      <c r="BL735" s="33"/>
      <c r="BM735" s="33"/>
      <c r="BN735" s="33"/>
      <c r="BO735" s="33"/>
      <c r="BP735" s="33"/>
      <c r="BQ735" s="33"/>
      <c r="BR735" s="33"/>
      <c r="BS735" s="33"/>
      <c r="BT735" s="33"/>
      <c r="BU735" s="33"/>
      <c r="BV735" s="33"/>
      <c r="BW735" s="33"/>
      <c r="BX735" s="33"/>
      <c r="BY735" s="33"/>
      <c r="BZ735" s="33"/>
      <c r="CA735" s="33"/>
      <c r="CB735" s="33"/>
      <c r="CC735" s="33"/>
      <c r="CD735" s="33"/>
      <c r="CE735" s="33"/>
      <c r="CF735" s="33"/>
      <c r="CG735" s="33"/>
      <c r="CH735" s="33"/>
      <c r="CI735" s="33"/>
      <c r="CJ735" s="33"/>
      <c r="CK735" s="33"/>
      <c r="CL735" s="33"/>
      <c r="CM735" s="33"/>
      <c r="CN735" s="33"/>
      <c r="CO735" s="33"/>
      <c r="CP735" s="33"/>
      <c r="CQ735" s="33"/>
      <c r="CR735" s="33"/>
      <c r="CS735" s="33"/>
      <c r="CT735" s="33"/>
      <c r="CU735" s="33"/>
      <c r="CV735" s="33"/>
      <c r="CW735" s="33"/>
      <c r="CX735" s="33"/>
      <c r="CY735" s="33"/>
      <c r="CZ735" s="33"/>
      <c r="DA735" s="33"/>
      <c r="DB735" s="33"/>
      <c r="DC735" s="33"/>
      <c r="DD735" s="33"/>
      <c r="DE735" s="33"/>
      <c r="DF735" s="33"/>
      <c r="DG735" s="33"/>
      <c r="DH735" s="33"/>
      <c r="DI735" s="33"/>
      <c r="DJ735" s="33"/>
      <c r="DK735" s="33"/>
      <c r="DL735" s="33"/>
      <c r="DM735" s="33"/>
      <c r="DN735" s="33"/>
      <c r="DO735" s="33"/>
      <c r="DP735" s="33"/>
      <c r="DQ735" s="33"/>
      <c r="DR735" s="33"/>
      <c r="DS735" s="33"/>
      <c r="DT735" s="33"/>
      <c r="DU735" s="33"/>
      <c r="DV735" s="33"/>
      <c r="DW735" s="33"/>
      <c r="DX735" s="33"/>
      <c r="DY735" s="33"/>
      <c r="DZ735" s="33"/>
      <c r="EA735" s="33"/>
      <c r="EB735" s="33"/>
      <c r="EC735" s="33"/>
      <c r="ED735" s="33"/>
      <c r="EE735" s="33"/>
      <c r="EF735" s="33"/>
      <c r="EG735" s="33"/>
      <c r="EH735" s="33"/>
      <c r="EI735" s="33"/>
      <c r="EJ735" s="33"/>
      <c r="EK735" s="33"/>
      <c r="EL735" s="33"/>
      <c r="EM735" s="33"/>
      <c r="EN735" s="33"/>
      <c r="EO735" s="33"/>
      <c r="EP735" s="33"/>
      <c r="EQ735" s="33"/>
      <c r="ER735" s="33"/>
      <c r="ES735" s="33"/>
    </row>
    <row r="736">
      <c r="A736" s="33"/>
      <c r="B736" s="33"/>
      <c r="C736" s="33"/>
      <c r="D736" s="33"/>
      <c r="E736" s="33"/>
      <c r="F736" s="33"/>
      <c r="G736" s="85"/>
      <c r="H736" s="85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33"/>
      <c r="Y736" s="33"/>
      <c r="Z736" s="33"/>
      <c r="AA736" s="33"/>
      <c r="AB736" s="33"/>
      <c r="AC736" s="33"/>
      <c r="AD736" s="33"/>
      <c r="AE736" s="33"/>
      <c r="AF736" s="33"/>
      <c r="AG736" s="33"/>
      <c r="AH736" s="33"/>
      <c r="AI736" s="33"/>
      <c r="AJ736" s="33"/>
      <c r="AK736" s="33"/>
      <c r="AL736" s="33"/>
      <c r="AM736" s="33"/>
      <c r="AN736" s="33"/>
      <c r="AO736" s="33"/>
      <c r="AP736" s="33"/>
      <c r="AQ736" s="33"/>
      <c r="AR736" s="33"/>
      <c r="AS736" s="33"/>
      <c r="AT736" s="33"/>
      <c r="AU736" s="33"/>
      <c r="AV736" s="33"/>
      <c r="AW736" s="33"/>
      <c r="AX736" s="33"/>
      <c r="AY736" s="33"/>
      <c r="AZ736" s="33"/>
      <c r="BA736" s="33"/>
      <c r="BB736" s="33"/>
      <c r="BC736" s="33"/>
      <c r="BD736" s="33"/>
      <c r="BE736" s="33"/>
      <c r="BF736" s="33"/>
      <c r="BG736" s="33"/>
      <c r="BH736" s="33"/>
      <c r="BI736" s="33"/>
      <c r="BJ736" s="33"/>
      <c r="BK736" s="33"/>
      <c r="BL736" s="33"/>
      <c r="BM736" s="33"/>
      <c r="BN736" s="33"/>
      <c r="BO736" s="33"/>
      <c r="BP736" s="33"/>
      <c r="BQ736" s="33"/>
      <c r="BR736" s="33"/>
      <c r="BS736" s="33"/>
      <c r="BT736" s="33"/>
      <c r="BU736" s="33"/>
      <c r="BV736" s="33"/>
      <c r="BW736" s="33"/>
      <c r="BX736" s="33"/>
      <c r="BY736" s="33"/>
      <c r="BZ736" s="33"/>
      <c r="CA736" s="33"/>
      <c r="CB736" s="33"/>
      <c r="CC736" s="33"/>
      <c r="CD736" s="33"/>
      <c r="CE736" s="33"/>
      <c r="CF736" s="33"/>
      <c r="CG736" s="33"/>
      <c r="CH736" s="33"/>
      <c r="CI736" s="33"/>
      <c r="CJ736" s="33"/>
      <c r="CK736" s="33"/>
      <c r="CL736" s="33"/>
      <c r="CM736" s="33"/>
      <c r="CN736" s="33"/>
      <c r="CO736" s="33"/>
      <c r="CP736" s="33"/>
      <c r="CQ736" s="33"/>
      <c r="CR736" s="33"/>
      <c r="CS736" s="33"/>
      <c r="CT736" s="33"/>
      <c r="CU736" s="33"/>
      <c r="CV736" s="33"/>
      <c r="CW736" s="33"/>
      <c r="CX736" s="33"/>
      <c r="CY736" s="33"/>
      <c r="CZ736" s="33"/>
      <c r="DA736" s="33"/>
      <c r="DB736" s="33"/>
      <c r="DC736" s="33"/>
      <c r="DD736" s="33"/>
      <c r="DE736" s="33"/>
      <c r="DF736" s="33"/>
      <c r="DG736" s="33"/>
      <c r="DH736" s="33"/>
      <c r="DI736" s="33"/>
      <c r="DJ736" s="33"/>
      <c r="DK736" s="33"/>
      <c r="DL736" s="33"/>
      <c r="DM736" s="33"/>
      <c r="DN736" s="33"/>
      <c r="DO736" s="33"/>
      <c r="DP736" s="33"/>
      <c r="DQ736" s="33"/>
      <c r="DR736" s="33"/>
      <c r="DS736" s="33"/>
      <c r="DT736" s="33"/>
      <c r="DU736" s="33"/>
      <c r="DV736" s="33"/>
      <c r="DW736" s="33"/>
      <c r="DX736" s="33"/>
      <c r="DY736" s="33"/>
      <c r="DZ736" s="33"/>
      <c r="EA736" s="33"/>
      <c r="EB736" s="33"/>
      <c r="EC736" s="33"/>
      <c r="ED736" s="33"/>
      <c r="EE736" s="33"/>
      <c r="EF736" s="33"/>
      <c r="EG736" s="33"/>
      <c r="EH736" s="33"/>
      <c r="EI736" s="33"/>
      <c r="EJ736" s="33"/>
      <c r="EK736" s="33"/>
      <c r="EL736" s="33"/>
      <c r="EM736" s="33"/>
      <c r="EN736" s="33"/>
      <c r="EO736" s="33"/>
      <c r="EP736" s="33"/>
      <c r="EQ736" s="33"/>
      <c r="ER736" s="33"/>
      <c r="ES736" s="33"/>
    </row>
    <row r="737">
      <c r="A737" s="33"/>
      <c r="B737" s="33"/>
      <c r="C737" s="33"/>
      <c r="D737" s="33"/>
      <c r="E737" s="33"/>
      <c r="F737" s="33"/>
      <c r="G737" s="85"/>
      <c r="H737" s="85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33"/>
      <c r="Y737" s="33"/>
      <c r="Z737" s="33"/>
      <c r="AA737" s="33"/>
      <c r="AB737" s="33"/>
      <c r="AC737" s="33"/>
      <c r="AD737" s="33"/>
      <c r="AE737" s="33"/>
      <c r="AF737" s="33"/>
      <c r="AG737" s="33"/>
      <c r="AH737" s="33"/>
      <c r="AI737" s="33"/>
      <c r="AJ737" s="33"/>
      <c r="AK737" s="33"/>
      <c r="AL737" s="33"/>
      <c r="AM737" s="33"/>
      <c r="AN737" s="33"/>
      <c r="AO737" s="33"/>
      <c r="AP737" s="33"/>
      <c r="AQ737" s="33"/>
      <c r="AR737" s="33"/>
      <c r="AS737" s="33"/>
      <c r="AT737" s="33"/>
      <c r="AU737" s="33"/>
      <c r="AV737" s="33"/>
      <c r="AW737" s="33"/>
      <c r="AX737" s="33"/>
      <c r="AY737" s="33"/>
      <c r="AZ737" s="33"/>
      <c r="BA737" s="33"/>
      <c r="BB737" s="33"/>
      <c r="BC737" s="33"/>
      <c r="BD737" s="33"/>
      <c r="BE737" s="33"/>
      <c r="BF737" s="33"/>
      <c r="BG737" s="33"/>
      <c r="BH737" s="33"/>
      <c r="BI737" s="33"/>
      <c r="BJ737" s="33"/>
      <c r="BK737" s="33"/>
      <c r="BL737" s="33"/>
      <c r="BM737" s="33"/>
      <c r="BN737" s="33"/>
      <c r="BO737" s="33"/>
      <c r="BP737" s="33"/>
      <c r="BQ737" s="33"/>
      <c r="BR737" s="33"/>
      <c r="BS737" s="33"/>
      <c r="BT737" s="33"/>
      <c r="BU737" s="33"/>
      <c r="BV737" s="33"/>
      <c r="BW737" s="33"/>
      <c r="BX737" s="33"/>
      <c r="BY737" s="33"/>
      <c r="BZ737" s="33"/>
      <c r="CA737" s="33"/>
      <c r="CB737" s="33"/>
      <c r="CC737" s="33"/>
      <c r="CD737" s="33"/>
      <c r="CE737" s="33"/>
      <c r="CF737" s="33"/>
      <c r="CG737" s="33"/>
      <c r="CH737" s="33"/>
      <c r="CI737" s="33"/>
      <c r="CJ737" s="33"/>
      <c r="CK737" s="33"/>
      <c r="CL737" s="33"/>
      <c r="CM737" s="33"/>
      <c r="CN737" s="33"/>
      <c r="CO737" s="33"/>
      <c r="CP737" s="33"/>
      <c r="CQ737" s="33"/>
      <c r="CR737" s="33"/>
      <c r="CS737" s="33"/>
      <c r="CT737" s="33"/>
      <c r="CU737" s="33"/>
      <c r="CV737" s="33"/>
      <c r="CW737" s="33"/>
      <c r="CX737" s="33"/>
      <c r="CY737" s="33"/>
      <c r="CZ737" s="33"/>
      <c r="DA737" s="33"/>
      <c r="DB737" s="33"/>
      <c r="DC737" s="33"/>
      <c r="DD737" s="33"/>
      <c r="DE737" s="33"/>
      <c r="DF737" s="33"/>
      <c r="DG737" s="33"/>
      <c r="DH737" s="33"/>
      <c r="DI737" s="33"/>
      <c r="DJ737" s="33"/>
      <c r="DK737" s="33"/>
      <c r="DL737" s="33"/>
      <c r="DM737" s="33"/>
      <c r="DN737" s="33"/>
      <c r="DO737" s="33"/>
      <c r="DP737" s="33"/>
      <c r="DQ737" s="33"/>
      <c r="DR737" s="33"/>
      <c r="DS737" s="33"/>
      <c r="DT737" s="33"/>
      <c r="DU737" s="33"/>
      <c r="DV737" s="33"/>
      <c r="DW737" s="33"/>
      <c r="DX737" s="33"/>
      <c r="DY737" s="33"/>
      <c r="DZ737" s="33"/>
      <c r="EA737" s="33"/>
      <c r="EB737" s="33"/>
      <c r="EC737" s="33"/>
      <c r="ED737" s="33"/>
      <c r="EE737" s="33"/>
      <c r="EF737" s="33"/>
      <c r="EG737" s="33"/>
      <c r="EH737" s="33"/>
      <c r="EI737" s="33"/>
      <c r="EJ737" s="33"/>
      <c r="EK737" s="33"/>
      <c r="EL737" s="33"/>
      <c r="EM737" s="33"/>
      <c r="EN737" s="33"/>
      <c r="EO737" s="33"/>
      <c r="EP737" s="33"/>
      <c r="EQ737" s="33"/>
      <c r="ER737" s="33"/>
      <c r="ES737" s="33"/>
    </row>
    <row r="738">
      <c r="A738" s="33"/>
      <c r="B738" s="33"/>
      <c r="C738" s="33"/>
      <c r="D738" s="33"/>
      <c r="E738" s="33"/>
      <c r="F738" s="33"/>
      <c r="G738" s="85"/>
      <c r="H738" s="85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33"/>
      <c r="Y738" s="33"/>
      <c r="Z738" s="33"/>
      <c r="AA738" s="33"/>
      <c r="AB738" s="33"/>
      <c r="AC738" s="33"/>
      <c r="AD738" s="33"/>
      <c r="AE738" s="33"/>
      <c r="AF738" s="33"/>
      <c r="AG738" s="33"/>
      <c r="AH738" s="33"/>
      <c r="AI738" s="33"/>
      <c r="AJ738" s="33"/>
      <c r="AK738" s="33"/>
      <c r="AL738" s="33"/>
      <c r="AM738" s="33"/>
      <c r="AN738" s="33"/>
      <c r="AO738" s="33"/>
      <c r="AP738" s="33"/>
      <c r="AQ738" s="33"/>
      <c r="AR738" s="33"/>
      <c r="AS738" s="33"/>
      <c r="AT738" s="33"/>
      <c r="AU738" s="33"/>
      <c r="AV738" s="33"/>
      <c r="AW738" s="33"/>
      <c r="AX738" s="33"/>
      <c r="AY738" s="33"/>
      <c r="AZ738" s="33"/>
      <c r="BA738" s="33"/>
      <c r="BB738" s="33"/>
      <c r="BC738" s="33"/>
      <c r="BD738" s="33"/>
      <c r="BE738" s="33"/>
      <c r="BF738" s="33"/>
      <c r="BG738" s="33"/>
      <c r="BH738" s="33"/>
      <c r="BI738" s="33"/>
      <c r="BJ738" s="33"/>
      <c r="BK738" s="33"/>
      <c r="BL738" s="33"/>
      <c r="BM738" s="33"/>
      <c r="BN738" s="33"/>
      <c r="BO738" s="33"/>
      <c r="BP738" s="33"/>
      <c r="BQ738" s="33"/>
      <c r="BR738" s="33"/>
      <c r="BS738" s="33"/>
      <c r="BT738" s="33"/>
      <c r="BU738" s="33"/>
      <c r="BV738" s="33"/>
      <c r="BW738" s="33"/>
      <c r="BX738" s="33"/>
      <c r="BY738" s="33"/>
      <c r="BZ738" s="33"/>
      <c r="CA738" s="33"/>
      <c r="CB738" s="33"/>
      <c r="CC738" s="33"/>
      <c r="CD738" s="33"/>
      <c r="CE738" s="33"/>
      <c r="CF738" s="33"/>
      <c r="CG738" s="33"/>
      <c r="CH738" s="33"/>
      <c r="CI738" s="33"/>
      <c r="CJ738" s="33"/>
      <c r="CK738" s="33"/>
      <c r="CL738" s="33"/>
      <c r="CM738" s="33"/>
      <c r="CN738" s="33"/>
      <c r="CO738" s="33"/>
      <c r="CP738" s="33"/>
      <c r="CQ738" s="33"/>
      <c r="CR738" s="33"/>
      <c r="CS738" s="33"/>
      <c r="CT738" s="33"/>
      <c r="CU738" s="33"/>
      <c r="CV738" s="33"/>
      <c r="CW738" s="33"/>
      <c r="CX738" s="33"/>
      <c r="CY738" s="33"/>
      <c r="CZ738" s="33"/>
      <c r="DA738" s="33"/>
      <c r="DB738" s="33"/>
      <c r="DC738" s="33"/>
      <c r="DD738" s="33"/>
      <c r="DE738" s="33"/>
      <c r="DF738" s="33"/>
      <c r="DG738" s="33"/>
      <c r="DH738" s="33"/>
      <c r="DI738" s="33"/>
      <c r="DJ738" s="33"/>
      <c r="DK738" s="33"/>
      <c r="DL738" s="33"/>
      <c r="DM738" s="33"/>
      <c r="DN738" s="33"/>
      <c r="DO738" s="33"/>
      <c r="DP738" s="33"/>
      <c r="DQ738" s="33"/>
      <c r="DR738" s="33"/>
      <c r="DS738" s="33"/>
      <c r="DT738" s="33"/>
      <c r="DU738" s="33"/>
      <c r="DV738" s="33"/>
      <c r="DW738" s="33"/>
      <c r="DX738" s="33"/>
      <c r="DY738" s="33"/>
      <c r="DZ738" s="33"/>
      <c r="EA738" s="33"/>
      <c r="EB738" s="33"/>
      <c r="EC738" s="33"/>
      <c r="ED738" s="33"/>
      <c r="EE738" s="33"/>
      <c r="EF738" s="33"/>
      <c r="EG738" s="33"/>
      <c r="EH738" s="33"/>
      <c r="EI738" s="33"/>
      <c r="EJ738" s="33"/>
      <c r="EK738" s="33"/>
      <c r="EL738" s="33"/>
      <c r="EM738" s="33"/>
      <c r="EN738" s="33"/>
      <c r="EO738" s="33"/>
      <c r="EP738" s="33"/>
      <c r="EQ738" s="33"/>
      <c r="ER738" s="33"/>
      <c r="ES738" s="33"/>
    </row>
    <row r="739">
      <c r="A739" s="33"/>
      <c r="B739" s="33"/>
      <c r="C739" s="33"/>
      <c r="D739" s="33"/>
      <c r="E739" s="33"/>
      <c r="F739" s="33"/>
      <c r="G739" s="85"/>
      <c r="H739" s="85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33"/>
      <c r="Y739" s="33"/>
      <c r="Z739" s="33"/>
      <c r="AA739" s="33"/>
      <c r="AB739" s="33"/>
      <c r="AC739" s="33"/>
      <c r="AD739" s="33"/>
      <c r="AE739" s="33"/>
      <c r="AF739" s="33"/>
      <c r="AG739" s="33"/>
      <c r="AH739" s="33"/>
      <c r="AI739" s="33"/>
      <c r="AJ739" s="33"/>
      <c r="AK739" s="33"/>
      <c r="AL739" s="33"/>
      <c r="AM739" s="33"/>
      <c r="AN739" s="33"/>
      <c r="AO739" s="33"/>
      <c r="AP739" s="33"/>
      <c r="AQ739" s="33"/>
      <c r="AR739" s="33"/>
      <c r="AS739" s="33"/>
      <c r="AT739" s="33"/>
      <c r="AU739" s="33"/>
      <c r="AV739" s="33"/>
      <c r="AW739" s="33"/>
      <c r="AX739" s="33"/>
      <c r="AY739" s="33"/>
      <c r="AZ739" s="33"/>
      <c r="BA739" s="33"/>
      <c r="BB739" s="33"/>
      <c r="BC739" s="33"/>
      <c r="BD739" s="33"/>
      <c r="BE739" s="33"/>
      <c r="BF739" s="33"/>
      <c r="BG739" s="33"/>
      <c r="BH739" s="33"/>
      <c r="BI739" s="33"/>
      <c r="BJ739" s="33"/>
      <c r="BK739" s="33"/>
      <c r="BL739" s="33"/>
      <c r="BM739" s="33"/>
      <c r="BN739" s="33"/>
      <c r="BO739" s="33"/>
      <c r="BP739" s="33"/>
      <c r="BQ739" s="33"/>
      <c r="BR739" s="33"/>
      <c r="BS739" s="33"/>
      <c r="BT739" s="33"/>
      <c r="BU739" s="33"/>
      <c r="BV739" s="33"/>
      <c r="BW739" s="33"/>
      <c r="BX739" s="33"/>
      <c r="BY739" s="33"/>
      <c r="BZ739" s="33"/>
      <c r="CA739" s="33"/>
      <c r="CB739" s="33"/>
      <c r="CC739" s="33"/>
      <c r="CD739" s="33"/>
      <c r="CE739" s="33"/>
      <c r="CF739" s="33"/>
      <c r="CG739" s="33"/>
      <c r="CH739" s="33"/>
      <c r="CI739" s="33"/>
      <c r="CJ739" s="33"/>
      <c r="CK739" s="33"/>
      <c r="CL739" s="33"/>
      <c r="CM739" s="33"/>
      <c r="CN739" s="33"/>
      <c r="CO739" s="33"/>
      <c r="CP739" s="33"/>
      <c r="CQ739" s="33"/>
      <c r="CR739" s="33"/>
      <c r="CS739" s="33"/>
      <c r="CT739" s="33"/>
      <c r="CU739" s="33"/>
      <c r="CV739" s="33"/>
      <c r="CW739" s="33"/>
      <c r="CX739" s="33"/>
      <c r="CY739" s="33"/>
      <c r="CZ739" s="33"/>
      <c r="DA739" s="33"/>
      <c r="DB739" s="33"/>
      <c r="DC739" s="33"/>
      <c r="DD739" s="33"/>
      <c r="DE739" s="33"/>
      <c r="DF739" s="33"/>
      <c r="DG739" s="33"/>
      <c r="DH739" s="33"/>
      <c r="DI739" s="33"/>
      <c r="DJ739" s="33"/>
      <c r="DK739" s="33"/>
      <c r="DL739" s="33"/>
      <c r="DM739" s="33"/>
      <c r="DN739" s="33"/>
      <c r="DO739" s="33"/>
      <c r="DP739" s="33"/>
      <c r="DQ739" s="33"/>
      <c r="DR739" s="33"/>
      <c r="DS739" s="33"/>
      <c r="DT739" s="33"/>
      <c r="DU739" s="33"/>
      <c r="DV739" s="33"/>
      <c r="DW739" s="33"/>
      <c r="DX739" s="33"/>
      <c r="DY739" s="33"/>
      <c r="DZ739" s="33"/>
      <c r="EA739" s="33"/>
      <c r="EB739" s="33"/>
      <c r="EC739" s="33"/>
      <c r="ED739" s="33"/>
      <c r="EE739" s="33"/>
      <c r="EF739" s="33"/>
      <c r="EG739" s="33"/>
      <c r="EH739" s="33"/>
      <c r="EI739" s="33"/>
      <c r="EJ739" s="33"/>
      <c r="EK739" s="33"/>
      <c r="EL739" s="33"/>
      <c r="EM739" s="33"/>
      <c r="EN739" s="33"/>
      <c r="EO739" s="33"/>
      <c r="EP739" s="33"/>
      <c r="EQ739" s="33"/>
      <c r="ER739" s="33"/>
      <c r="ES739" s="33"/>
    </row>
    <row r="740">
      <c r="A740" s="33"/>
      <c r="B740" s="33"/>
      <c r="C740" s="33"/>
      <c r="D740" s="33"/>
      <c r="E740" s="33"/>
      <c r="F740" s="33"/>
      <c r="G740" s="85"/>
      <c r="H740" s="85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33"/>
      <c r="Y740" s="33"/>
      <c r="Z740" s="33"/>
      <c r="AA740" s="33"/>
      <c r="AB740" s="33"/>
      <c r="AC740" s="33"/>
      <c r="AD740" s="33"/>
      <c r="AE740" s="33"/>
      <c r="AF740" s="33"/>
      <c r="AG740" s="33"/>
      <c r="AH740" s="33"/>
      <c r="AI740" s="33"/>
      <c r="AJ740" s="33"/>
      <c r="AK740" s="33"/>
      <c r="AL740" s="33"/>
      <c r="AM740" s="33"/>
      <c r="AN740" s="33"/>
      <c r="AO740" s="33"/>
      <c r="AP740" s="33"/>
      <c r="AQ740" s="33"/>
      <c r="AR740" s="33"/>
      <c r="AS740" s="33"/>
      <c r="AT740" s="33"/>
      <c r="AU740" s="33"/>
      <c r="AV740" s="33"/>
      <c r="AW740" s="33"/>
      <c r="AX740" s="33"/>
      <c r="AY740" s="33"/>
      <c r="AZ740" s="33"/>
      <c r="BA740" s="33"/>
      <c r="BB740" s="33"/>
      <c r="BC740" s="33"/>
      <c r="BD740" s="33"/>
      <c r="BE740" s="33"/>
      <c r="BF740" s="33"/>
      <c r="BG740" s="33"/>
      <c r="BH740" s="33"/>
      <c r="BI740" s="33"/>
      <c r="BJ740" s="33"/>
      <c r="BK740" s="33"/>
      <c r="BL740" s="33"/>
      <c r="BM740" s="33"/>
      <c r="BN740" s="33"/>
      <c r="BO740" s="33"/>
      <c r="BP740" s="33"/>
      <c r="BQ740" s="33"/>
      <c r="BR740" s="33"/>
      <c r="BS740" s="33"/>
      <c r="BT740" s="33"/>
      <c r="BU740" s="33"/>
      <c r="BV740" s="33"/>
      <c r="BW740" s="33"/>
      <c r="BX740" s="33"/>
      <c r="BY740" s="33"/>
      <c r="BZ740" s="33"/>
      <c r="CA740" s="33"/>
      <c r="CB740" s="33"/>
      <c r="CC740" s="33"/>
      <c r="CD740" s="33"/>
      <c r="CE740" s="33"/>
      <c r="CF740" s="33"/>
      <c r="CG740" s="33"/>
      <c r="CH740" s="33"/>
      <c r="CI740" s="33"/>
      <c r="CJ740" s="33"/>
      <c r="CK740" s="33"/>
      <c r="CL740" s="33"/>
      <c r="CM740" s="33"/>
      <c r="CN740" s="33"/>
      <c r="CO740" s="33"/>
      <c r="CP740" s="33"/>
      <c r="CQ740" s="33"/>
      <c r="CR740" s="33"/>
      <c r="CS740" s="33"/>
      <c r="CT740" s="33"/>
      <c r="CU740" s="33"/>
      <c r="CV740" s="33"/>
      <c r="CW740" s="33"/>
      <c r="CX740" s="33"/>
      <c r="CY740" s="33"/>
      <c r="CZ740" s="33"/>
      <c r="DA740" s="33"/>
      <c r="DB740" s="33"/>
      <c r="DC740" s="33"/>
      <c r="DD740" s="33"/>
      <c r="DE740" s="33"/>
      <c r="DF740" s="33"/>
      <c r="DG740" s="33"/>
      <c r="DH740" s="33"/>
      <c r="DI740" s="33"/>
      <c r="DJ740" s="33"/>
      <c r="DK740" s="33"/>
      <c r="DL740" s="33"/>
      <c r="DM740" s="33"/>
      <c r="DN740" s="33"/>
      <c r="DO740" s="33"/>
      <c r="DP740" s="33"/>
      <c r="DQ740" s="33"/>
      <c r="DR740" s="33"/>
      <c r="DS740" s="33"/>
      <c r="DT740" s="33"/>
      <c r="DU740" s="33"/>
      <c r="DV740" s="33"/>
      <c r="DW740" s="33"/>
      <c r="DX740" s="33"/>
      <c r="DY740" s="33"/>
      <c r="DZ740" s="33"/>
      <c r="EA740" s="33"/>
      <c r="EB740" s="33"/>
      <c r="EC740" s="33"/>
      <c r="ED740" s="33"/>
      <c r="EE740" s="33"/>
      <c r="EF740" s="33"/>
      <c r="EG740" s="33"/>
      <c r="EH740" s="33"/>
      <c r="EI740" s="33"/>
      <c r="EJ740" s="33"/>
      <c r="EK740" s="33"/>
      <c r="EL740" s="33"/>
      <c r="EM740" s="33"/>
      <c r="EN740" s="33"/>
      <c r="EO740" s="33"/>
      <c r="EP740" s="33"/>
      <c r="EQ740" s="33"/>
      <c r="ER740" s="33"/>
      <c r="ES740" s="33"/>
    </row>
    <row r="741">
      <c r="A741" s="33"/>
      <c r="B741" s="33"/>
      <c r="C741" s="33"/>
      <c r="D741" s="33"/>
      <c r="E741" s="33"/>
      <c r="F741" s="33"/>
      <c r="G741" s="85"/>
      <c r="H741" s="85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33"/>
      <c r="Y741" s="33"/>
      <c r="Z741" s="33"/>
      <c r="AA741" s="33"/>
      <c r="AB741" s="33"/>
      <c r="AC741" s="33"/>
      <c r="AD741" s="33"/>
      <c r="AE741" s="33"/>
      <c r="AF741" s="33"/>
      <c r="AG741" s="33"/>
      <c r="AH741" s="33"/>
      <c r="AI741" s="33"/>
      <c r="AJ741" s="33"/>
      <c r="AK741" s="33"/>
      <c r="AL741" s="33"/>
      <c r="AM741" s="33"/>
      <c r="AN741" s="33"/>
      <c r="AO741" s="33"/>
      <c r="AP741" s="33"/>
      <c r="AQ741" s="33"/>
      <c r="AR741" s="33"/>
      <c r="AS741" s="33"/>
      <c r="AT741" s="33"/>
      <c r="AU741" s="33"/>
      <c r="AV741" s="33"/>
      <c r="AW741" s="33"/>
      <c r="AX741" s="33"/>
      <c r="AY741" s="33"/>
      <c r="AZ741" s="33"/>
      <c r="BA741" s="33"/>
      <c r="BB741" s="33"/>
      <c r="BC741" s="33"/>
      <c r="BD741" s="33"/>
      <c r="BE741" s="33"/>
      <c r="BF741" s="33"/>
      <c r="BG741" s="33"/>
      <c r="BH741" s="33"/>
      <c r="BI741" s="33"/>
      <c r="BJ741" s="33"/>
      <c r="BK741" s="33"/>
      <c r="BL741" s="33"/>
      <c r="BM741" s="33"/>
      <c r="BN741" s="33"/>
      <c r="BO741" s="33"/>
      <c r="BP741" s="33"/>
      <c r="BQ741" s="33"/>
      <c r="BR741" s="33"/>
      <c r="BS741" s="33"/>
      <c r="BT741" s="33"/>
      <c r="BU741" s="33"/>
      <c r="BV741" s="33"/>
      <c r="BW741" s="33"/>
      <c r="BX741" s="33"/>
      <c r="BY741" s="33"/>
      <c r="BZ741" s="33"/>
      <c r="CA741" s="33"/>
      <c r="CB741" s="33"/>
      <c r="CC741" s="33"/>
      <c r="CD741" s="33"/>
      <c r="CE741" s="33"/>
      <c r="CF741" s="33"/>
      <c r="CG741" s="33"/>
      <c r="CH741" s="33"/>
      <c r="CI741" s="33"/>
      <c r="CJ741" s="33"/>
      <c r="CK741" s="33"/>
      <c r="CL741" s="33"/>
      <c r="CM741" s="33"/>
      <c r="CN741" s="33"/>
      <c r="CO741" s="33"/>
      <c r="CP741" s="33"/>
      <c r="CQ741" s="33"/>
      <c r="CR741" s="33"/>
      <c r="CS741" s="33"/>
      <c r="CT741" s="33"/>
      <c r="CU741" s="33"/>
      <c r="CV741" s="33"/>
      <c r="CW741" s="33"/>
      <c r="CX741" s="33"/>
      <c r="CY741" s="33"/>
      <c r="CZ741" s="33"/>
      <c r="DA741" s="33"/>
      <c r="DB741" s="33"/>
      <c r="DC741" s="33"/>
      <c r="DD741" s="33"/>
      <c r="DE741" s="33"/>
      <c r="DF741" s="33"/>
      <c r="DG741" s="33"/>
      <c r="DH741" s="33"/>
      <c r="DI741" s="33"/>
      <c r="DJ741" s="33"/>
      <c r="DK741" s="33"/>
      <c r="DL741" s="33"/>
      <c r="DM741" s="33"/>
      <c r="DN741" s="33"/>
      <c r="DO741" s="33"/>
      <c r="DP741" s="33"/>
      <c r="DQ741" s="33"/>
      <c r="DR741" s="33"/>
      <c r="DS741" s="33"/>
      <c r="DT741" s="33"/>
      <c r="DU741" s="33"/>
      <c r="DV741" s="33"/>
      <c r="DW741" s="33"/>
      <c r="DX741" s="33"/>
      <c r="DY741" s="33"/>
      <c r="DZ741" s="33"/>
      <c r="EA741" s="33"/>
      <c r="EB741" s="33"/>
      <c r="EC741" s="33"/>
      <c r="ED741" s="33"/>
      <c r="EE741" s="33"/>
      <c r="EF741" s="33"/>
      <c r="EG741" s="33"/>
      <c r="EH741" s="33"/>
      <c r="EI741" s="33"/>
      <c r="EJ741" s="33"/>
      <c r="EK741" s="33"/>
      <c r="EL741" s="33"/>
      <c r="EM741" s="33"/>
      <c r="EN741" s="33"/>
      <c r="EO741" s="33"/>
      <c r="EP741" s="33"/>
      <c r="EQ741" s="33"/>
      <c r="ER741" s="33"/>
      <c r="ES741" s="33"/>
    </row>
    <row r="742">
      <c r="A742" s="33"/>
      <c r="B742" s="33"/>
      <c r="C742" s="33"/>
      <c r="D742" s="33"/>
      <c r="E742" s="33"/>
      <c r="F742" s="33"/>
      <c r="G742" s="85"/>
      <c r="H742" s="85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33"/>
      <c r="Y742" s="33"/>
      <c r="Z742" s="33"/>
      <c r="AA742" s="33"/>
      <c r="AB742" s="33"/>
      <c r="AC742" s="33"/>
      <c r="AD742" s="33"/>
      <c r="AE742" s="33"/>
      <c r="AF742" s="33"/>
      <c r="AG742" s="33"/>
      <c r="AH742" s="33"/>
      <c r="AI742" s="33"/>
      <c r="AJ742" s="33"/>
      <c r="AK742" s="33"/>
      <c r="AL742" s="33"/>
      <c r="AM742" s="33"/>
      <c r="AN742" s="33"/>
      <c r="AO742" s="33"/>
      <c r="AP742" s="33"/>
      <c r="AQ742" s="33"/>
      <c r="AR742" s="33"/>
      <c r="AS742" s="33"/>
      <c r="AT742" s="33"/>
      <c r="AU742" s="33"/>
      <c r="AV742" s="33"/>
      <c r="AW742" s="33"/>
      <c r="AX742" s="33"/>
      <c r="AY742" s="33"/>
      <c r="AZ742" s="33"/>
      <c r="BA742" s="33"/>
      <c r="BB742" s="33"/>
      <c r="BC742" s="33"/>
      <c r="BD742" s="33"/>
      <c r="BE742" s="33"/>
      <c r="BF742" s="33"/>
      <c r="BG742" s="33"/>
      <c r="BH742" s="33"/>
      <c r="BI742" s="33"/>
      <c r="BJ742" s="33"/>
      <c r="BK742" s="33"/>
      <c r="BL742" s="33"/>
      <c r="BM742" s="33"/>
      <c r="BN742" s="33"/>
      <c r="BO742" s="33"/>
      <c r="BP742" s="33"/>
      <c r="BQ742" s="33"/>
      <c r="BR742" s="33"/>
      <c r="BS742" s="33"/>
      <c r="BT742" s="33"/>
      <c r="BU742" s="33"/>
      <c r="BV742" s="33"/>
      <c r="BW742" s="33"/>
      <c r="BX742" s="33"/>
      <c r="BY742" s="33"/>
      <c r="BZ742" s="33"/>
      <c r="CA742" s="33"/>
      <c r="CB742" s="33"/>
      <c r="CC742" s="33"/>
      <c r="CD742" s="33"/>
      <c r="CE742" s="33"/>
      <c r="CF742" s="33"/>
      <c r="CG742" s="33"/>
      <c r="CH742" s="33"/>
      <c r="CI742" s="33"/>
      <c r="CJ742" s="33"/>
      <c r="CK742" s="33"/>
      <c r="CL742" s="33"/>
      <c r="CM742" s="33"/>
      <c r="CN742" s="33"/>
      <c r="CO742" s="33"/>
      <c r="CP742" s="33"/>
      <c r="CQ742" s="33"/>
      <c r="CR742" s="33"/>
      <c r="CS742" s="33"/>
      <c r="CT742" s="33"/>
      <c r="CU742" s="33"/>
      <c r="CV742" s="33"/>
      <c r="CW742" s="33"/>
      <c r="CX742" s="33"/>
      <c r="CY742" s="33"/>
      <c r="CZ742" s="33"/>
      <c r="DA742" s="33"/>
      <c r="DB742" s="33"/>
      <c r="DC742" s="33"/>
      <c r="DD742" s="33"/>
      <c r="DE742" s="33"/>
      <c r="DF742" s="33"/>
      <c r="DG742" s="33"/>
      <c r="DH742" s="33"/>
      <c r="DI742" s="33"/>
      <c r="DJ742" s="33"/>
      <c r="DK742" s="33"/>
      <c r="DL742" s="33"/>
      <c r="DM742" s="33"/>
      <c r="DN742" s="33"/>
      <c r="DO742" s="33"/>
      <c r="DP742" s="33"/>
      <c r="DQ742" s="33"/>
      <c r="DR742" s="33"/>
      <c r="DS742" s="33"/>
      <c r="DT742" s="33"/>
      <c r="DU742" s="33"/>
      <c r="DV742" s="33"/>
      <c r="DW742" s="33"/>
      <c r="DX742" s="33"/>
      <c r="DY742" s="33"/>
      <c r="DZ742" s="33"/>
      <c r="EA742" s="33"/>
      <c r="EB742" s="33"/>
      <c r="EC742" s="33"/>
      <c r="ED742" s="33"/>
      <c r="EE742" s="33"/>
      <c r="EF742" s="33"/>
      <c r="EG742" s="33"/>
      <c r="EH742" s="33"/>
      <c r="EI742" s="33"/>
      <c r="EJ742" s="33"/>
      <c r="EK742" s="33"/>
      <c r="EL742" s="33"/>
      <c r="EM742" s="33"/>
      <c r="EN742" s="33"/>
      <c r="EO742" s="33"/>
      <c r="EP742" s="33"/>
      <c r="EQ742" s="33"/>
      <c r="ER742" s="33"/>
      <c r="ES742" s="33"/>
    </row>
    <row r="743">
      <c r="A743" s="33"/>
      <c r="B743" s="33"/>
      <c r="C743" s="33"/>
      <c r="D743" s="33"/>
      <c r="E743" s="33"/>
      <c r="F743" s="33"/>
      <c r="G743" s="85"/>
      <c r="H743" s="85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33"/>
      <c r="Y743" s="33"/>
      <c r="Z743" s="33"/>
      <c r="AA743" s="33"/>
      <c r="AB743" s="33"/>
      <c r="AC743" s="33"/>
      <c r="AD743" s="33"/>
      <c r="AE743" s="33"/>
      <c r="AF743" s="33"/>
      <c r="AG743" s="33"/>
      <c r="AH743" s="33"/>
      <c r="AI743" s="33"/>
      <c r="AJ743" s="33"/>
      <c r="AK743" s="33"/>
      <c r="AL743" s="33"/>
      <c r="AM743" s="33"/>
      <c r="AN743" s="33"/>
      <c r="AO743" s="33"/>
      <c r="AP743" s="33"/>
      <c r="AQ743" s="33"/>
      <c r="AR743" s="33"/>
      <c r="AS743" s="33"/>
      <c r="AT743" s="33"/>
      <c r="AU743" s="33"/>
      <c r="AV743" s="33"/>
      <c r="AW743" s="33"/>
      <c r="AX743" s="33"/>
      <c r="AY743" s="33"/>
      <c r="AZ743" s="33"/>
      <c r="BA743" s="33"/>
      <c r="BB743" s="33"/>
      <c r="BC743" s="33"/>
      <c r="BD743" s="33"/>
      <c r="BE743" s="33"/>
      <c r="BF743" s="33"/>
      <c r="BG743" s="33"/>
      <c r="BH743" s="33"/>
      <c r="BI743" s="33"/>
      <c r="BJ743" s="33"/>
      <c r="BK743" s="33"/>
      <c r="BL743" s="33"/>
      <c r="BM743" s="33"/>
      <c r="BN743" s="33"/>
      <c r="BO743" s="33"/>
      <c r="BP743" s="33"/>
      <c r="BQ743" s="33"/>
      <c r="BR743" s="33"/>
      <c r="BS743" s="33"/>
      <c r="BT743" s="33"/>
      <c r="BU743" s="33"/>
      <c r="BV743" s="33"/>
      <c r="BW743" s="33"/>
      <c r="BX743" s="33"/>
      <c r="BY743" s="33"/>
      <c r="BZ743" s="33"/>
      <c r="CA743" s="33"/>
      <c r="CB743" s="33"/>
      <c r="CC743" s="33"/>
      <c r="CD743" s="33"/>
      <c r="CE743" s="33"/>
      <c r="CF743" s="33"/>
      <c r="CG743" s="33"/>
      <c r="CH743" s="33"/>
      <c r="CI743" s="33"/>
      <c r="CJ743" s="33"/>
      <c r="CK743" s="33"/>
      <c r="CL743" s="33"/>
      <c r="CM743" s="33"/>
      <c r="CN743" s="33"/>
      <c r="CO743" s="33"/>
      <c r="CP743" s="33"/>
      <c r="CQ743" s="33"/>
      <c r="CR743" s="33"/>
      <c r="CS743" s="33"/>
      <c r="CT743" s="33"/>
      <c r="CU743" s="33"/>
      <c r="CV743" s="33"/>
      <c r="CW743" s="33"/>
      <c r="CX743" s="33"/>
      <c r="CY743" s="33"/>
      <c r="CZ743" s="33"/>
      <c r="DA743" s="33"/>
      <c r="DB743" s="33"/>
      <c r="DC743" s="33"/>
      <c r="DD743" s="33"/>
      <c r="DE743" s="33"/>
      <c r="DF743" s="33"/>
      <c r="DG743" s="33"/>
      <c r="DH743" s="33"/>
      <c r="DI743" s="33"/>
      <c r="DJ743" s="33"/>
      <c r="DK743" s="33"/>
      <c r="DL743" s="33"/>
      <c r="DM743" s="33"/>
      <c r="DN743" s="33"/>
      <c r="DO743" s="33"/>
      <c r="DP743" s="33"/>
      <c r="DQ743" s="33"/>
      <c r="DR743" s="33"/>
      <c r="DS743" s="33"/>
      <c r="DT743" s="33"/>
      <c r="DU743" s="33"/>
      <c r="DV743" s="33"/>
      <c r="DW743" s="33"/>
      <c r="DX743" s="33"/>
      <c r="DY743" s="33"/>
      <c r="DZ743" s="33"/>
      <c r="EA743" s="33"/>
      <c r="EB743" s="33"/>
      <c r="EC743" s="33"/>
      <c r="ED743" s="33"/>
      <c r="EE743" s="33"/>
      <c r="EF743" s="33"/>
      <c r="EG743" s="33"/>
      <c r="EH743" s="33"/>
      <c r="EI743" s="33"/>
      <c r="EJ743" s="33"/>
      <c r="EK743" s="33"/>
      <c r="EL743" s="33"/>
      <c r="EM743" s="33"/>
      <c r="EN743" s="33"/>
      <c r="EO743" s="33"/>
      <c r="EP743" s="33"/>
      <c r="EQ743" s="33"/>
      <c r="ER743" s="33"/>
      <c r="ES743" s="33"/>
    </row>
    <row r="744">
      <c r="A744" s="33"/>
      <c r="B744" s="33"/>
      <c r="C744" s="33"/>
      <c r="D744" s="33"/>
      <c r="E744" s="33"/>
      <c r="F744" s="33"/>
      <c r="G744" s="85"/>
      <c r="H744" s="85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33"/>
      <c r="Y744" s="33"/>
      <c r="Z744" s="33"/>
      <c r="AA744" s="33"/>
      <c r="AB744" s="33"/>
      <c r="AC744" s="33"/>
      <c r="AD744" s="33"/>
      <c r="AE744" s="33"/>
      <c r="AF744" s="33"/>
      <c r="AG744" s="33"/>
      <c r="AH744" s="33"/>
      <c r="AI744" s="33"/>
      <c r="AJ744" s="33"/>
      <c r="AK744" s="33"/>
      <c r="AL744" s="33"/>
      <c r="AM744" s="33"/>
      <c r="AN744" s="33"/>
      <c r="AO744" s="33"/>
      <c r="AP744" s="33"/>
      <c r="AQ744" s="33"/>
      <c r="AR744" s="33"/>
      <c r="AS744" s="33"/>
      <c r="AT744" s="33"/>
      <c r="AU744" s="33"/>
      <c r="AV744" s="33"/>
      <c r="AW744" s="33"/>
      <c r="AX744" s="33"/>
      <c r="AY744" s="33"/>
      <c r="AZ744" s="33"/>
      <c r="BA744" s="33"/>
      <c r="BB744" s="33"/>
      <c r="BC744" s="33"/>
      <c r="BD744" s="33"/>
      <c r="BE744" s="33"/>
      <c r="BF744" s="33"/>
      <c r="BG744" s="33"/>
      <c r="BH744" s="33"/>
      <c r="BI744" s="33"/>
      <c r="BJ744" s="33"/>
      <c r="BK744" s="33"/>
      <c r="BL744" s="33"/>
      <c r="BM744" s="33"/>
      <c r="BN744" s="33"/>
      <c r="BO744" s="33"/>
      <c r="BP744" s="33"/>
      <c r="BQ744" s="33"/>
      <c r="BR744" s="33"/>
      <c r="BS744" s="33"/>
      <c r="BT744" s="33"/>
      <c r="BU744" s="33"/>
      <c r="BV744" s="33"/>
      <c r="BW744" s="33"/>
      <c r="BX744" s="33"/>
      <c r="BY744" s="33"/>
      <c r="BZ744" s="33"/>
      <c r="CA744" s="33"/>
      <c r="CB744" s="33"/>
      <c r="CC744" s="33"/>
      <c r="CD744" s="33"/>
      <c r="CE744" s="33"/>
      <c r="CF744" s="33"/>
      <c r="CG744" s="33"/>
      <c r="CH744" s="33"/>
      <c r="CI744" s="33"/>
      <c r="CJ744" s="33"/>
      <c r="CK744" s="33"/>
      <c r="CL744" s="33"/>
      <c r="CM744" s="33"/>
      <c r="CN744" s="33"/>
      <c r="CO744" s="33"/>
      <c r="CP744" s="33"/>
      <c r="CQ744" s="33"/>
      <c r="CR744" s="33"/>
      <c r="CS744" s="33"/>
      <c r="CT744" s="33"/>
      <c r="CU744" s="33"/>
      <c r="CV744" s="33"/>
      <c r="CW744" s="33"/>
      <c r="CX744" s="33"/>
      <c r="CY744" s="33"/>
      <c r="CZ744" s="33"/>
      <c r="DA744" s="33"/>
      <c r="DB744" s="33"/>
      <c r="DC744" s="33"/>
      <c r="DD744" s="33"/>
      <c r="DE744" s="33"/>
      <c r="DF744" s="33"/>
      <c r="DG744" s="33"/>
      <c r="DH744" s="33"/>
      <c r="DI744" s="33"/>
      <c r="DJ744" s="33"/>
      <c r="DK744" s="33"/>
      <c r="DL744" s="33"/>
      <c r="DM744" s="33"/>
      <c r="DN744" s="33"/>
      <c r="DO744" s="33"/>
      <c r="DP744" s="33"/>
      <c r="DQ744" s="33"/>
      <c r="DR744" s="33"/>
      <c r="DS744" s="33"/>
      <c r="DT744" s="33"/>
      <c r="DU744" s="33"/>
      <c r="DV744" s="33"/>
      <c r="DW744" s="33"/>
      <c r="DX744" s="33"/>
      <c r="DY744" s="33"/>
      <c r="DZ744" s="33"/>
      <c r="EA744" s="33"/>
      <c r="EB744" s="33"/>
      <c r="EC744" s="33"/>
      <c r="ED744" s="33"/>
      <c r="EE744" s="33"/>
      <c r="EF744" s="33"/>
      <c r="EG744" s="33"/>
      <c r="EH744" s="33"/>
      <c r="EI744" s="33"/>
      <c r="EJ744" s="33"/>
      <c r="EK744" s="33"/>
      <c r="EL744" s="33"/>
      <c r="EM744" s="33"/>
      <c r="EN744" s="33"/>
      <c r="EO744" s="33"/>
      <c r="EP744" s="33"/>
      <c r="EQ744" s="33"/>
      <c r="ER744" s="33"/>
      <c r="ES744" s="33"/>
    </row>
    <row r="745">
      <c r="A745" s="33"/>
      <c r="B745" s="33"/>
      <c r="C745" s="33"/>
      <c r="D745" s="33"/>
      <c r="E745" s="33"/>
      <c r="F745" s="33"/>
      <c r="G745" s="85"/>
      <c r="H745" s="85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33"/>
      <c r="Y745" s="33"/>
      <c r="Z745" s="33"/>
      <c r="AA745" s="33"/>
      <c r="AB745" s="33"/>
      <c r="AC745" s="33"/>
      <c r="AD745" s="33"/>
      <c r="AE745" s="33"/>
      <c r="AF745" s="33"/>
      <c r="AG745" s="33"/>
      <c r="AH745" s="33"/>
      <c r="AI745" s="33"/>
      <c r="AJ745" s="33"/>
      <c r="AK745" s="33"/>
      <c r="AL745" s="33"/>
      <c r="AM745" s="33"/>
      <c r="AN745" s="33"/>
      <c r="AO745" s="33"/>
      <c r="AP745" s="33"/>
      <c r="AQ745" s="33"/>
      <c r="AR745" s="33"/>
      <c r="AS745" s="33"/>
      <c r="AT745" s="33"/>
      <c r="AU745" s="33"/>
      <c r="AV745" s="33"/>
      <c r="AW745" s="33"/>
      <c r="AX745" s="33"/>
      <c r="AY745" s="33"/>
      <c r="AZ745" s="33"/>
      <c r="BA745" s="33"/>
      <c r="BB745" s="33"/>
      <c r="BC745" s="33"/>
      <c r="BD745" s="33"/>
      <c r="BE745" s="33"/>
      <c r="BF745" s="33"/>
      <c r="BG745" s="33"/>
      <c r="BH745" s="33"/>
      <c r="BI745" s="33"/>
      <c r="BJ745" s="33"/>
      <c r="BK745" s="33"/>
      <c r="BL745" s="33"/>
      <c r="BM745" s="33"/>
      <c r="BN745" s="33"/>
      <c r="BO745" s="33"/>
      <c r="BP745" s="33"/>
      <c r="BQ745" s="33"/>
      <c r="BR745" s="33"/>
      <c r="BS745" s="33"/>
      <c r="BT745" s="33"/>
      <c r="BU745" s="33"/>
      <c r="BV745" s="33"/>
      <c r="BW745" s="33"/>
      <c r="BX745" s="33"/>
      <c r="BY745" s="33"/>
      <c r="BZ745" s="33"/>
      <c r="CA745" s="33"/>
      <c r="CB745" s="33"/>
      <c r="CC745" s="33"/>
      <c r="CD745" s="33"/>
      <c r="CE745" s="33"/>
      <c r="CF745" s="33"/>
      <c r="CG745" s="33"/>
      <c r="CH745" s="33"/>
      <c r="CI745" s="33"/>
      <c r="CJ745" s="33"/>
      <c r="CK745" s="33"/>
      <c r="CL745" s="33"/>
      <c r="CM745" s="33"/>
      <c r="CN745" s="33"/>
      <c r="CO745" s="33"/>
      <c r="CP745" s="33"/>
      <c r="CQ745" s="33"/>
      <c r="CR745" s="33"/>
      <c r="CS745" s="33"/>
      <c r="CT745" s="33"/>
      <c r="CU745" s="33"/>
      <c r="CV745" s="33"/>
      <c r="CW745" s="33"/>
      <c r="CX745" s="33"/>
      <c r="CY745" s="33"/>
      <c r="CZ745" s="33"/>
      <c r="DA745" s="33"/>
      <c r="DB745" s="33"/>
      <c r="DC745" s="33"/>
      <c r="DD745" s="33"/>
      <c r="DE745" s="33"/>
      <c r="DF745" s="33"/>
      <c r="DG745" s="33"/>
      <c r="DH745" s="33"/>
      <c r="DI745" s="33"/>
      <c r="DJ745" s="33"/>
      <c r="DK745" s="33"/>
      <c r="DL745" s="33"/>
      <c r="DM745" s="33"/>
      <c r="DN745" s="33"/>
      <c r="DO745" s="33"/>
      <c r="DP745" s="33"/>
      <c r="DQ745" s="33"/>
      <c r="DR745" s="33"/>
      <c r="DS745" s="33"/>
      <c r="DT745" s="33"/>
      <c r="DU745" s="33"/>
      <c r="DV745" s="33"/>
      <c r="DW745" s="33"/>
      <c r="DX745" s="33"/>
      <c r="DY745" s="33"/>
      <c r="DZ745" s="33"/>
      <c r="EA745" s="33"/>
      <c r="EB745" s="33"/>
      <c r="EC745" s="33"/>
      <c r="ED745" s="33"/>
      <c r="EE745" s="33"/>
      <c r="EF745" s="33"/>
      <c r="EG745" s="33"/>
      <c r="EH745" s="33"/>
      <c r="EI745" s="33"/>
      <c r="EJ745" s="33"/>
      <c r="EK745" s="33"/>
      <c r="EL745" s="33"/>
      <c r="EM745" s="33"/>
      <c r="EN745" s="33"/>
      <c r="EO745" s="33"/>
      <c r="EP745" s="33"/>
      <c r="EQ745" s="33"/>
      <c r="ER745" s="33"/>
      <c r="ES745" s="33"/>
    </row>
    <row r="746">
      <c r="A746" s="33"/>
      <c r="B746" s="33"/>
      <c r="C746" s="33"/>
      <c r="D746" s="33"/>
      <c r="E746" s="33"/>
      <c r="F746" s="33"/>
      <c r="G746" s="85"/>
      <c r="H746" s="85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33"/>
      <c r="Y746" s="33"/>
      <c r="Z746" s="33"/>
      <c r="AA746" s="33"/>
      <c r="AB746" s="33"/>
      <c r="AC746" s="33"/>
      <c r="AD746" s="33"/>
      <c r="AE746" s="33"/>
      <c r="AF746" s="33"/>
      <c r="AG746" s="33"/>
      <c r="AH746" s="33"/>
      <c r="AI746" s="33"/>
      <c r="AJ746" s="33"/>
      <c r="AK746" s="33"/>
      <c r="AL746" s="33"/>
      <c r="AM746" s="33"/>
      <c r="AN746" s="33"/>
      <c r="AO746" s="33"/>
      <c r="AP746" s="33"/>
      <c r="AQ746" s="33"/>
      <c r="AR746" s="33"/>
      <c r="AS746" s="33"/>
      <c r="AT746" s="33"/>
      <c r="AU746" s="33"/>
      <c r="AV746" s="33"/>
      <c r="AW746" s="33"/>
      <c r="AX746" s="33"/>
      <c r="AY746" s="33"/>
      <c r="AZ746" s="33"/>
      <c r="BA746" s="33"/>
      <c r="BB746" s="33"/>
      <c r="BC746" s="33"/>
      <c r="BD746" s="33"/>
      <c r="BE746" s="33"/>
      <c r="BF746" s="33"/>
      <c r="BG746" s="33"/>
      <c r="BH746" s="33"/>
      <c r="BI746" s="33"/>
      <c r="BJ746" s="33"/>
      <c r="BK746" s="33"/>
      <c r="BL746" s="33"/>
      <c r="BM746" s="33"/>
      <c r="BN746" s="33"/>
      <c r="BO746" s="33"/>
      <c r="BP746" s="33"/>
      <c r="BQ746" s="33"/>
      <c r="BR746" s="33"/>
      <c r="BS746" s="33"/>
      <c r="BT746" s="33"/>
      <c r="BU746" s="33"/>
      <c r="BV746" s="33"/>
      <c r="BW746" s="33"/>
      <c r="BX746" s="33"/>
      <c r="BY746" s="33"/>
      <c r="BZ746" s="33"/>
      <c r="CA746" s="33"/>
      <c r="CB746" s="33"/>
      <c r="CC746" s="33"/>
      <c r="CD746" s="33"/>
      <c r="CE746" s="33"/>
      <c r="CF746" s="33"/>
      <c r="CG746" s="33"/>
      <c r="CH746" s="33"/>
      <c r="CI746" s="33"/>
      <c r="CJ746" s="33"/>
      <c r="CK746" s="33"/>
      <c r="CL746" s="33"/>
      <c r="CM746" s="33"/>
      <c r="CN746" s="33"/>
      <c r="CO746" s="33"/>
      <c r="CP746" s="33"/>
      <c r="CQ746" s="33"/>
      <c r="CR746" s="33"/>
      <c r="CS746" s="33"/>
      <c r="CT746" s="33"/>
      <c r="CU746" s="33"/>
      <c r="CV746" s="33"/>
      <c r="CW746" s="33"/>
      <c r="CX746" s="33"/>
      <c r="CY746" s="33"/>
      <c r="CZ746" s="33"/>
      <c r="DA746" s="33"/>
      <c r="DB746" s="33"/>
      <c r="DC746" s="33"/>
      <c r="DD746" s="33"/>
      <c r="DE746" s="33"/>
      <c r="DF746" s="33"/>
      <c r="DG746" s="33"/>
      <c r="DH746" s="33"/>
      <c r="DI746" s="33"/>
      <c r="DJ746" s="33"/>
      <c r="DK746" s="33"/>
      <c r="DL746" s="33"/>
      <c r="DM746" s="33"/>
      <c r="DN746" s="33"/>
      <c r="DO746" s="33"/>
      <c r="DP746" s="33"/>
      <c r="DQ746" s="33"/>
      <c r="DR746" s="33"/>
      <c r="DS746" s="33"/>
      <c r="DT746" s="33"/>
      <c r="DU746" s="33"/>
      <c r="DV746" s="33"/>
      <c r="DW746" s="33"/>
      <c r="DX746" s="33"/>
      <c r="DY746" s="33"/>
      <c r="DZ746" s="33"/>
      <c r="EA746" s="33"/>
      <c r="EB746" s="33"/>
      <c r="EC746" s="33"/>
      <c r="ED746" s="33"/>
      <c r="EE746" s="33"/>
      <c r="EF746" s="33"/>
      <c r="EG746" s="33"/>
      <c r="EH746" s="33"/>
      <c r="EI746" s="33"/>
      <c r="EJ746" s="33"/>
      <c r="EK746" s="33"/>
      <c r="EL746" s="33"/>
      <c r="EM746" s="33"/>
      <c r="EN746" s="33"/>
      <c r="EO746" s="33"/>
      <c r="EP746" s="33"/>
      <c r="EQ746" s="33"/>
      <c r="ER746" s="33"/>
      <c r="ES746" s="33"/>
    </row>
    <row r="747">
      <c r="A747" s="33"/>
      <c r="B747" s="33"/>
      <c r="C747" s="33"/>
      <c r="D747" s="33"/>
      <c r="E747" s="33"/>
      <c r="F747" s="33"/>
      <c r="G747" s="85"/>
      <c r="H747" s="85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33"/>
      <c r="Y747" s="33"/>
      <c r="Z747" s="33"/>
      <c r="AA747" s="33"/>
      <c r="AB747" s="33"/>
      <c r="AC747" s="33"/>
      <c r="AD747" s="33"/>
      <c r="AE747" s="33"/>
      <c r="AF747" s="33"/>
      <c r="AG747" s="33"/>
      <c r="AH747" s="33"/>
      <c r="AI747" s="33"/>
      <c r="AJ747" s="33"/>
      <c r="AK747" s="33"/>
      <c r="AL747" s="33"/>
      <c r="AM747" s="33"/>
      <c r="AN747" s="33"/>
      <c r="AO747" s="33"/>
      <c r="AP747" s="33"/>
      <c r="AQ747" s="33"/>
      <c r="AR747" s="33"/>
      <c r="AS747" s="33"/>
      <c r="AT747" s="33"/>
      <c r="AU747" s="33"/>
      <c r="AV747" s="33"/>
      <c r="AW747" s="33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  <c r="BI747" s="33"/>
      <c r="BJ747" s="33"/>
      <c r="BK747" s="33"/>
      <c r="BL747" s="33"/>
      <c r="BM747" s="33"/>
      <c r="BN747" s="33"/>
      <c r="BO747" s="33"/>
      <c r="BP747" s="33"/>
      <c r="BQ747" s="33"/>
      <c r="BR747" s="33"/>
      <c r="BS747" s="33"/>
      <c r="BT747" s="33"/>
      <c r="BU747" s="33"/>
      <c r="BV747" s="33"/>
      <c r="BW747" s="33"/>
      <c r="BX747" s="33"/>
      <c r="BY747" s="33"/>
      <c r="BZ747" s="33"/>
      <c r="CA747" s="33"/>
      <c r="CB747" s="33"/>
      <c r="CC747" s="33"/>
      <c r="CD747" s="33"/>
      <c r="CE747" s="33"/>
      <c r="CF747" s="33"/>
      <c r="CG747" s="33"/>
      <c r="CH747" s="33"/>
      <c r="CI747" s="33"/>
      <c r="CJ747" s="33"/>
      <c r="CK747" s="33"/>
      <c r="CL747" s="33"/>
      <c r="CM747" s="33"/>
      <c r="CN747" s="33"/>
      <c r="CO747" s="33"/>
      <c r="CP747" s="33"/>
      <c r="CQ747" s="33"/>
      <c r="CR747" s="33"/>
      <c r="CS747" s="33"/>
      <c r="CT747" s="33"/>
      <c r="CU747" s="33"/>
      <c r="CV747" s="33"/>
      <c r="CW747" s="33"/>
      <c r="CX747" s="33"/>
      <c r="CY747" s="33"/>
      <c r="CZ747" s="33"/>
      <c r="DA747" s="33"/>
      <c r="DB747" s="33"/>
      <c r="DC747" s="33"/>
      <c r="DD747" s="33"/>
      <c r="DE747" s="33"/>
      <c r="DF747" s="33"/>
      <c r="DG747" s="33"/>
      <c r="DH747" s="33"/>
      <c r="DI747" s="33"/>
      <c r="DJ747" s="33"/>
      <c r="DK747" s="33"/>
      <c r="DL747" s="33"/>
      <c r="DM747" s="33"/>
      <c r="DN747" s="33"/>
      <c r="DO747" s="33"/>
      <c r="DP747" s="33"/>
      <c r="DQ747" s="33"/>
      <c r="DR747" s="33"/>
      <c r="DS747" s="33"/>
      <c r="DT747" s="33"/>
      <c r="DU747" s="33"/>
      <c r="DV747" s="33"/>
      <c r="DW747" s="33"/>
      <c r="DX747" s="33"/>
      <c r="DY747" s="33"/>
      <c r="DZ747" s="33"/>
      <c r="EA747" s="33"/>
      <c r="EB747" s="33"/>
      <c r="EC747" s="33"/>
      <c r="ED747" s="33"/>
      <c r="EE747" s="33"/>
      <c r="EF747" s="33"/>
      <c r="EG747" s="33"/>
      <c r="EH747" s="33"/>
      <c r="EI747" s="33"/>
      <c r="EJ747" s="33"/>
      <c r="EK747" s="33"/>
      <c r="EL747" s="33"/>
      <c r="EM747" s="33"/>
      <c r="EN747" s="33"/>
      <c r="EO747" s="33"/>
      <c r="EP747" s="33"/>
      <c r="EQ747" s="33"/>
      <c r="ER747" s="33"/>
      <c r="ES747" s="33"/>
    </row>
    <row r="748">
      <c r="A748" s="33"/>
      <c r="B748" s="33"/>
      <c r="C748" s="33"/>
      <c r="D748" s="33"/>
      <c r="E748" s="33"/>
      <c r="F748" s="33"/>
      <c r="G748" s="85"/>
      <c r="H748" s="85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33"/>
      <c r="Y748" s="33"/>
      <c r="Z748" s="33"/>
      <c r="AA748" s="33"/>
      <c r="AB748" s="33"/>
      <c r="AC748" s="33"/>
      <c r="AD748" s="33"/>
      <c r="AE748" s="33"/>
      <c r="AF748" s="33"/>
      <c r="AG748" s="33"/>
      <c r="AH748" s="33"/>
      <c r="AI748" s="33"/>
      <c r="AJ748" s="33"/>
      <c r="AK748" s="33"/>
      <c r="AL748" s="33"/>
      <c r="AM748" s="33"/>
      <c r="AN748" s="33"/>
      <c r="AO748" s="33"/>
      <c r="AP748" s="33"/>
      <c r="AQ748" s="33"/>
      <c r="AR748" s="33"/>
      <c r="AS748" s="33"/>
      <c r="AT748" s="33"/>
      <c r="AU748" s="33"/>
      <c r="AV748" s="33"/>
      <c r="AW748" s="33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  <c r="BI748" s="33"/>
      <c r="BJ748" s="33"/>
      <c r="BK748" s="33"/>
      <c r="BL748" s="33"/>
      <c r="BM748" s="33"/>
      <c r="BN748" s="33"/>
      <c r="BO748" s="33"/>
      <c r="BP748" s="33"/>
      <c r="BQ748" s="33"/>
      <c r="BR748" s="33"/>
      <c r="BS748" s="33"/>
      <c r="BT748" s="33"/>
      <c r="BU748" s="33"/>
      <c r="BV748" s="33"/>
      <c r="BW748" s="33"/>
      <c r="BX748" s="33"/>
      <c r="BY748" s="33"/>
      <c r="BZ748" s="33"/>
      <c r="CA748" s="33"/>
      <c r="CB748" s="33"/>
      <c r="CC748" s="33"/>
      <c r="CD748" s="33"/>
      <c r="CE748" s="33"/>
      <c r="CF748" s="33"/>
      <c r="CG748" s="33"/>
      <c r="CH748" s="33"/>
      <c r="CI748" s="33"/>
      <c r="CJ748" s="33"/>
      <c r="CK748" s="33"/>
      <c r="CL748" s="33"/>
      <c r="CM748" s="33"/>
      <c r="CN748" s="33"/>
      <c r="CO748" s="33"/>
      <c r="CP748" s="33"/>
      <c r="CQ748" s="33"/>
      <c r="CR748" s="33"/>
      <c r="CS748" s="33"/>
      <c r="CT748" s="33"/>
      <c r="CU748" s="33"/>
      <c r="CV748" s="33"/>
      <c r="CW748" s="33"/>
      <c r="CX748" s="33"/>
      <c r="CY748" s="33"/>
      <c r="CZ748" s="33"/>
      <c r="DA748" s="33"/>
      <c r="DB748" s="33"/>
      <c r="DC748" s="33"/>
      <c r="DD748" s="33"/>
      <c r="DE748" s="33"/>
      <c r="DF748" s="33"/>
      <c r="DG748" s="33"/>
      <c r="DH748" s="33"/>
      <c r="DI748" s="33"/>
      <c r="DJ748" s="33"/>
      <c r="DK748" s="33"/>
      <c r="DL748" s="33"/>
      <c r="DM748" s="33"/>
      <c r="DN748" s="33"/>
      <c r="DO748" s="33"/>
      <c r="DP748" s="33"/>
      <c r="DQ748" s="33"/>
      <c r="DR748" s="33"/>
      <c r="DS748" s="33"/>
      <c r="DT748" s="33"/>
      <c r="DU748" s="33"/>
      <c r="DV748" s="33"/>
      <c r="DW748" s="33"/>
      <c r="DX748" s="33"/>
      <c r="DY748" s="33"/>
      <c r="DZ748" s="33"/>
      <c r="EA748" s="33"/>
      <c r="EB748" s="33"/>
      <c r="EC748" s="33"/>
      <c r="ED748" s="33"/>
      <c r="EE748" s="33"/>
      <c r="EF748" s="33"/>
      <c r="EG748" s="33"/>
      <c r="EH748" s="33"/>
      <c r="EI748" s="33"/>
      <c r="EJ748" s="33"/>
      <c r="EK748" s="33"/>
      <c r="EL748" s="33"/>
      <c r="EM748" s="33"/>
      <c r="EN748" s="33"/>
      <c r="EO748" s="33"/>
      <c r="EP748" s="33"/>
      <c r="EQ748" s="33"/>
      <c r="ER748" s="33"/>
      <c r="ES748" s="33"/>
    </row>
    <row r="749">
      <c r="A749" s="33"/>
      <c r="B749" s="33"/>
      <c r="C749" s="33"/>
      <c r="D749" s="33"/>
      <c r="E749" s="33"/>
      <c r="F749" s="33"/>
      <c r="G749" s="85"/>
      <c r="H749" s="85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33"/>
      <c r="Y749" s="33"/>
      <c r="Z749" s="33"/>
      <c r="AA749" s="33"/>
      <c r="AB749" s="33"/>
      <c r="AC749" s="33"/>
      <c r="AD749" s="33"/>
      <c r="AE749" s="33"/>
      <c r="AF749" s="33"/>
      <c r="AG749" s="33"/>
      <c r="AH749" s="33"/>
      <c r="AI749" s="33"/>
      <c r="AJ749" s="33"/>
      <c r="AK749" s="33"/>
      <c r="AL749" s="33"/>
      <c r="AM749" s="33"/>
      <c r="AN749" s="33"/>
      <c r="AO749" s="33"/>
      <c r="AP749" s="33"/>
      <c r="AQ749" s="33"/>
      <c r="AR749" s="33"/>
      <c r="AS749" s="33"/>
      <c r="AT749" s="33"/>
      <c r="AU749" s="33"/>
      <c r="AV749" s="33"/>
      <c r="AW749" s="33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  <c r="BI749" s="33"/>
      <c r="BJ749" s="33"/>
      <c r="BK749" s="33"/>
      <c r="BL749" s="33"/>
      <c r="BM749" s="33"/>
      <c r="BN749" s="33"/>
      <c r="BO749" s="33"/>
      <c r="BP749" s="33"/>
      <c r="BQ749" s="33"/>
      <c r="BR749" s="33"/>
      <c r="BS749" s="33"/>
      <c r="BT749" s="33"/>
      <c r="BU749" s="33"/>
      <c r="BV749" s="33"/>
      <c r="BW749" s="33"/>
      <c r="BX749" s="33"/>
      <c r="BY749" s="33"/>
      <c r="BZ749" s="33"/>
      <c r="CA749" s="33"/>
      <c r="CB749" s="33"/>
      <c r="CC749" s="33"/>
      <c r="CD749" s="33"/>
      <c r="CE749" s="33"/>
      <c r="CF749" s="33"/>
      <c r="CG749" s="33"/>
      <c r="CH749" s="33"/>
      <c r="CI749" s="33"/>
      <c r="CJ749" s="33"/>
      <c r="CK749" s="33"/>
      <c r="CL749" s="33"/>
      <c r="CM749" s="33"/>
      <c r="CN749" s="33"/>
      <c r="CO749" s="33"/>
      <c r="CP749" s="33"/>
      <c r="CQ749" s="33"/>
      <c r="CR749" s="33"/>
      <c r="CS749" s="33"/>
      <c r="CT749" s="33"/>
      <c r="CU749" s="33"/>
      <c r="CV749" s="33"/>
      <c r="CW749" s="33"/>
      <c r="CX749" s="33"/>
      <c r="CY749" s="33"/>
      <c r="CZ749" s="33"/>
      <c r="DA749" s="33"/>
      <c r="DB749" s="33"/>
      <c r="DC749" s="33"/>
      <c r="DD749" s="33"/>
      <c r="DE749" s="33"/>
      <c r="DF749" s="33"/>
      <c r="DG749" s="33"/>
      <c r="DH749" s="33"/>
      <c r="DI749" s="33"/>
      <c r="DJ749" s="33"/>
      <c r="DK749" s="33"/>
      <c r="DL749" s="33"/>
      <c r="DM749" s="33"/>
      <c r="DN749" s="33"/>
      <c r="DO749" s="33"/>
      <c r="DP749" s="33"/>
      <c r="DQ749" s="33"/>
      <c r="DR749" s="33"/>
      <c r="DS749" s="33"/>
      <c r="DT749" s="33"/>
      <c r="DU749" s="33"/>
      <c r="DV749" s="33"/>
      <c r="DW749" s="33"/>
      <c r="DX749" s="33"/>
      <c r="DY749" s="33"/>
      <c r="DZ749" s="33"/>
      <c r="EA749" s="33"/>
      <c r="EB749" s="33"/>
      <c r="EC749" s="33"/>
      <c r="ED749" s="33"/>
      <c r="EE749" s="33"/>
      <c r="EF749" s="33"/>
      <c r="EG749" s="33"/>
      <c r="EH749" s="33"/>
      <c r="EI749" s="33"/>
      <c r="EJ749" s="33"/>
      <c r="EK749" s="33"/>
      <c r="EL749" s="33"/>
      <c r="EM749" s="33"/>
      <c r="EN749" s="33"/>
      <c r="EO749" s="33"/>
      <c r="EP749" s="33"/>
      <c r="EQ749" s="33"/>
      <c r="ER749" s="33"/>
      <c r="ES749" s="33"/>
    </row>
    <row r="750">
      <c r="A750" s="33"/>
      <c r="B750" s="33"/>
      <c r="C750" s="33"/>
      <c r="D750" s="33"/>
      <c r="E750" s="33"/>
      <c r="F750" s="33"/>
      <c r="G750" s="85"/>
      <c r="H750" s="85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33"/>
      <c r="Y750" s="33"/>
      <c r="Z750" s="33"/>
      <c r="AA750" s="33"/>
      <c r="AB750" s="33"/>
      <c r="AC750" s="33"/>
      <c r="AD750" s="33"/>
      <c r="AE750" s="33"/>
      <c r="AF750" s="33"/>
      <c r="AG750" s="33"/>
      <c r="AH750" s="33"/>
      <c r="AI750" s="33"/>
      <c r="AJ750" s="33"/>
      <c r="AK750" s="33"/>
      <c r="AL750" s="33"/>
      <c r="AM750" s="33"/>
      <c r="AN750" s="33"/>
      <c r="AO750" s="33"/>
      <c r="AP750" s="33"/>
      <c r="AQ750" s="33"/>
      <c r="AR750" s="33"/>
      <c r="AS750" s="33"/>
      <c r="AT750" s="33"/>
      <c r="AU750" s="33"/>
      <c r="AV750" s="33"/>
      <c r="AW750" s="33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  <c r="BI750" s="33"/>
      <c r="BJ750" s="33"/>
      <c r="BK750" s="33"/>
      <c r="BL750" s="33"/>
      <c r="BM750" s="33"/>
      <c r="BN750" s="33"/>
      <c r="BO750" s="33"/>
      <c r="BP750" s="33"/>
      <c r="BQ750" s="33"/>
      <c r="BR750" s="33"/>
      <c r="BS750" s="33"/>
      <c r="BT750" s="33"/>
      <c r="BU750" s="33"/>
      <c r="BV750" s="33"/>
      <c r="BW750" s="33"/>
      <c r="BX750" s="33"/>
      <c r="BY750" s="33"/>
      <c r="BZ750" s="33"/>
      <c r="CA750" s="33"/>
      <c r="CB750" s="33"/>
      <c r="CC750" s="33"/>
      <c r="CD750" s="33"/>
      <c r="CE750" s="33"/>
      <c r="CF750" s="33"/>
      <c r="CG750" s="33"/>
      <c r="CH750" s="33"/>
      <c r="CI750" s="33"/>
      <c r="CJ750" s="33"/>
      <c r="CK750" s="33"/>
      <c r="CL750" s="33"/>
      <c r="CM750" s="33"/>
      <c r="CN750" s="33"/>
      <c r="CO750" s="33"/>
      <c r="CP750" s="33"/>
      <c r="CQ750" s="33"/>
      <c r="CR750" s="33"/>
      <c r="CS750" s="33"/>
      <c r="CT750" s="33"/>
      <c r="CU750" s="33"/>
      <c r="CV750" s="33"/>
      <c r="CW750" s="33"/>
      <c r="CX750" s="33"/>
      <c r="CY750" s="33"/>
      <c r="CZ750" s="33"/>
      <c r="DA750" s="33"/>
      <c r="DB750" s="33"/>
      <c r="DC750" s="33"/>
      <c r="DD750" s="33"/>
      <c r="DE750" s="33"/>
      <c r="DF750" s="33"/>
      <c r="DG750" s="33"/>
      <c r="DH750" s="33"/>
      <c r="DI750" s="33"/>
      <c r="DJ750" s="33"/>
      <c r="DK750" s="33"/>
      <c r="DL750" s="33"/>
      <c r="DM750" s="33"/>
      <c r="DN750" s="33"/>
      <c r="DO750" s="33"/>
      <c r="DP750" s="33"/>
      <c r="DQ750" s="33"/>
      <c r="DR750" s="33"/>
      <c r="DS750" s="33"/>
      <c r="DT750" s="33"/>
      <c r="DU750" s="33"/>
      <c r="DV750" s="33"/>
      <c r="DW750" s="33"/>
      <c r="DX750" s="33"/>
      <c r="DY750" s="33"/>
      <c r="DZ750" s="33"/>
      <c r="EA750" s="33"/>
      <c r="EB750" s="33"/>
      <c r="EC750" s="33"/>
      <c r="ED750" s="33"/>
      <c r="EE750" s="33"/>
      <c r="EF750" s="33"/>
      <c r="EG750" s="33"/>
      <c r="EH750" s="33"/>
      <c r="EI750" s="33"/>
      <c r="EJ750" s="33"/>
      <c r="EK750" s="33"/>
      <c r="EL750" s="33"/>
      <c r="EM750" s="33"/>
      <c r="EN750" s="33"/>
      <c r="EO750" s="33"/>
      <c r="EP750" s="33"/>
      <c r="EQ750" s="33"/>
      <c r="ER750" s="33"/>
      <c r="ES750" s="33"/>
    </row>
    <row r="751">
      <c r="A751" s="33"/>
      <c r="B751" s="33"/>
      <c r="C751" s="33"/>
      <c r="D751" s="33"/>
      <c r="E751" s="33"/>
      <c r="F751" s="33"/>
      <c r="G751" s="85"/>
      <c r="H751" s="85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33"/>
      <c r="Y751" s="33"/>
      <c r="Z751" s="33"/>
      <c r="AA751" s="33"/>
      <c r="AB751" s="33"/>
      <c r="AC751" s="33"/>
      <c r="AD751" s="33"/>
      <c r="AE751" s="33"/>
      <c r="AF751" s="33"/>
      <c r="AG751" s="33"/>
      <c r="AH751" s="33"/>
      <c r="AI751" s="33"/>
      <c r="AJ751" s="33"/>
      <c r="AK751" s="33"/>
      <c r="AL751" s="33"/>
      <c r="AM751" s="33"/>
      <c r="AN751" s="33"/>
      <c r="AO751" s="33"/>
      <c r="AP751" s="33"/>
      <c r="AQ751" s="33"/>
      <c r="AR751" s="33"/>
      <c r="AS751" s="33"/>
      <c r="AT751" s="33"/>
      <c r="AU751" s="33"/>
      <c r="AV751" s="33"/>
      <c r="AW751" s="33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  <c r="BI751" s="33"/>
      <c r="BJ751" s="33"/>
      <c r="BK751" s="33"/>
      <c r="BL751" s="33"/>
      <c r="BM751" s="33"/>
      <c r="BN751" s="33"/>
      <c r="BO751" s="33"/>
      <c r="BP751" s="33"/>
      <c r="BQ751" s="33"/>
      <c r="BR751" s="33"/>
      <c r="BS751" s="33"/>
      <c r="BT751" s="33"/>
      <c r="BU751" s="33"/>
      <c r="BV751" s="33"/>
      <c r="BW751" s="33"/>
      <c r="BX751" s="33"/>
      <c r="BY751" s="33"/>
      <c r="BZ751" s="33"/>
      <c r="CA751" s="33"/>
      <c r="CB751" s="33"/>
      <c r="CC751" s="33"/>
      <c r="CD751" s="33"/>
      <c r="CE751" s="33"/>
      <c r="CF751" s="33"/>
      <c r="CG751" s="33"/>
      <c r="CH751" s="33"/>
      <c r="CI751" s="33"/>
      <c r="CJ751" s="33"/>
      <c r="CK751" s="33"/>
      <c r="CL751" s="33"/>
      <c r="CM751" s="33"/>
      <c r="CN751" s="33"/>
      <c r="CO751" s="33"/>
      <c r="CP751" s="33"/>
      <c r="CQ751" s="33"/>
      <c r="CR751" s="33"/>
      <c r="CS751" s="33"/>
      <c r="CT751" s="33"/>
      <c r="CU751" s="33"/>
      <c r="CV751" s="33"/>
      <c r="CW751" s="33"/>
      <c r="CX751" s="33"/>
      <c r="CY751" s="33"/>
      <c r="CZ751" s="33"/>
      <c r="DA751" s="33"/>
      <c r="DB751" s="33"/>
      <c r="DC751" s="33"/>
      <c r="DD751" s="33"/>
      <c r="DE751" s="33"/>
      <c r="DF751" s="33"/>
      <c r="DG751" s="33"/>
      <c r="DH751" s="33"/>
      <c r="DI751" s="33"/>
      <c r="DJ751" s="33"/>
      <c r="DK751" s="33"/>
      <c r="DL751" s="33"/>
      <c r="DM751" s="33"/>
      <c r="DN751" s="33"/>
      <c r="DO751" s="33"/>
      <c r="DP751" s="33"/>
      <c r="DQ751" s="33"/>
      <c r="DR751" s="33"/>
      <c r="DS751" s="33"/>
      <c r="DT751" s="33"/>
      <c r="DU751" s="33"/>
      <c r="DV751" s="33"/>
      <c r="DW751" s="33"/>
      <c r="DX751" s="33"/>
      <c r="DY751" s="33"/>
      <c r="DZ751" s="33"/>
      <c r="EA751" s="33"/>
      <c r="EB751" s="33"/>
      <c r="EC751" s="33"/>
      <c r="ED751" s="33"/>
      <c r="EE751" s="33"/>
      <c r="EF751" s="33"/>
      <c r="EG751" s="33"/>
      <c r="EH751" s="33"/>
      <c r="EI751" s="33"/>
      <c r="EJ751" s="33"/>
      <c r="EK751" s="33"/>
      <c r="EL751" s="33"/>
      <c r="EM751" s="33"/>
      <c r="EN751" s="33"/>
      <c r="EO751" s="33"/>
      <c r="EP751" s="33"/>
      <c r="EQ751" s="33"/>
      <c r="ER751" s="33"/>
      <c r="ES751" s="33"/>
    </row>
    <row r="752">
      <c r="A752" s="33"/>
      <c r="B752" s="33"/>
      <c r="C752" s="33"/>
      <c r="D752" s="33"/>
      <c r="E752" s="33"/>
      <c r="F752" s="33"/>
      <c r="G752" s="85"/>
      <c r="H752" s="85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33"/>
      <c r="Y752" s="33"/>
      <c r="Z752" s="33"/>
      <c r="AA752" s="33"/>
      <c r="AB752" s="33"/>
      <c r="AC752" s="33"/>
      <c r="AD752" s="33"/>
      <c r="AE752" s="33"/>
      <c r="AF752" s="33"/>
      <c r="AG752" s="33"/>
      <c r="AH752" s="33"/>
      <c r="AI752" s="33"/>
      <c r="AJ752" s="33"/>
      <c r="AK752" s="33"/>
      <c r="AL752" s="33"/>
      <c r="AM752" s="33"/>
      <c r="AN752" s="33"/>
      <c r="AO752" s="33"/>
      <c r="AP752" s="33"/>
      <c r="AQ752" s="33"/>
      <c r="AR752" s="33"/>
      <c r="AS752" s="33"/>
      <c r="AT752" s="33"/>
      <c r="AU752" s="33"/>
      <c r="AV752" s="33"/>
      <c r="AW752" s="33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  <c r="BI752" s="33"/>
      <c r="BJ752" s="33"/>
      <c r="BK752" s="33"/>
      <c r="BL752" s="33"/>
      <c r="BM752" s="33"/>
      <c r="BN752" s="33"/>
      <c r="BO752" s="33"/>
      <c r="BP752" s="33"/>
      <c r="BQ752" s="33"/>
      <c r="BR752" s="33"/>
      <c r="BS752" s="33"/>
      <c r="BT752" s="33"/>
      <c r="BU752" s="33"/>
      <c r="BV752" s="33"/>
      <c r="BW752" s="33"/>
      <c r="BX752" s="33"/>
      <c r="BY752" s="33"/>
      <c r="BZ752" s="33"/>
      <c r="CA752" s="33"/>
      <c r="CB752" s="33"/>
      <c r="CC752" s="33"/>
      <c r="CD752" s="33"/>
      <c r="CE752" s="33"/>
      <c r="CF752" s="33"/>
      <c r="CG752" s="33"/>
      <c r="CH752" s="33"/>
      <c r="CI752" s="33"/>
      <c r="CJ752" s="33"/>
      <c r="CK752" s="33"/>
      <c r="CL752" s="33"/>
      <c r="CM752" s="33"/>
      <c r="CN752" s="33"/>
      <c r="CO752" s="33"/>
      <c r="CP752" s="33"/>
      <c r="CQ752" s="33"/>
      <c r="CR752" s="33"/>
      <c r="CS752" s="33"/>
      <c r="CT752" s="33"/>
      <c r="CU752" s="33"/>
      <c r="CV752" s="33"/>
      <c r="CW752" s="33"/>
      <c r="CX752" s="33"/>
      <c r="CY752" s="33"/>
      <c r="CZ752" s="33"/>
      <c r="DA752" s="33"/>
      <c r="DB752" s="33"/>
      <c r="DC752" s="33"/>
      <c r="DD752" s="33"/>
      <c r="DE752" s="33"/>
      <c r="DF752" s="33"/>
      <c r="DG752" s="33"/>
      <c r="DH752" s="33"/>
      <c r="DI752" s="33"/>
      <c r="DJ752" s="33"/>
      <c r="DK752" s="33"/>
      <c r="DL752" s="33"/>
      <c r="DM752" s="33"/>
      <c r="DN752" s="33"/>
      <c r="DO752" s="33"/>
      <c r="DP752" s="33"/>
      <c r="DQ752" s="33"/>
      <c r="DR752" s="33"/>
      <c r="DS752" s="33"/>
      <c r="DT752" s="33"/>
      <c r="DU752" s="33"/>
      <c r="DV752" s="33"/>
      <c r="DW752" s="33"/>
      <c r="DX752" s="33"/>
      <c r="DY752" s="33"/>
      <c r="DZ752" s="33"/>
      <c r="EA752" s="33"/>
      <c r="EB752" s="33"/>
      <c r="EC752" s="33"/>
      <c r="ED752" s="33"/>
      <c r="EE752" s="33"/>
      <c r="EF752" s="33"/>
      <c r="EG752" s="33"/>
      <c r="EH752" s="33"/>
      <c r="EI752" s="33"/>
      <c r="EJ752" s="33"/>
      <c r="EK752" s="33"/>
      <c r="EL752" s="33"/>
      <c r="EM752" s="33"/>
      <c r="EN752" s="33"/>
      <c r="EO752" s="33"/>
      <c r="EP752" s="33"/>
      <c r="EQ752" s="33"/>
      <c r="ER752" s="33"/>
      <c r="ES752" s="33"/>
    </row>
    <row r="753">
      <c r="A753" s="33"/>
      <c r="B753" s="33"/>
      <c r="C753" s="33"/>
      <c r="D753" s="33"/>
      <c r="E753" s="33"/>
      <c r="F753" s="33"/>
      <c r="G753" s="85"/>
      <c r="H753" s="85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33"/>
      <c r="Y753" s="33"/>
      <c r="Z753" s="33"/>
      <c r="AA753" s="33"/>
      <c r="AB753" s="33"/>
      <c r="AC753" s="33"/>
      <c r="AD753" s="33"/>
      <c r="AE753" s="33"/>
      <c r="AF753" s="33"/>
      <c r="AG753" s="33"/>
      <c r="AH753" s="33"/>
      <c r="AI753" s="33"/>
      <c r="AJ753" s="33"/>
      <c r="AK753" s="33"/>
      <c r="AL753" s="33"/>
      <c r="AM753" s="33"/>
      <c r="AN753" s="33"/>
      <c r="AO753" s="33"/>
      <c r="AP753" s="33"/>
      <c r="AQ753" s="33"/>
      <c r="AR753" s="33"/>
      <c r="AS753" s="33"/>
      <c r="AT753" s="33"/>
      <c r="AU753" s="33"/>
      <c r="AV753" s="33"/>
      <c r="AW753" s="33"/>
      <c r="AX753" s="33"/>
      <c r="AY753" s="33"/>
      <c r="AZ753" s="33"/>
      <c r="BA753" s="33"/>
      <c r="BB753" s="33"/>
      <c r="BC753" s="33"/>
      <c r="BD753" s="33"/>
      <c r="BE753" s="33"/>
      <c r="BF753" s="33"/>
      <c r="BG753" s="33"/>
      <c r="BH753" s="33"/>
      <c r="BI753" s="33"/>
      <c r="BJ753" s="33"/>
      <c r="BK753" s="33"/>
      <c r="BL753" s="33"/>
      <c r="BM753" s="33"/>
      <c r="BN753" s="33"/>
      <c r="BO753" s="33"/>
      <c r="BP753" s="33"/>
      <c r="BQ753" s="33"/>
      <c r="BR753" s="33"/>
      <c r="BS753" s="33"/>
      <c r="BT753" s="33"/>
      <c r="BU753" s="33"/>
      <c r="BV753" s="33"/>
      <c r="BW753" s="33"/>
      <c r="BX753" s="33"/>
      <c r="BY753" s="33"/>
      <c r="BZ753" s="33"/>
      <c r="CA753" s="33"/>
      <c r="CB753" s="33"/>
      <c r="CC753" s="33"/>
      <c r="CD753" s="33"/>
      <c r="CE753" s="33"/>
      <c r="CF753" s="33"/>
      <c r="CG753" s="33"/>
      <c r="CH753" s="33"/>
      <c r="CI753" s="33"/>
      <c r="CJ753" s="33"/>
      <c r="CK753" s="33"/>
      <c r="CL753" s="33"/>
      <c r="CM753" s="33"/>
      <c r="CN753" s="33"/>
      <c r="CO753" s="33"/>
      <c r="CP753" s="33"/>
      <c r="CQ753" s="33"/>
      <c r="CR753" s="33"/>
      <c r="CS753" s="33"/>
      <c r="CT753" s="33"/>
      <c r="CU753" s="33"/>
      <c r="CV753" s="33"/>
      <c r="CW753" s="33"/>
      <c r="CX753" s="33"/>
      <c r="CY753" s="33"/>
      <c r="CZ753" s="33"/>
      <c r="DA753" s="33"/>
      <c r="DB753" s="33"/>
      <c r="DC753" s="33"/>
      <c r="DD753" s="33"/>
      <c r="DE753" s="33"/>
      <c r="DF753" s="33"/>
      <c r="DG753" s="33"/>
      <c r="DH753" s="33"/>
      <c r="DI753" s="33"/>
      <c r="DJ753" s="33"/>
      <c r="DK753" s="33"/>
      <c r="DL753" s="33"/>
      <c r="DM753" s="33"/>
      <c r="DN753" s="33"/>
      <c r="DO753" s="33"/>
      <c r="DP753" s="33"/>
      <c r="DQ753" s="33"/>
      <c r="DR753" s="33"/>
      <c r="DS753" s="33"/>
      <c r="DT753" s="33"/>
      <c r="DU753" s="33"/>
      <c r="DV753" s="33"/>
      <c r="DW753" s="33"/>
      <c r="DX753" s="33"/>
      <c r="DY753" s="33"/>
      <c r="DZ753" s="33"/>
      <c r="EA753" s="33"/>
      <c r="EB753" s="33"/>
      <c r="EC753" s="33"/>
      <c r="ED753" s="33"/>
      <c r="EE753" s="33"/>
      <c r="EF753" s="33"/>
      <c r="EG753" s="33"/>
      <c r="EH753" s="33"/>
      <c r="EI753" s="33"/>
      <c r="EJ753" s="33"/>
      <c r="EK753" s="33"/>
      <c r="EL753" s="33"/>
      <c r="EM753" s="33"/>
      <c r="EN753" s="33"/>
      <c r="EO753" s="33"/>
      <c r="EP753" s="33"/>
      <c r="EQ753" s="33"/>
      <c r="ER753" s="33"/>
      <c r="ES753" s="33"/>
    </row>
    <row r="754">
      <c r="A754" s="33"/>
      <c r="B754" s="33"/>
      <c r="C754" s="33"/>
      <c r="D754" s="33"/>
      <c r="E754" s="33"/>
      <c r="F754" s="33"/>
      <c r="G754" s="85"/>
      <c r="H754" s="85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33"/>
      <c r="Y754" s="33"/>
      <c r="Z754" s="33"/>
      <c r="AA754" s="33"/>
      <c r="AB754" s="33"/>
      <c r="AC754" s="33"/>
      <c r="AD754" s="33"/>
      <c r="AE754" s="33"/>
      <c r="AF754" s="33"/>
      <c r="AG754" s="33"/>
      <c r="AH754" s="33"/>
      <c r="AI754" s="33"/>
      <c r="AJ754" s="33"/>
      <c r="AK754" s="33"/>
      <c r="AL754" s="33"/>
      <c r="AM754" s="33"/>
      <c r="AN754" s="33"/>
      <c r="AO754" s="33"/>
      <c r="AP754" s="33"/>
      <c r="AQ754" s="33"/>
      <c r="AR754" s="33"/>
      <c r="AS754" s="33"/>
      <c r="AT754" s="33"/>
      <c r="AU754" s="33"/>
      <c r="AV754" s="33"/>
      <c r="AW754" s="33"/>
      <c r="AX754" s="33"/>
      <c r="AY754" s="33"/>
      <c r="AZ754" s="33"/>
      <c r="BA754" s="33"/>
      <c r="BB754" s="33"/>
      <c r="BC754" s="33"/>
      <c r="BD754" s="33"/>
      <c r="BE754" s="33"/>
      <c r="BF754" s="33"/>
      <c r="BG754" s="33"/>
      <c r="BH754" s="33"/>
      <c r="BI754" s="33"/>
      <c r="BJ754" s="33"/>
      <c r="BK754" s="33"/>
      <c r="BL754" s="33"/>
      <c r="BM754" s="33"/>
      <c r="BN754" s="33"/>
      <c r="BO754" s="33"/>
      <c r="BP754" s="33"/>
      <c r="BQ754" s="33"/>
      <c r="BR754" s="33"/>
      <c r="BS754" s="33"/>
      <c r="BT754" s="33"/>
      <c r="BU754" s="33"/>
      <c r="BV754" s="33"/>
      <c r="BW754" s="33"/>
      <c r="BX754" s="33"/>
      <c r="BY754" s="33"/>
      <c r="BZ754" s="33"/>
      <c r="CA754" s="33"/>
      <c r="CB754" s="33"/>
      <c r="CC754" s="33"/>
      <c r="CD754" s="33"/>
      <c r="CE754" s="33"/>
      <c r="CF754" s="33"/>
      <c r="CG754" s="33"/>
      <c r="CH754" s="33"/>
      <c r="CI754" s="33"/>
      <c r="CJ754" s="33"/>
      <c r="CK754" s="33"/>
      <c r="CL754" s="33"/>
      <c r="CM754" s="33"/>
      <c r="CN754" s="33"/>
      <c r="CO754" s="33"/>
      <c r="CP754" s="33"/>
      <c r="CQ754" s="33"/>
      <c r="CR754" s="33"/>
      <c r="CS754" s="33"/>
      <c r="CT754" s="33"/>
      <c r="CU754" s="33"/>
      <c r="CV754" s="33"/>
      <c r="CW754" s="33"/>
      <c r="CX754" s="33"/>
      <c r="CY754" s="33"/>
      <c r="CZ754" s="33"/>
      <c r="DA754" s="33"/>
      <c r="DB754" s="33"/>
      <c r="DC754" s="33"/>
      <c r="DD754" s="33"/>
      <c r="DE754" s="33"/>
      <c r="DF754" s="33"/>
      <c r="DG754" s="33"/>
      <c r="DH754" s="33"/>
      <c r="DI754" s="33"/>
      <c r="DJ754" s="33"/>
      <c r="DK754" s="33"/>
      <c r="DL754" s="33"/>
      <c r="DM754" s="33"/>
      <c r="DN754" s="33"/>
      <c r="DO754" s="33"/>
      <c r="DP754" s="33"/>
      <c r="DQ754" s="33"/>
      <c r="DR754" s="33"/>
      <c r="DS754" s="33"/>
      <c r="DT754" s="33"/>
      <c r="DU754" s="33"/>
      <c r="DV754" s="33"/>
      <c r="DW754" s="33"/>
      <c r="DX754" s="33"/>
      <c r="DY754" s="33"/>
      <c r="DZ754" s="33"/>
      <c r="EA754" s="33"/>
      <c r="EB754" s="33"/>
      <c r="EC754" s="33"/>
      <c r="ED754" s="33"/>
      <c r="EE754" s="33"/>
      <c r="EF754" s="33"/>
      <c r="EG754" s="33"/>
      <c r="EH754" s="33"/>
      <c r="EI754" s="33"/>
      <c r="EJ754" s="33"/>
      <c r="EK754" s="33"/>
      <c r="EL754" s="33"/>
      <c r="EM754" s="33"/>
      <c r="EN754" s="33"/>
      <c r="EO754" s="33"/>
      <c r="EP754" s="33"/>
      <c r="EQ754" s="33"/>
      <c r="ER754" s="33"/>
      <c r="ES754" s="33"/>
    </row>
    <row r="755">
      <c r="A755" s="33"/>
      <c r="B755" s="33"/>
      <c r="C755" s="33"/>
      <c r="D755" s="33"/>
      <c r="E755" s="33"/>
      <c r="F755" s="33"/>
      <c r="G755" s="85"/>
      <c r="H755" s="85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33"/>
      <c r="Y755" s="33"/>
      <c r="Z755" s="33"/>
      <c r="AA755" s="33"/>
      <c r="AB755" s="33"/>
      <c r="AC755" s="33"/>
      <c r="AD755" s="33"/>
      <c r="AE755" s="33"/>
      <c r="AF755" s="33"/>
      <c r="AG755" s="33"/>
      <c r="AH755" s="33"/>
      <c r="AI755" s="33"/>
      <c r="AJ755" s="33"/>
      <c r="AK755" s="33"/>
      <c r="AL755" s="33"/>
      <c r="AM755" s="33"/>
      <c r="AN755" s="33"/>
      <c r="AO755" s="33"/>
      <c r="AP755" s="33"/>
      <c r="AQ755" s="33"/>
      <c r="AR755" s="33"/>
      <c r="AS755" s="33"/>
      <c r="AT755" s="33"/>
      <c r="AU755" s="33"/>
      <c r="AV755" s="33"/>
      <c r="AW755" s="33"/>
      <c r="AX755" s="33"/>
      <c r="AY755" s="33"/>
      <c r="AZ755" s="33"/>
      <c r="BA755" s="33"/>
      <c r="BB755" s="33"/>
      <c r="BC755" s="33"/>
      <c r="BD755" s="33"/>
      <c r="BE755" s="33"/>
      <c r="BF755" s="33"/>
      <c r="BG755" s="33"/>
      <c r="BH755" s="33"/>
      <c r="BI755" s="33"/>
      <c r="BJ755" s="33"/>
      <c r="BK755" s="33"/>
      <c r="BL755" s="33"/>
      <c r="BM755" s="33"/>
      <c r="BN755" s="33"/>
      <c r="BO755" s="33"/>
      <c r="BP755" s="33"/>
      <c r="BQ755" s="33"/>
      <c r="BR755" s="33"/>
      <c r="BS755" s="33"/>
      <c r="BT755" s="33"/>
      <c r="BU755" s="33"/>
      <c r="BV755" s="33"/>
      <c r="BW755" s="33"/>
      <c r="BX755" s="33"/>
      <c r="BY755" s="33"/>
      <c r="BZ755" s="33"/>
      <c r="CA755" s="33"/>
      <c r="CB755" s="33"/>
      <c r="CC755" s="33"/>
      <c r="CD755" s="33"/>
      <c r="CE755" s="33"/>
      <c r="CF755" s="33"/>
      <c r="CG755" s="33"/>
      <c r="CH755" s="33"/>
      <c r="CI755" s="33"/>
      <c r="CJ755" s="33"/>
      <c r="CK755" s="33"/>
      <c r="CL755" s="33"/>
      <c r="CM755" s="33"/>
      <c r="CN755" s="33"/>
      <c r="CO755" s="33"/>
      <c r="CP755" s="33"/>
      <c r="CQ755" s="33"/>
      <c r="CR755" s="33"/>
      <c r="CS755" s="33"/>
      <c r="CT755" s="33"/>
      <c r="CU755" s="33"/>
      <c r="CV755" s="33"/>
      <c r="CW755" s="33"/>
      <c r="CX755" s="33"/>
      <c r="CY755" s="33"/>
      <c r="CZ755" s="33"/>
      <c r="DA755" s="33"/>
      <c r="DB755" s="33"/>
      <c r="DC755" s="33"/>
      <c r="DD755" s="33"/>
      <c r="DE755" s="33"/>
      <c r="DF755" s="33"/>
      <c r="DG755" s="33"/>
      <c r="DH755" s="33"/>
      <c r="DI755" s="33"/>
      <c r="DJ755" s="33"/>
      <c r="DK755" s="33"/>
      <c r="DL755" s="33"/>
      <c r="DM755" s="33"/>
      <c r="DN755" s="33"/>
      <c r="DO755" s="33"/>
      <c r="DP755" s="33"/>
      <c r="DQ755" s="33"/>
      <c r="DR755" s="33"/>
      <c r="DS755" s="33"/>
      <c r="DT755" s="33"/>
      <c r="DU755" s="33"/>
      <c r="DV755" s="33"/>
      <c r="DW755" s="33"/>
      <c r="DX755" s="33"/>
      <c r="DY755" s="33"/>
      <c r="DZ755" s="33"/>
      <c r="EA755" s="33"/>
      <c r="EB755" s="33"/>
      <c r="EC755" s="33"/>
      <c r="ED755" s="33"/>
      <c r="EE755" s="33"/>
      <c r="EF755" s="33"/>
      <c r="EG755" s="33"/>
      <c r="EH755" s="33"/>
      <c r="EI755" s="33"/>
      <c r="EJ755" s="33"/>
      <c r="EK755" s="33"/>
      <c r="EL755" s="33"/>
      <c r="EM755" s="33"/>
      <c r="EN755" s="33"/>
      <c r="EO755" s="33"/>
      <c r="EP755" s="33"/>
      <c r="EQ755" s="33"/>
      <c r="ER755" s="33"/>
      <c r="ES755" s="33"/>
    </row>
    <row r="756">
      <c r="A756" s="33"/>
      <c r="B756" s="33"/>
      <c r="C756" s="33"/>
      <c r="D756" s="33"/>
      <c r="E756" s="33"/>
      <c r="F756" s="33"/>
      <c r="G756" s="85"/>
      <c r="H756" s="85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33"/>
      <c r="Y756" s="33"/>
      <c r="Z756" s="33"/>
      <c r="AA756" s="33"/>
      <c r="AB756" s="33"/>
      <c r="AC756" s="33"/>
      <c r="AD756" s="33"/>
      <c r="AE756" s="33"/>
      <c r="AF756" s="33"/>
      <c r="AG756" s="33"/>
      <c r="AH756" s="33"/>
      <c r="AI756" s="33"/>
      <c r="AJ756" s="33"/>
      <c r="AK756" s="33"/>
      <c r="AL756" s="33"/>
      <c r="AM756" s="33"/>
      <c r="AN756" s="33"/>
      <c r="AO756" s="33"/>
      <c r="AP756" s="33"/>
      <c r="AQ756" s="33"/>
      <c r="AR756" s="33"/>
      <c r="AS756" s="33"/>
      <c r="AT756" s="33"/>
      <c r="AU756" s="33"/>
      <c r="AV756" s="33"/>
      <c r="AW756" s="33"/>
      <c r="AX756" s="33"/>
      <c r="AY756" s="33"/>
      <c r="AZ756" s="33"/>
      <c r="BA756" s="33"/>
      <c r="BB756" s="33"/>
      <c r="BC756" s="33"/>
      <c r="BD756" s="33"/>
      <c r="BE756" s="33"/>
      <c r="BF756" s="33"/>
      <c r="BG756" s="33"/>
      <c r="BH756" s="33"/>
      <c r="BI756" s="33"/>
      <c r="BJ756" s="33"/>
      <c r="BK756" s="33"/>
      <c r="BL756" s="33"/>
      <c r="BM756" s="33"/>
      <c r="BN756" s="33"/>
      <c r="BO756" s="33"/>
      <c r="BP756" s="33"/>
      <c r="BQ756" s="33"/>
      <c r="BR756" s="33"/>
      <c r="BS756" s="33"/>
      <c r="BT756" s="33"/>
      <c r="BU756" s="33"/>
      <c r="BV756" s="33"/>
      <c r="BW756" s="33"/>
      <c r="BX756" s="33"/>
      <c r="BY756" s="33"/>
      <c r="BZ756" s="33"/>
      <c r="CA756" s="33"/>
      <c r="CB756" s="33"/>
      <c r="CC756" s="33"/>
      <c r="CD756" s="33"/>
      <c r="CE756" s="33"/>
      <c r="CF756" s="33"/>
      <c r="CG756" s="33"/>
      <c r="CH756" s="33"/>
      <c r="CI756" s="33"/>
      <c r="CJ756" s="33"/>
      <c r="CK756" s="33"/>
      <c r="CL756" s="33"/>
      <c r="CM756" s="33"/>
      <c r="CN756" s="33"/>
      <c r="CO756" s="33"/>
      <c r="CP756" s="33"/>
      <c r="CQ756" s="33"/>
      <c r="CR756" s="33"/>
      <c r="CS756" s="33"/>
      <c r="CT756" s="33"/>
      <c r="CU756" s="33"/>
      <c r="CV756" s="33"/>
      <c r="CW756" s="33"/>
      <c r="CX756" s="33"/>
      <c r="CY756" s="33"/>
      <c r="CZ756" s="33"/>
      <c r="DA756" s="33"/>
      <c r="DB756" s="33"/>
      <c r="DC756" s="33"/>
      <c r="DD756" s="33"/>
      <c r="DE756" s="33"/>
      <c r="DF756" s="33"/>
      <c r="DG756" s="33"/>
      <c r="DH756" s="33"/>
      <c r="DI756" s="33"/>
      <c r="DJ756" s="33"/>
      <c r="DK756" s="33"/>
      <c r="DL756" s="33"/>
      <c r="DM756" s="33"/>
      <c r="DN756" s="33"/>
      <c r="DO756" s="33"/>
      <c r="DP756" s="33"/>
      <c r="DQ756" s="33"/>
      <c r="DR756" s="33"/>
      <c r="DS756" s="33"/>
      <c r="DT756" s="33"/>
      <c r="DU756" s="33"/>
      <c r="DV756" s="33"/>
      <c r="DW756" s="33"/>
      <c r="DX756" s="33"/>
      <c r="DY756" s="33"/>
      <c r="DZ756" s="33"/>
      <c r="EA756" s="33"/>
      <c r="EB756" s="33"/>
      <c r="EC756" s="33"/>
      <c r="ED756" s="33"/>
      <c r="EE756" s="33"/>
      <c r="EF756" s="33"/>
      <c r="EG756" s="33"/>
      <c r="EH756" s="33"/>
      <c r="EI756" s="33"/>
      <c r="EJ756" s="33"/>
      <c r="EK756" s="33"/>
      <c r="EL756" s="33"/>
      <c r="EM756" s="33"/>
      <c r="EN756" s="33"/>
      <c r="EO756" s="33"/>
      <c r="EP756" s="33"/>
      <c r="EQ756" s="33"/>
      <c r="ER756" s="33"/>
      <c r="ES756" s="33"/>
    </row>
    <row r="757">
      <c r="A757" s="33"/>
      <c r="B757" s="33"/>
      <c r="C757" s="33"/>
      <c r="D757" s="33"/>
      <c r="E757" s="33"/>
      <c r="F757" s="33"/>
      <c r="G757" s="85"/>
      <c r="H757" s="85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33"/>
      <c r="Y757" s="33"/>
      <c r="Z757" s="33"/>
      <c r="AA757" s="33"/>
      <c r="AB757" s="33"/>
      <c r="AC757" s="33"/>
      <c r="AD757" s="33"/>
      <c r="AE757" s="33"/>
      <c r="AF757" s="33"/>
      <c r="AG757" s="33"/>
      <c r="AH757" s="33"/>
      <c r="AI757" s="33"/>
      <c r="AJ757" s="33"/>
      <c r="AK757" s="33"/>
      <c r="AL757" s="33"/>
      <c r="AM757" s="33"/>
      <c r="AN757" s="33"/>
      <c r="AO757" s="33"/>
      <c r="AP757" s="33"/>
      <c r="AQ757" s="33"/>
      <c r="AR757" s="33"/>
      <c r="AS757" s="33"/>
      <c r="AT757" s="33"/>
      <c r="AU757" s="33"/>
      <c r="AV757" s="33"/>
      <c r="AW757" s="33"/>
      <c r="AX757" s="33"/>
      <c r="AY757" s="33"/>
      <c r="AZ757" s="33"/>
      <c r="BA757" s="33"/>
      <c r="BB757" s="33"/>
      <c r="BC757" s="33"/>
      <c r="BD757" s="33"/>
      <c r="BE757" s="33"/>
      <c r="BF757" s="33"/>
      <c r="BG757" s="33"/>
      <c r="BH757" s="33"/>
      <c r="BI757" s="33"/>
      <c r="BJ757" s="33"/>
      <c r="BK757" s="33"/>
      <c r="BL757" s="33"/>
      <c r="BM757" s="33"/>
      <c r="BN757" s="33"/>
      <c r="BO757" s="33"/>
      <c r="BP757" s="33"/>
      <c r="BQ757" s="33"/>
      <c r="BR757" s="33"/>
      <c r="BS757" s="33"/>
      <c r="BT757" s="33"/>
      <c r="BU757" s="33"/>
      <c r="BV757" s="33"/>
      <c r="BW757" s="33"/>
      <c r="BX757" s="33"/>
      <c r="BY757" s="33"/>
      <c r="BZ757" s="33"/>
      <c r="CA757" s="33"/>
      <c r="CB757" s="33"/>
      <c r="CC757" s="33"/>
      <c r="CD757" s="33"/>
      <c r="CE757" s="33"/>
      <c r="CF757" s="33"/>
      <c r="CG757" s="33"/>
      <c r="CH757" s="33"/>
      <c r="CI757" s="33"/>
      <c r="CJ757" s="33"/>
      <c r="CK757" s="33"/>
      <c r="CL757" s="33"/>
      <c r="CM757" s="33"/>
      <c r="CN757" s="33"/>
      <c r="CO757" s="33"/>
      <c r="CP757" s="33"/>
      <c r="CQ757" s="33"/>
      <c r="CR757" s="33"/>
      <c r="CS757" s="33"/>
      <c r="CT757" s="33"/>
      <c r="CU757" s="33"/>
      <c r="CV757" s="33"/>
      <c r="CW757" s="33"/>
      <c r="CX757" s="33"/>
      <c r="CY757" s="33"/>
      <c r="CZ757" s="33"/>
      <c r="DA757" s="33"/>
      <c r="DB757" s="33"/>
      <c r="DC757" s="33"/>
      <c r="DD757" s="33"/>
      <c r="DE757" s="33"/>
      <c r="DF757" s="33"/>
      <c r="DG757" s="33"/>
      <c r="DH757" s="33"/>
      <c r="DI757" s="33"/>
      <c r="DJ757" s="33"/>
      <c r="DK757" s="33"/>
      <c r="DL757" s="33"/>
      <c r="DM757" s="33"/>
      <c r="DN757" s="33"/>
      <c r="DO757" s="33"/>
      <c r="DP757" s="33"/>
      <c r="DQ757" s="33"/>
      <c r="DR757" s="33"/>
      <c r="DS757" s="33"/>
      <c r="DT757" s="33"/>
      <c r="DU757" s="33"/>
      <c r="DV757" s="33"/>
      <c r="DW757" s="33"/>
      <c r="DX757" s="33"/>
      <c r="DY757" s="33"/>
      <c r="DZ757" s="33"/>
      <c r="EA757" s="33"/>
      <c r="EB757" s="33"/>
      <c r="EC757" s="33"/>
      <c r="ED757" s="33"/>
      <c r="EE757" s="33"/>
      <c r="EF757" s="33"/>
      <c r="EG757" s="33"/>
      <c r="EH757" s="33"/>
      <c r="EI757" s="33"/>
      <c r="EJ757" s="33"/>
      <c r="EK757" s="33"/>
      <c r="EL757" s="33"/>
      <c r="EM757" s="33"/>
      <c r="EN757" s="33"/>
      <c r="EO757" s="33"/>
      <c r="EP757" s="33"/>
      <c r="EQ757" s="33"/>
      <c r="ER757" s="33"/>
      <c r="ES757" s="33"/>
    </row>
    <row r="758">
      <c r="A758" s="33"/>
      <c r="B758" s="33"/>
      <c r="C758" s="33"/>
      <c r="D758" s="33"/>
      <c r="E758" s="33"/>
      <c r="F758" s="33"/>
      <c r="G758" s="85"/>
      <c r="H758" s="85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33"/>
      <c r="Y758" s="33"/>
      <c r="Z758" s="33"/>
      <c r="AA758" s="33"/>
      <c r="AB758" s="33"/>
      <c r="AC758" s="33"/>
      <c r="AD758" s="33"/>
      <c r="AE758" s="33"/>
      <c r="AF758" s="33"/>
      <c r="AG758" s="33"/>
      <c r="AH758" s="33"/>
      <c r="AI758" s="33"/>
      <c r="AJ758" s="33"/>
      <c r="AK758" s="33"/>
      <c r="AL758" s="33"/>
      <c r="AM758" s="33"/>
      <c r="AN758" s="33"/>
      <c r="AO758" s="33"/>
      <c r="AP758" s="33"/>
      <c r="AQ758" s="33"/>
      <c r="AR758" s="33"/>
      <c r="AS758" s="33"/>
      <c r="AT758" s="33"/>
      <c r="AU758" s="33"/>
      <c r="AV758" s="33"/>
      <c r="AW758" s="33"/>
      <c r="AX758" s="33"/>
      <c r="AY758" s="33"/>
      <c r="AZ758" s="33"/>
      <c r="BA758" s="33"/>
      <c r="BB758" s="33"/>
      <c r="BC758" s="33"/>
      <c r="BD758" s="33"/>
      <c r="BE758" s="33"/>
      <c r="BF758" s="33"/>
      <c r="BG758" s="33"/>
      <c r="BH758" s="33"/>
      <c r="BI758" s="33"/>
      <c r="BJ758" s="33"/>
      <c r="BK758" s="33"/>
      <c r="BL758" s="33"/>
      <c r="BM758" s="33"/>
      <c r="BN758" s="33"/>
      <c r="BO758" s="33"/>
      <c r="BP758" s="33"/>
      <c r="BQ758" s="33"/>
      <c r="BR758" s="33"/>
      <c r="BS758" s="33"/>
      <c r="BT758" s="33"/>
      <c r="BU758" s="33"/>
      <c r="BV758" s="33"/>
      <c r="BW758" s="33"/>
      <c r="BX758" s="33"/>
      <c r="BY758" s="33"/>
      <c r="BZ758" s="33"/>
      <c r="CA758" s="33"/>
      <c r="CB758" s="33"/>
      <c r="CC758" s="33"/>
      <c r="CD758" s="33"/>
      <c r="CE758" s="33"/>
      <c r="CF758" s="33"/>
      <c r="CG758" s="33"/>
      <c r="CH758" s="33"/>
      <c r="CI758" s="33"/>
      <c r="CJ758" s="33"/>
      <c r="CK758" s="33"/>
      <c r="CL758" s="33"/>
      <c r="CM758" s="33"/>
      <c r="CN758" s="33"/>
      <c r="CO758" s="33"/>
      <c r="CP758" s="33"/>
      <c r="CQ758" s="33"/>
      <c r="CR758" s="33"/>
      <c r="CS758" s="33"/>
      <c r="CT758" s="33"/>
      <c r="CU758" s="33"/>
      <c r="CV758" s="33"/>
      <c r="CW758" s="33"/>
      <c r="CX758" s="33"/>
      <c r="CY758" s="33"/>
      <c r="CZ758" s="33"/>
      <c r="DA758" s="33"/>
      <c r="DB758" s="33"/>
      <c r="DC758" s="33"/>
      <c r="DD758" s="33"/>
      <c r="DE758" s="33"/>
      <c r="DF758" s="33"/>
      <c r="DG758" s="33"/>
      <c r="DH758" s="33"/>
      <c r="DI758" s="33"/>
      <c r="DJ758" s="33"/>
      <c r="DK758" s="33"/>
      <c r="DL758" s="33"/>
      <c r="DM758" s="33"/>
      <c r="DN758" s="33"/>
      <c r="DO758" s="33"/>
      <c r="DP758" s="33"/>
      <c r="DQ758" s="33"/>
      <c r="DR758" s="33"/>
      <c r="DS758" s="33"/>
      <c r="DT758" s="33"/>
      <c r="DU758" s="33"/>
      <c r="DV758" s="33"/>
      <c r="DW758" s="33"/>
      <c r="DX758" s="33"/>
      <c r="DY758" s="33"/>
      <c r="DZ758" s="33"/>
      <c r="EA758" s="33"/>
      <c r="EB758" s="33"/>
      <c r="EC758" s="33"/>
      <c r="ED758" s="33"/>
      <c r="EE758" s="33"/>
      <c r="EF758" s="33"/>
      <c r="EG758" s="33"/>
      <c r="EH758" s="33"/>
      <c r="EI758" s="33"/>
      <c r="EJ758" s="33"/>
      <c r="EK758" s="33"/>
      <c r="EL758" s="33"/>
      <c r="EM758" s="33"/>
      <c r="EN758" s="33"/>
      <c r="EO758" s="33"/>
      <c r="EP758" s="33"/>
      <c r="EQ758" s="33"/>
      <c r="ER758" s="33"/>
      <c r="ES758" s="33"/>
    </row>
    <row r="759">
      <c r="A759" s="33"/>
      <c r="B759" s="33"/>
      <c r="C759" s="33"/>
      <c r="D759" s="33"/>
      <c r="E759" s="33"/>
      <c r="F759" s="33"/>
      <c r="G759" s="85"/>
      <c r="H759" s="85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33"/>
      <c r="Y759" s="33"/>
      <c r="Z759" s="33"/>
      <c r="AA759" s="33"/>
      <c r="AB759" s="33"/>
      <c r="AC759" s="33"/>
      <c r="AD759" s="33"/>
      <c r="AE759" s="33"/>
      <c r="AF759" s="33"/>
      <c r="AG759" s="33"/>
      <c r="AH759" s="33"/>
      <c r="AI759" s="33"/>
      <c r="AJ759" s="33"/>
      <c r="AK759" s="33"/>
      <c r="AL759" s="33"/>
      <c r="AM759" s="33"/>
      <c r="AN759" s="33"/>
      <c r="AO759" s="33"/>
      <c r="AP759" s="33"/>
      <c r="AQ759" s="33"/>
      <c r="AR759" s="33"/>
      <c r="AS759" s="33"/>
      <c r="AT759" s="33"/>
      <c r="AU759" s="33"/>
      <c r="AV759" s="33"/>
      <c r="AW759" s="33"/>
      <c r="AX759" s="33"/>
      <c r="AY759" s="33"/>
      <c r="AZ759" s="33"/>
      <c r="BA759" s="33"/>
      <c r="BB759" s="33"/>
      <c r="BC759" s="33"/>
      <c r="BD759" s="33"/>
      <c r="BE759" s="33"/>
      <c r="BF759" s="33"/>
      <c r="BG759" s="33"/>
      <c r="BH759" s="33"/>
      <c r="BI759" s="33"/>
      <c r="BJ759" s="33"/>
      <c r="BK759" s="33"/>
      <c r="BL759" s="33"/>
      <c r="BM759" s="33"/>
      <c r="BN759" s="33"/>
      <c r="BO759" s="33"/>
      <c r="BP759" s="33"/>
      <c r="BQ759" s="33"/>
      <c r="BR759" s="33"/>
      <c r="BS759" s="33"/>
      <c r="BT759" s="33"/>
      <c r="BU759" s="33"/>
      <c r="BV759" s="33"/>
      <c r="BW759" s="33"/>
      <c r="BX759" s="33"/>
      <c r="BY759" s="33"/>
      <c r="BZ759" s="33"/>
      <c r="CA759" s="33"/>
      <c r="CB759" s="33"/>
      <c r="CC759" s="33"/>
      <c r="CD759" s="33"/>
      <c r="CE759" s="33"/>
      <c r="CF759" s="33"/>
      <c r="CG759" s="33"/>
      <c r="CH759" s="33"/>
      <c r="CI759" s="33"/>
      <c r="CJ759" s="33"/>
      <c r="CK759" s="33"/>
      <c r="CL759" s="33"/>
      <c r="CM759" s="33"/>
      <c r="CN759" s="33"/>
      <c r="CO759" s="33"/>
      <c r="CP759" s="33"/>
      <c r="CQ759" s="33"/>
      <c r="CR759" s="33"/>
      <c r="CS759" s="33"/>
      <c r="CT759" s="33"/>
      <c r="CU759" s="33"/>
      <c r="CV759" s="33"/>
      <c r="CW759" s="33"/>
      <c r="CX759" s="33"/>
      <c r="CY759" s="33"/>
      <c r="CZ759" s="33"/>
      <c r="DA759" s="33"/>
      <c r="DB759" s="33"/>
      <c r="DC759" s="33"/>
      <c r="DD759" s="33"/>
      <c r="DE759" s="33"/>
      <c r="DF759" s="33"/>
      <c r="DG759" s="33"/>
      <c r="DH759" s="33"/>
      <c r="DI759" s="33"/>
      <c r="DJ759" s="33"/>
      <c r="DK759" s="33"/>
      <c r="DL759" s="33"/>
      <c r="DM759" s="33"/>
      <c r="DN759" s="33"/>
      <c r="DO759" s="33"/>
      <c r="DP759" s="33"/>
      <c r="DQ759" s="33"/>
      <c r="DR759" s="33"/>
      <c r="DS759" s="33"/>
      <c r="DT759" s="33"/>
      <c r="DU759" s="33"/>
      <c r="DV759" s="33"/>
      <c r="DW759" s="33"/>
      <c r="DX759" s="33"/>
      <c r="DY759" s="33"/>
      <c r="DZ759" s="33"/>
      <c r="EA759" s="33"/>
      <c r="EB759" s="33"/>
      <c r="EC759" s="33"/>
      <c r="ED759" s="33"/>
      <c r="EE759" s="33"/>
      <c r="EF759" s="33"/>
      <c r="EG759" s="33"/>
      <c r="EH759" s="33"/>
      <c r="EI759" s="33"/>
      <c r="EJ759" s="33"/>
      <c r="EK759" s="33"/>
      <c r="EL759" s="33"/>
      <c r="EM759" s="33"/>
      <c r="EN759" s="33"/>
      <c r="EO759" s="33"/>
      <c r="EP759" s="33"/>
      <c r="EQ759" s="33"/>
      <c r="ER759" s="33"/>
      <c r="ES759" s="33"/>
    </row>
    <row r="760">
      <c r="A760" s="33"/>
      <c r="B760" s="33"/>
      <c r="C760" s="33"/>
      <c r="D760" s="33"/>
      <c r="E760" s="33"/>
      <c r="F760" s="33"/>
      <c r="G760" s="85"/>
      <c r="H760" s="85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33"/>
      <c r="Y760" s="33"/>
      <c r="Z760" s="33"/>
      <c r="AA760" s="33"/>
      <c r="AB760" s="33"/>
      <c r="AC760" s="33"/>
      <c r="AD760" s="33"/>
      <c r="AE760" s="33"/>
      <c r="AF760" s="33"/>
      <c r="AG760" s="33"/>
      <c r="AH760" s="33"/>
      <c r="AI760" s="33"/>
      <c r="AJ760" s="33"/>
      <c r="AK760" s="33"/>
      <c r="AL760" s="33"/>
      <c r="AM760" s="33"/>
      <c r="AN760" s="33"/>
      <c r="AO760" s="33"/>
      <c r="AP760" s="33"/>
      <c r="AQ760" s="33"/>
      <c r="AR760" s="33"/>
      <c r="AS760" s="33"/>
      <c r="AT760" s="33"/>
      <c r="AU760" s="33"/>
      <c r="AV760" s="33"/>
      <c r="AW760" s="33"/>
      <c r="AX760" s="33"/>
      <c r="AY760" s="33"/>
      <c r="AZ760" s="33"/>
      <c r="BA760" s="33"/>
      <c r="BB760" s="33"/>
      <c r="BC760" s="33"/>
      <c r="BD760" s="33"/>
      <c r="BE760" s="33"/>
      <c r="BF760" s="33"/>
      <c r="BG760" s="33"/>
      <c r="BH760" s="33"/>
      <c r="BI760" s="33"/>
      <c r="BJ760" s="33"/>
      <c r="BK760" s="33"/>
      <c r="BL760" s="33"/>
      <c r="BM760" s="33"/>
      <c r="BN760" s="33"/>
      <c r="BO760" s="33"/>
      <c r="BP760" s="33"/>
      <c r="BQ760" s="33"/>
      <c r="BR760" s="33"/>
      <c r="BS760" s="33"/>
      <c r="BT760" s="33"/>
      <c r="BU760" s="33"/>
      <c r="BV760" s="33"/>
      <c r="BW760" s="33"/>
      <c r="BX760" s="33"/>
      <c r="BY760" s="33"/>
      <c r="BZ760" s="33"/>
      <c r="CA760" s="33"/>
      <c r="CB760" s="33"/>
      <c r="CC760" s="33"/>
      <c r="CD760" s="33"/>
      <c r="CE760" s="33"/>
      <c r="CF760" s="33"/>
      <c r="CG760" s="33"/>
      <c r="CH760" s="33"/>
      <c r="CI760" s="33"/>
      <c r="CJ760" s="33"/>
      <c r="CK760" s="33"/>
      <c r="CL760" s="33"/>
      <c r="CM760" s="33"/>
      <c r="CN760" s="33"/>
      <c r="CO760" s="33"/>
      <c r="CP760" s="33"/>
      <c r="CQ760" s="33"/>
      <c r="CR760" s="33"/>
      <c r="CS760" s="33"/>
      <c r="CT760" s="33"/>
      <c r="CU760" s="33"/>
      <c r="CV760" s="33"/>
      <c r="CW760" s="33"/>
      <c r="CX760" s="33"/>
      <c r="CY760" s="33"/>
      <c r="CZ760" s="33"/>
      <c r="DA760" s="33"/>
      <c r="DB760" s="33"/>
      <c r="DC760" s="33"/>
      <c r="DD760" s="33"/>
      <c r="DE760" s="33"/>
      <c r="DF760" s="33"/>
      <c r="DG760" s="33"/>
      <c r="DH760" s="33"/>
      <c r="DI760" s="33"/>
      <c r="DJ760" s="33"/>
      <c r="DK760" s="33"/>
      <c r="DL760" s="33"/>
      <c r="DM760" s="33"/>
      <c r="DN760" s="33"/>
      <c r="DO760" s="33"/>
      <c r="DP760" s="33"/>
      <c r="DQ760" s="33"/>
      <c r="DR760" s="33"/>
      <c r="DS760" s="33"/>
      <c r="DT760" s="33"/>
      <c r="DU760" s="33"/>
      <c r="DV760" s="33"/>
      <c r="DW760" s="33"/>
      <c r="DX760" s="33"/>
      <c r="DY760" s="33"/>
      <c r="DZ760" s="33"/>
      <c r="EA760" s="33"/>
      <c r="EB760" s="33"/>
      <c r="EC760" s="33"/>
      <c r="ED760" s="33"/>
      <c r="EE760" s="33"/>
      <c r="EF760" s="33"/>
      <c r="EG760" s="33"/>
      <c r="EH760" s="33"/>
      <c r="EI760" s="33"/>
      <c r="EJ760" s="33"/>
      <c r="EK760" s="33"/>
      <c r="EL760" s="33"/>
      <c r="EM760" s="33"/>
      <c r="EN760" s="33"/>
      <c r="EO760" s="33"/>
      <c r="EP760" s="33"/>
      <c r="EQ760" s="33"/>
      <c r="ER760" s="33"/>
      <c r="ES760" s="33"/>
    </row>
    <row r="761">
      <c r="A761" s="33"/>
      <c r="B761" s="33"/>
      <c r="C761" s="33"/>
      <c r="D761" s="33"/>
      <c r="E761" s="33"/>
      <c r="F761" s="33"/>
      <c r="G761" s="85"/>
      <c r="H761" s="85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33"/>
      <c r="Y761" s="33"/>
      <c r="Z761" s="33"/>
      <c r="AA761" s="33"/>
      <c r="AB761" s="33"/>
      <c r="AC761" s="33"/>
      <c r="AD761" s="33"/>
      <c r="AE761" s="33"/>
      <c r="AF761" s="33"/>
      <c r="AG761" s="33"/>
      <c r="AH761" s="33"/>
      <c r="AI761" s="33"/>
      <c r="AJ761" s="33"/>
      <c r="AK761" s="33"/>
      <c r="AL761" s="33"/>
      <c r="AM761" s="33"/>
      <c r="AN761" s="33"/>
      <c r="AO761" s="33"/>
      <c r="AP761" s="33"/>
      <c r="AQ761" s="33"/>
      <c r="AR761" s="33"/>
      <c r="AS761" s="33"/>
      <c r="AT761" s="33"/>
      <c r="AU761" s="33"/>
      <c r="AV761" s="33"/>
      <c r="AW761" s="33"/>
      <c r="AX761" s="33"/>
      <c r="AY761" s="33"/>
      <c r="AZ761" s="33"/>
      <c r="BA761" s="33"/>
      <c r="BB761" s="33"/>
      <c r="BC761" s="33"/>
      <c r="BD761" s="33"/>
      <c r="BE761" s="33"/>
      <c r="BF761" s="33"/>
      <c r="BG761" s="33"/>
      <c r="BH761" s="33"/>
      <c r="BI761" s="33"/>
      <c r="BJ761" s="33"/>
      <c r="BK761" s="33"/>
      <c r="BL761" s="33"/>
      <c r="BM761" s="33"/>
      <c r="BN761" s="33"/>
      <c r="BO761" s="33"/>
      <c r="BP761" s="33"/>
      <c r="BQ761" s="33"/>
      <c r="BR761" s="33"/>
      <c r="BS761" s="33"/>
      <c r="BT761" s="33"/>
      <c r="BU761" s="33"/>
      <c r="BV761" s="33"/>
      <c r="BW761" s="33"/>
      <c r="BX761" s="33"/>
      <c r="BY761" s="33"/>
      <c r="BZ761" s="33"/>
      <c r="CA761" s="33"/>
      <c r="CB761" s="33"/>
      <c r="CC761" s="33"/>
      <c r="CD761" s="33"/>
      <c r="CE761" s="33"/>
      <c r="CF761" s="33"/>
      <c r="CG761" s="33"/>
      <c r="CH761" s="33"/>
      <c r="CI761" s="33"/>
      <c r="CJ761" s="33"/>
      <c r="CK761" s="33"/>
      <c r="CL761" s="33"/>
      <c r="CM761" s="33"/>
      <c r="CN761" s="33"/>
      <c r="CO761" s="33"/>
      <c r="CP761" s="33"/>
      <c r="CQ761" s="33"/>
      <c r="CR761" s="33"/>
      <c r="CS761" s="33"/>
      <c r="CT761" s="33"/>
      <c r="CU761" s="33"/>
      <c r="CV761" s="33"/>
      <c r="CW761" s="33"/>
      <c r="CX761" s="33"/>
      <c r="CY761" s="33"/>
      <c r="CZ761" s="33"/>
      <c r="DA761" s="33"/>
      <c r="DB761" s="33"/>
      <c r="DC761" s="33"/>
      <c r="DD761" s="33"/>
      <c r="DE761" s="33"/>
      <c r="DF761" s="33"/>
      <c r="DG761" s="33"/>
      <c r="DH761" s="33"/>
      <c r="DI761" s="33"/>
      <c r="DJ761" s="33"/>
      <c r="DK761" s="33"/>
      <c r="DL761" s="33"/>
      <c r="DM761" s="33"/>
      <c r="DN761" s="33"/>
      <c r="DO761" s="33"/>
      <c r="DP761" s="33"/>
      <c r="DQ761" s="33"/>
      <c r="DR761" s="33"/>
      <c r="DS761" s="33"/>
      <c r="DT761" s="33"/>
      <c r="DU761" s="33"/>
      <c r="DV761" s="33"/>
      <c r="DW761" s="33"/>
      <c r="DX761" s="33"/>
      <c r="DY761" s="33"/>
      <c r="DZ761" s="33"/>
      <c r="EA761" s="33"/>
      <c r="EB761" s="33"/>
      <c r="EC761" s="33"/>
      <c r="ED761" s="33"/>
      <c r="EE761" s="33"/>
      <c r="EF761" s="33"/>
      <c r="EG761" s="33"/>
      <c r="EH761" s="33"/>
      <c r="EI761" s="33"/>
      <c r="EJ761" s="33"/>
      <c r="EK761" s="33"/>
      <c r="EL761" s="33"/>
      <c r="EM761" s="33"/>
      <c r="EN761" s="33"/>
      <c r="EO761" s="33"/>
      <c r="EP761" s="33"/>
      <c r="EQ761" s="33"/>
      <c r="ER761" s="33"/>
      <c r="ES761" s="33"/>
    </row>
    <row r="762">
      <c r="A762" s="33"/>
      <c r="B762" s="33"/>
      <c r="C762" s="33"/>
      <c r="D762" s="33"/>
      <c r="E762" s="33"/>
      <c r="F762" s="33"/>
      <c r="G762" s="85"/>
      <c r="H762" s="85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33"/>
      <c r="Y762" s="33"/>
      <c r="Z762" s="33"/>
      <c r="AA762" s="33"/>
      <c r="AB762" s="33"/>
      <c r="AC762" s="33"/>
      <c r="AD762" s="33"/>
      <c r="AE762" s="33"/>
      <c r="AF762" s="33"/>
      <c r="AG762" s="33"/>
      <c r="AH762" s="33"/>
      <c r="AI762" s="33"/>
      <c r="AJ762" s="33"/>
      <c r="AK762" s="33"/>
      <c r="AL762" s="33"/>
      <c r="AM762" s="33"/>
      <c r="AN762" s="33"/>
      <c r="AO762" s="33"/>
      <c r="AP762" s="33"/>
      <c r="AQ762" s="33"/>
      <c r="AR762" s="33"/>
      <c r="AS762" s="33"/>
      <c r="AT762" s="33"/>
      <c r="AU762" s="33"/>
      <c r="AV762" s="33"/>
      <c r="AW762" s="33"/>
      <c r="AX762" s="33"/>
      <c r="AY762" s="33"/>
      <c r="AZ762" s="33"/>
      <c r="BA762" s="33"/>
      <c r="BB762" s="33"/>
      <c r="BC762" s="33"/>
      <c r="BD762" s="33"/>
      <c r="BE762" s="33"/>
      <c r="BF762" s="33"/>
      <c r="BG762" s="33"/>
      <c r="BH762" s="33"/>
      <c r="BI762" s="33"/>
      <c r="BJ762" s="33"/>
      <c r="BK762" s="33"/>
      <c r="BL762" s="33"/>
      <c r="BM762" s="33"/>
      <c r="BN762" s="33"/>
      <c r="BO762" s="33"/>
      <c r="BP762" s="33"/>
      <c r="BQ762" s="33"/>
      <c r="BR762" s="33"/>
      <c r="BS762" s="33"/>
      <c r="BT762" s="33"/>
      <c r="BU762" s="33"/>
      <c r="BV762" s="33"/>
      <c r="BW762" s="33"/>
      <c r="BX762" s="33"/>
      <c r="BY762" s="33"/>
      <c r="BZ762" s="33"/>
      <c r="CA762" s="33"/>
      <c r="CB762" s="33"/>
      <c r="CC762" s="33"/>
      <c r="CD762" s="33"/>
      <c r="CE762" s="33"/>
      <c r="CF762" s="33"/>
      <c r="CG762" s="33"/>
      <c r="CH762" s="33"/>
      <c r="CI762" s="33"/>
      <c r="CJ762" s="33"/>
      <c r="CK762" s="33"/>
      <c r="CL762" s="33"/>
      <c r="CM762" s="33"/>
      <c r="CN762" s="33"/>
      <c r="CO762" s="33"/>
      <c r="CP762" s="33"/>
      <c r="CQ762" s="33"/>
      <c r="CR762" s="33"/>
      <c r="CS762" s="33"/>
      <c r="CT762" s="33"/>
      <c r="CU762" s="33"/>
      <c r="CV762" s="33"/>
      <c r="CW762" s="33"/>
      <c r="CX762" s="33"/>
      <c r="CY762" s="33"/>
      <c r="CZ762" s="33"/>
      <c r="DA762" s="33"/>
      <c r="DB762" s="33"/>
      <c r="DC762" s="33"/>
      <c r="DD762" s="33"/>
      <c r="DE762" s="33"/>
      <c r="DF762" s="33"/>
      <c r="DG762" s="33"/>
      <c r="DH762" s="33"/>
      <c r="DI762" s="33"/>
      <c r="DJ762" s="33"/>
      <c r="DK762" s="33"/>
      <c r="DL762" s="33"/>
      <c r="DM762" s="33"/>
      <c r="DN762" s="33"/>
      <c r="DO762" s="33"/>
      <c r="DP762" s="33"/>
      <c r="DQ762" s="33"/>
      <c r="DR762" s="33"/>
      <c r="DS762" s="33"/>
      <c r="DT762" s="33"/>
      <c r="DU762" s="33"/>
      <c r="DV762" s="33"/>
      <c r="DW762" s="33"/>
      <c r="DX762" s="33"/>
      <c r="DY762" s="33"/>
      <c r="DZ762" s="33"/>
      <c r="EA762" s="33"/>
      <c r="EB762" s="33"/>
      <c r="EC762" s="33"/>
      <c r="ED762" s="33"/>
      <c r="EE762" s="33"/>
      <c r="EF762" s="33"/>
      <c r="EG762" s="33"/>
      <c r="EH762" s="33"/>
      <c r="EI762" s="33"/>
      <c r="EJ762" s="33"/>
      <c r="EK762" s="33"/>
      <c r="EL762" s="33"/>
      <c r="EM762" s="33"/>
      <c r="EN762" s="33"/>
      <c r="EO762" s="33"/>
      <c r="EP762" s="33"/>
      <c r="EQ762" s="33"/>
      <c r="ER762" s="33"/>
      <c r="ES762" s="33"/>
    </row>
    <row r="763">
      <c r="A763" s="33"/>
      <c r="B763" s="33"/>
      <c r="C763" s="33"/>
      <c r="D763" s="33"/>
      <c r="E763" s="33"/>
      <c r="F763" s="33"/>
      <c r="G763" s="85"/>
      <c r="H763" s="85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33"/>
      <c r="Y763" s="33"/>
      <c r="Z763" s="33"/>
      <c r="AA763" s="33"/>
      <c r="AB763" s="33"/>
      <c r="AC763" s="33"/>
      <c r="AD763" s="33"/>
      <c r="AE763" s="33"/>
      <c r="AF763" s="33"/>
      <c r="AG763" s="33"/>
      <c r="AH763" s="33"/>
      <c r="AI763" s="33"/>
      <c r="AJ763" s="33"/>
      <c r="AK763" s="33"/>
      <c r="AL763" s="33"/>
      <c r="AM763" s="33"/>
      <c r="AN763" s="33"/>
      <c r="AO763" s="33"/>
      <c r="AP763" s="33"/>
      <c r="AQ763" s="33"/>
      <c r="AR763" s="33"/>
      <c r="AS763" s="33"/>
      <c r="AT763" s="33"/>
      <c r="AU763" s="33"/>
      <c r="AV763" s="33"/>
      <c r="AW763" s="33"/>
      <c r="AX763" s="33"/>
      <c r="AY763" s="33"/>
      <c r="AZ763" s="33"/>
      <c r="BA763" s="33"/>
      <c r="BB763" s="33"/>
      <c r="BC763" s="33"/>
      <c r="BD763" s="33"/>
      <c r="BE763" s="33"/>
      <c r="BF763" s="33"/>
      <c r="BG763" s="33"/>
      <c r="BH763" s="33"/>
      <c r="BI763" s="33"/>
      <c r="BJ763" s="33"/>
      <c r="BK763" s="33"/>
      <c r="BL763" s="33"/>
      <c r="BM763" s="33"/>
      <c r="BN763" s="33"/>
      <c r="BO763" s="33"/>
      <c r="BP763" s="33"/>
      <c r="BQ763" s="33"/>
      <c r="BR763" s="33"/>
      <c r="BS763" s="33"/>
      <c r="BT763" s="33"/>
      <c r="BU763" s="33"/>
      <c r="BV763" s="33"/>
      <c r="BW763" s="33"/>
      <c r="BX763" s="33"/>
      <c r="BY763" s="33"/>
      <c r="BZ763" s="33"/>
      <c r="CA763" s="33"/>
      <c r="CB763" s="33"/>
      <c r="CC763" s="33"/>
      <c r="CD763" s="33"/>
      <c r="CE763" s="33"/>
      <c r="CF763" s="33"/>
      <c r="CG763" s="33"/>
      <c r="CH763" s="33"/>
      <c r="CI763" s="33"/>
      <c r="CJ763" s="33"/>
      <c r="CK763" s="33"/>
      <c r="CL763" s="33"/>
      <c r="CM763" s="33"/>
      <c r="CN763" s="33"/>
      <c r="CO763" s="33"/>
      <c r="CP763" s="33"/>
      <c r="CQ763" s="33"/>
      <c r="CR763" s="33"/>
      <c r="CS763" s="33"/>
      <c r="CT763" s="33"/>
      <c r="CU763" s="33"/>
      <c r="CV763" s="33"/>
      <c r="CW763" s="33"/>
      <c r="CX763" s="33"/>
      <c r="CY763" s="33"/>
      <c r="CZ763" s="33"/>
      <c r="DA763" s="33"/>
      <c r="DB763" s="33"/>
      <c r="DC763" s="33"/>
      <c r="DD763" s="33"/>
      <c r="DE763" s="33"/>
      <c r="DF763" s="33"/>
      <c r="DG763" s="33"/>
      <c r="DH763" s="33"/>
      <c r="DI763" s="33"/>
      <c r="DJ763" s="33"/>
      <c r="DK763" s="33"/>
      <c r="DL763" s="33"/>
      <c r="DM763" s="33"/>
      <c r="DN763" s="33"/>
      <c r="DO763" s="33"/>
      <c r="DP763" s="33"/>
      <c r="DQ763" s="33"/>
      <c r="DR763" s="33"/>
      <c r="DS763" s="33"/>
      <c r="DT763" s="33"/>
      <c r="DU763" s="33"/>
      <c r="DV763" s="33"/>
      <c r="DW763" s="33"/>
      <c r="DX763" s="33"/>
      <c r="DY763" s="33"/>
      <c r="DZ763" s="33"/>
      <c r="EA763" s="33"/>
      <c r="EB763" s="33"/>
      <c r="EC763" s="33"/>
      <c r="ED763" s="33"/>
      <c r="EE763" s="33"/>
      <c r="EF763" s="33"/>
      <c r="EG763" s="33"/>
      <c r="EH763" s="33"/>
      <c r="EI763" s="33"/>
      <c r="EJ763" s="33"/>
      <c r="EK763" s="33"/>
      <c r="EL763" s="33"/>
      <c r="EM763" s="33"/>
      <c r="EN763" s="33"/>
      <c r="EO763" s="33"/>
      <c r="EP763" s="33"/>
      <c r="EQ763" s="33"/>
      <c r="ER763" s="33"/>
      <c r="ES763" s="33"/>
    </row>
    <row r="764">
      <c r="A764" s="33"/>
      <c r="B764" s="33"/>
      <c r="C764" s="33"/>
      <c r="D764" s="33"/>
      <c r="E764" s="33"/>
      <c r="F764" s="33"/>
      <c r="G764" s="85"/>
      <c r="H764" s="85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33"/>
      <c r="Y764" s="33"/>
      <c r="Z764" s="33"/>
      <c r="AA764" s="33"/>
      <c r="AB764" s="33"/>
      <c r="AC764" s="33"/>
      <c r="AD764" s="33"/>
      <c r="AE764" s="33"/>
      <c r="AF764" s="33"/>
      <c r="AG764" s="33"/>
      <c r="AH764" s="33"/>
      <c r="AI764" s="33"/>
      <c r="AJ764" s="33"/>
      <c r="AK764" s="33"/>
      <c r="AL764" s="33"/>
      <c r="AM764" s="33"/>
      <c r="AN764" s="33"/>
      <c r="AO764" s="33"/>
      <c r="AP764" s="33"/>
      <c r="AQ764" s="33"/>
      <c r="AR764" s="33"/>
      <c r="AS764" s="33"/>
      <c r="AT764" s="33"/>
      <c r="AU764" s="33"/>
      <c r="AV764" s="33"/>
      <c r="AW764" s="33"/>
      <c r="AX764" s="33"/>
      <c r="AY764" s="33"/>
      <c r="AZ764" s="33"/>
      <c r="BA764" s="33"/>
      <c r="BB764" s="33"/>
      <c r="BC764" s="33"/>
      <c r="BD764" s="33"/>
      <c r="BE764" s="33"/>
      <c r="BF764" s="33"/>
      <c r="BG764" s="33"/>
      <c r="BH764" s="33"/>
      <c r="BI764" s="33"/>
      <c r="BJ764" s="33"/>
      <c r="BK764" s="33"/>
      <c r="BL764" s="33"/>
      <c r="BM764" s="33"/>
      <c r="BN764" s="33"/>
      <c r="BO764" s="33"/>
      <c r="BP764" s="33"/>
      <c r="BQ764" s="33"/>
      <c r="BR764" s="33"/>
      <c r="BS764" s="33"/>
      <c r="BT764" s="33"/>
      <c r="BU764" s="33"/>
      <c r="BV764" s="33"/>
      <c r="BW764" s="33"/>
      <c r="BX764" s="33"/>
      <c r="BY764" s="33"/>
      <c r="BZ764" s="33"/>
      <c r="CA764" s="33"/>
      <c r="CB764" s="33"/>
      <c r="CC764" s="33"/>
      <c r="CD764" s="33"/>
      <c r="CE764" s="33"/>
      <c r="CF764" s="33"/>
      <c r="CG764" s="33"/>
      <c r="CH764" s="33"/>
      <c r="CI764" s="33"/>
      <c r="CJ764" s="33"/>
      <c r="CK764" s="33"/>
      <c r="CL764" s="33"/>
      <c r="CM764" s="33"/>
      <c r="CN764" s="33"/>
      <c r="CO764" s="33"/>
      <c r="CP764" s="33"/>
      <c r="CQ764" s="33"/>
      <c r="CR764" s="33"/>
      <c r="CS764" s="33"/>
      <c r="CT764" s="33"/>
      <c r="CU764" s="33"/>
      <c r="CV764" s="33"/>
      <c r="CW764" s="33"/>
      <c r="CX764" s="33"/>
      <c r="CY764" s="33"/>
      <c r="CZ764" s="33"/>
      <c r="DA764" s="33"/>
      <c r="DB764" s="33"/>
      <c r="DC764" s="33"/>
      <c r="DD764" s="33"/>
      <c r="DE764" s="33"/>
      <c r="DF764" s="33"/>
      <c r="DG764" s="33"/>
      <c r="DH764" s="33"/>
      <c r="DI764" s="33"/>
      <c r="DJ764" s="33"/>
      <c r="DK764" s="33"/>
      <c r="DL764" s="33"/>
      <c r="DM764" s="33"/>
      <c r="DN764" s="33"/>
      <c r="DO764" s="33"/>
      <c r="DP764" s="33"/>
      <c r="DQ764" s="33"/>
      <c r="DR764" s="33"/>
      <c r="DS764" s="33"/>
      <c r="DT764" s="33"/>
      <c r="DU764" s="33"/>
      <c r="DV764" s="33"/>
      <c r="DW764" s="33"/>
      <c r="DX764" s="33"/>
      <c r="DY764" s="33"/>
      <c r="DZ764" s="33"/>
      <c r="EA764" s="33"/>
      <c r="EB764" s="33"/>
      <c r="EC764" s="33"/>
      <c r="ED764" s="33"/>
      <c r="EE764" s="33"/>
      <c r="EF764" s="33"/>
      <c r="EG764" s="33"/>
      <c r="EH764" s="33"/>
      <c r="EI764" s="33"/>
      <c r="EJ764" s="33"/>
      <c r="EK764" s="33"/>
      <c r="EL764" s="33"/>
      <c r="EM764" s="33"/>
      <c r="EN764" s="33"/>
      <c r="EO764" s="33"/>
      <c r="EP764" s="33"/>
      <c r="EQ764" s="33"/>
      <c r="ER764" s="33"/>
      <c r="ES764" s="33"/>
    </row>
    <row r="765">
      <c r="A765" s="33"/>
      <c r="B765" s="33"/>
      <c r="C765" s="33"/>
      <c r="D765" s="33"/>
      <c r="E765" s="33"/>
      <c r="F765" s="33"/>
      <c r="G765" s="85"/>
      <c r="H765" s="85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33"/>
      <c r="Y765" s="33"/>
      <c r="Z765" s="33"/>
      <c r="AA765" s="33"/>
      <c r="AB765" s="33"/>
      <c r="AC765" s="33"/>
      <c r="AD765" s="33"/>
      <c r="AE765" s="33"/>
      <c r="AF765" s="33"/>
      <c r="AG765" s="33"/>
      <c r="AH765" s="33"/>
      <c r="AI765" s="33"/>
      <c r="AJ765" s="33"/>
      <c r="AK765" s="33"/>
      <c r="AL765" s="33"/>
      <c r="AM765" s="33"/>
      <c r="AN765" s="33"/>
      <c r="AO765" s="33"/>
      <c r="AP765" s="33"/>
      <c r="AQ765" s="33"/>
      <c r="AR765" s="33"/>
      <c r="AS765" s="33"/>
      <c r="AT765" s="33"/>
      <c r="AU765" s="33"/>
      <c r="AV765" s="33"/>
      <c r="AW765" s="33"/>
      <c r="AX765" s="33"/>
      <c r="AY765" s="33"/>
      <c r="AZ765" s="33"/>
      <c r="BA765" s="33"/>
      <c r="BB765" s="33"/>
      <c r="BC765" s="33"/>
      <c r="BD765" s="33"/>
      <c r="BE765" s="33"/>
      <c r="BF765" s="33"/>
      <c r="BG765" s="33"/>
      <c r="BH765" s="33"/>
      <c r="BI765" s="33"/>
      <c r="BJ765" s="33"/>
      <c r="BK765" s="33"/>
      <c r="BL765" s="33"/>
      <c r="BM765" s="33"/>
      <c r="BN765" s="33"/>
      <c r="BO765" s="33"/>
      <c r="BP765" s="33"/>
      <c r="BQ765" s="33"/>
      <c r="BR765" s="33"/>
      <c r="BS765" s="33"/>
      <c r="BT765" s="33"/>
      <c r="BU765" s="33"/>
      <c r="BV765" s="33"/>
      <c r="BW765" s="33"/>
      <c r="BX765" s="33"/>
      <c r="BY765" s="33"/>
      <c r="BZ765" s="33"/>
      <c r="CA765" s="33"/>
      <c r="CB765" s="33"/>
      <c r="CC765" s="33"/>
      <c r="CD765" s="33"/>
      <c r="CE765" s="33"/>
      <c r="CF765" s="33"/>
      <c r="CG765" s="33"/>
      <c r="CH765" s="33"/>
      <c r="CI765" s="33"/>
      <c r="CJ765" s="33"/>
      <c r="CK765" s="33"/>
      <c r="CL765" s="33"/>
      <c r="CM765" s="33"/>
      <c r="CN765" s="33"/>
      <c r="CO765" s="33"/>
      <c r="CP765" s="33"/>
      <c r="CQ765" s="33"/>
      <c r="CR765" s="33"/>
      <c r="CS765" s="33"/>
      <c r="CT765" s="33"/>
      <c r="CU765" s="33"/>
      <c r="CV765" s="33"/>
      <c r="CW765" s="33"/>
      <c r="CX765" s="33"/>
      <c r="CY765" s="33"/>
      <c r="CZ765" s="33"/>
      <c r="DA765" s="33"/>
      <c r="DB765" s="33"/>
      <c r="DC765" s="33"/>
      <c r="DD765" s="33"/>
      <c r="DE765" s="33"/>
      <c r="DF765" s="33"/>
      <c r="DG765" s="33"/>
      <c r="DH765" s="33"/>
      <c r="DI765" s="33"/>
      <c r="DJ765" s="33"/>
      <c r="DK765" s="33"/>
      <c r="DL765" s="33"/>
      <c r="DM765" s="33"/>
      <c r="DN765" s="33"/>
      <c r="DO765" s="33"/>
      <c r="DP765" s="33"/>
      <c r="DQ765" s="33"/>
      <c r="DR765" s="33"/>
      <c r="DS765" s="33"/>
      <c r="DT765" s="33"/>
      <c r="DU765" s="33"/>
      <c r="DV765" s="33"/>
      <c r="DW765" s="33"/>
      <c r="DX765" s="33"/>
      <c r="DY765" s="33"/>
      <c r="DZ765" s="33"/>
      <c r="EA765" s="33"/>
      <c r="EB765" s="33"/>
      <c r="EC765" s="33"/>
      <c r="ED765" s="33"/>
      <c r="EE765" s="33"/>
      <c r="EF765" s="33"/>
      <c r="EG765" s="33"/>
      <c r="EH765" s="33"/>
      <c r="EI765" s="33"/>
      <c r="EJ765" s="33"/>
      <c r="EK765" s="33"/>
      <c r="EL765" s="33"/>
      <c r="EM765" s="33"/>
      <c r="EN765" s="33"/>
      <c r="EO765" s="33"/>
      <c r="EP765" s="33"/>
      <c r="EQ765" s="33"/>
      <c r="ER765" s="33"/>
      <c r="ES765" s="33"/>
    </row>
    <row r="766">
      <c r="A766" s="33"/>
      <c r="B766" s="33"/>
      <c r="C766" s="33"/>
      <c r="D766" s="33"/>
      <c r="E766" s="33"/>
      <c r="F766" s="33"/>
      <c r="G766" s="85"/>
      <c r="H766" s="85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33"/>
      <c r="Y766" s="33"/>
      <c r="Z766" s="33"/>
      <c r="AA766" s="33"/>
      <c r="AB766" s="33"/>
      <c r="AC766" s="33"/>
      <c r="AD766" s="33"/>
      <c r="AE766" s="33"/>
      <c r="AF766" s="33"/>
      <c r="AG766" s="33"/>
      <c r="AH766" s="33"/>
      <c r="AI766" s="33"/>
      <c r="AJ766" s="33"/>
      <c r="AK766" s="33"/>
      <c r="AL766" s="33"/>
      <c r="AM766" s="33"/>
      <c r="AN766" s="33"/>
      <c r="AO766" s="33"/>
      <c r="AP766" s="33"/>
      <c r="AQ766" s="33"/>
      <c r="AR766" s="33"/>
      <c r="AS766" s="33"/>
      <c r="AT766" s="33"/>
      <c r="AU766" s="33"/>
      <c r="AV766" s="33"/>
      <c r="AW766" s="33"/>
      <c r="AX766" s="33"/>
      <c r="AY766" s="33"/>
      <c r="AZ766" s="33"/>
      <c r="BA766" s="33"/>
      <c r="BB766" s="33"/>
      <c r="BC766" s="33"/>
      <c r="BD766" s="33"/>
      <c r="BE766" s="33"/>
      <c r="BF766" s="33"/>
      <c r="BG766" s="33"/>
      <c r="BH766" s="33"/>
      <c r="BI766" s="33"/>
      <c r="BJ766" s="33"/>
      <c r="BK766" s="33"/>
      <c r="BL766" s="33"/>
      <c r="BM766" s="33"/>
      <c r="BN766" s="33"/>
      <c r="BO766" s="33"/>
      <c r="BP766" s="33"/>
      <c r="BQ766" s="33"/>
      <c r="BR766" s="33"/>
      <c r="BS766" s="33"/>
      <c r="BT766" s="33"/>
      <c r="BU766" s="33"/>
      <c r="BV766" s="33"/>
      <c r="BW766" s="33"/>
      <c r="BX766" s="33"/>
      <c r="BY766" s="33"/>
      <c r="BZ766" s="33"/>
      <c r="CA766" s="33"/>
      <c r="CB766" s="33"/>
      <c r="CC766" s="33"/>
      <c r="CD766" s="33"/>
      <c r="CE766" s="33"/>
      <c r="CF766" s="33"/>
      <c r="CG766" s="33"/>
      <c r="CH766" s="33"/>
      <c r="CI766" s="33"/>
      <c r="CJ766" s="33"/>
      <c r="CK766" s="33"/>
      <c r="CL766" s="33"/>
      <c r="CM766" s="33"/>
      <c r="CN766" s="33"/>
      <c r="CO766" s="33"/>
      <c r="CP766" s="33"/>
      <c r="CQ766" s="33"/>
      <c r="CR766" s="33"/>
      <c r="CS766" s="33"/>
      <c r="CT766" s="33"/>
      <c r="CU766" s="33"/>
      <c r="CV766" s="33"/>
      <c r="CW766" s="33"/>
      <c r="CX766" s="33"/>
      <c r="CY766" s="33"/>
      <c r="CZ766" s="33"/>
      <c r="DA766" s="33"/>
      <c r="DB766" s="33"/>
      <c r="DC766" s="33"/>
      <c r="DD766" s="33"/>
      <c r="DE766" s="33"/>
      <c r="DF766" s="33"/>
      <c r="DG766" s="33"/>
      <c r="DH766" s="33"/>
      <c r="DI766" s="33"/>
      <c r="DJ766" s="33"/>
      <c r="DK766" s="33"/>
      <c r="DL766" s="33"/>
      <c r="DM766" s="33"/>
      <c r="DN766" s="33"/>
      <c r="DO766" s="33"/>
      <c r="DP766" s="33"/>
      <c r="DQ766" s="33"/>
      <c r="DR766" s="33"/>
      <c r="DS766" s="33"/>
      <c r="DT766" s="33"/>
      <c r="DU766" s="33"/>
      <c r="DV766" s="33"/>
      <c r="DW766" s="33"/>
      <c r="DX766" s="33"/>
      <c r="DY766" s="33"/>
      <c r="DZ766" s="33"/>
      <c r="EA766" s="33"/>
      <c r="EB766" s="33"/>
      <c r="EC766" s="33"/>
      <c r="ED766" s="33"/>
      <c r="EE766" s="33"/>
      <c r="EF766" s="33"/>
      <c r="EG766" s="33"/>
      <c r="EH766" s="33"/>
      <c r="EI766" s="33"/>
      <c r="EJ766" s="33"/>
      <c r="EK766" s="33"/>
      <c r="EL766" s="33"/>
      <c r="EM766" s="33"/>
      <c r="EN766" s="33"/>
      <c r="EO766" s="33"/>
      <c r="EP766" s="33"/>
      <c r="EQ766" s="33"/>
      <c r="ER766" s="33"/>
      <c r="ES766" s="33"/>
    </row>
    <row r="767">
      <c r="A767" s="33"/>
      <c r="B767" s="33"/>
      <c r="C767" s="33"/>
      <c r="D767" s="33"/>
      <c r="E767" s="33"/>
      <c r="F767" s="33"/>
      <c r="G767" s="85"/>
      <c r="H767" s="85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33"/>
      <c r="Y767" s="33"/>
      <c r="Z767" s="33"/>
      <c r="AA767" s="33"/>
      <c r="AB767" s="33"/>
      <c r="AC767" s="33"/>
      <c r="AD767" s="33"/>
      <c r="AE767" s="33"/>
      <c r="AF767" s="33"/>
      <c r="AG767" s="33"/>
      <c r="AH767" s="33"/>
      <c r="AI767" s="33"/>
      <c r="AJ767" s="33"/>
      <c r="AK767" s="33"/>
      <c r="AL767" s="33"/>
      <c r="AM767" s="33"/>
      <c r="AN767" s="33"/>
      <c r="AO767" s="33"/>
      <c r="AP767" s="33"/>
      <c r="AQ767" s="33"/>
      <c r="AR767" s="33"/>
      <c r="AS767" s="33"/>
      <c r="AT767" s="33"/>
      <c r="AU767" s="33"/>
      <c r="AV767" s="33"/>
      <c r="AW767" s="33"/>
      <c r="AX767" s="33"/>
      <c r="AY767" s="33"/>
      <c r="AZ767" s="33"/>
      <c r="BA767" s="33"/>
      <c r="BB767" s="33"/>
      <c r="BC767" s="33"/>
      <c r="BD767" s="33"/>
      <c r="BE767" s="33"/>
      <c r="BF767" s="33"/>
      <c r="BG767" s="33"/>
      <c r="BH767" s="33"/>
      <c r="BI767" s="33"/>
      <c r="BJ767" s="33"/>
      <c r="BK767" s="33"/>
      <c r="BL767" s="33"/>
      <c r="BM767" s="33"/>
      <c r="BN767" s="33"/>
      <c r="BO767" s="33"/>
      <c r="BP767" s="33"/>
      <c r="BQ767" s="33"/>
      <c r="BR767" s="33"/>
      <c r="BS767" s="33"/>
      <c r="BT767" s="33"/>
      <c r="BU767" s="33"/>
      <c r="BV767" s="33"/>
      <c r="BW767" s="33"/>
      <c r="BX767" s="33"/>
      <c r="BY767" s="33"/>
      <c r="BZ767" s="33"/>
      <c r="CA767" s="33"/>
      <c r="CB767" s="33"/>
      <c r="CC767" s="33"/>
      <c r="CD767" s="33"/>
      <c r="CE767" s="33"/>
      <c r="CF767" s="33"/>
      <c r="CG767" s="33"/>
      <c r="CH767" s="33"/>
      <c r="CI767" s="33"/>
      <c r="CJ767" s="33"/>
      <c r="CK767" s="33"/>
      <c r="CL767" s="33"/>
      <c r="CM767" s="33"/>
      <c r="CN767" s="33"/>
      <c r="CO767" s="33"/>
      <c r="CP767" s="33"/>
      <c r="CQ767" s="33"/>
      <c r="CR767" s="33"/>
      <c r="CS767" s="33"/>
      <c r="CT767" s="33"/>
      <c r="CU767" s="33"/>
      <c r="CV767" s="33"/>
      <c r="CW767" s="33"/>
      <c r="CX767" s="33"/>
      <c r="CY767" s="33"/>
      <c r="CZ767" s="33"/>
      <c r="DA767" s="33"/>
      <c r="DB767" s="33"/>
      <c r="DC767" s="33"/>
      <c r="DD767" s="33"/>
      <c r="DE767" s="33"/>
      <c r="DF767" s="33"/>
      <c r="DG767" s="33"/>
      <c r="DH767" s="33"/>
      <c r="DI767" s="33"/>
      <c r="DJ767" s="33"/>
      <c r="DK767" s="33"/>
      <c r="DL767" s="33"/>
      <c r="DM767" s="33"/>
      <c r="DN767" s="33"/>
      <c r="DO767" s="33"/>
      <c r="DP767" s="33"/>
      <c r="DQ767" s="33"/>
      <c r="DR767" s="33"/>
      <c r="DS767" s="33"/>
      <c r="DT767" s="33"/>
      <c r="DU767" s="33"/>
      <c r="DV767" s="33"/>
      <c r="DW767" s="33"/>
      <c r="DX767" s="33"/>
      <c r="DY767" s="33"/>
      <c r="DZ767" s="33"/>
      <c r="EA767" s="33"/>
      <c r="EB767" s="33"/>
      <c r="EC767" s="33"/>
      <c r="ED767" s="33"/>
      <c r="EE767" s="33"/>
      <c r="EF767" s="33"/>
      <c r="EG767" s="33"/>
      <c r="EH767" s="33"/>
      <c r="EI767" s="33"/>
      <c r="EJ767" s="33"/>
      <c r="EK767" s="33"/>
      <c r="EL767" s="33"/>
      <c r="EM767" s="33"/>
      <c r="EN767" s="33"/>
      <c r="EO767" s="33"/>
      <c r="EP767" s="33"/>
      <c r="EQ767" s="33"/>
      <c r="ER767" s="33"/>
      <c r="ES767" s="33"/>
    </row>
    <row r="768">
      <c r="A768" s="33"/>
      <c r="B768" s="33"/>
      <c r="C768" s="33"/>
      <c r="D768" s="33"/>
      <c r="E768" s="33"/>
      <c r="F768" s="33"/>
      <c r="G768" s="85"/>
      <c r="H768" s="85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33"/>
      <c r="Y768" s="33"/>
      <c r="Z768" s="33"/>
      <c r="AA768" s="33"/>
      <c r="AB768" s="33"/>
      <c r="AC768" s="33"/>
      <c r="AD768" s="33"/>
      <c r="AE768" s="33"/>
      <c r="AF768" s="33"/>
      <c r="AG768" s="33"/>
      <c r="AH768" s="33"/>
      <c r="AI768" s="33"/>
      <c r="AJ768" s="33"/>
      <c r="AK768" s="33"/>
      <c r="AL768" s="33"/>
      <c r="AM768" s="33"/>
      <c r="AN768" s="33"/>
      <c r="AO768" s="33"/>
      <c r="AP768" s="33"/>
      <c r="AQ768" s="33"/>
      <c r="AR768" s="33"/>
      <c r="AS768" s="33"/>
      <c r="AT768" s="33"/>
      <c r="AU768" s="33"/>
      <c r="AV768" s="33"/>
      <c r="AW768" s="33"/>
      <c r="AX768" s="33"/>
      <c r="AY768" s="33"/>
      <c r="AZ768" s="33"/>
      <c r="BA768" s="33"/>
      <c r="BB768" s="33"/>
      <c r="BC768" s="33"/>
      <c r="BD768" s="33"/>
      <c r="BE768" s="33"/>
      <c r="BF768" s="33"/>
      <c r="BG768" s="33"/>
      <c r="BH768" s="33"/>
      <c r="BI768" s="33"/>
      <c r="BJ768" s="33"/>
      <c r="BK768" s="33"/>
      <c r="BL768" s="33"/>
      <c r="BM768" s="33"/>
      <c r="BN768" s="33"/>
      <c r="BO768" s="33"/>
      <c r="BP768" s="33"/>
      <c r="BQ768" s="33"/>
      <c r="BR768" s="33"/>
      <c r="BS768" s="33"/>
      <c r="BT768" s="33"/>
      <c r="BU768" s="33"/>
      <c r="BV768" s="33"/>
      <c r="BW768" s="33"/>
      <c r="BX768" s="33"/>
      <c r="BY768" s="33"/>
      <c r="BZ768" s="33"/>
      <c r="CA768" s="33"/>
      <c r="CB768" s="33"/>
      <c r="CC768" s="33"/>
      <c r="CD768" s="33"/>
      <c r="CE768" s="33"/>
      <c r="CF768" s="33"/>
      <c r="CG768" s="33"/>
      <c r="CH768" s="33"/>
      <c r="CI768" s="33"/>
      <c r="CJ768" s="33"/>
      <c r="CK768" s="33"/>
      <c r="CL768" s="33"/>
      <c r="CM768" s="33"/>
      <c r="CN768" s="33"/>
      <c r="CO768" s="33"/>
      <c r="CP768" s="33"/>
      <c r="CQ768" s="33"/>
      <c r="CR768" s="33"/>
      <c r="CS768" s="33"/>
      <c r="CT768" s="33"/>
      <c r="CU768" s="33"/>
      <c r="CV768" s="33"/>
      <c r="CW768" s="33"/>
      <c r="CX768" s="33"/>
      <c r="CY768" s="33"/>
      <c r="CZ768" s="33"/>
      <c r="DA768" s="33"/>
      <c r="DB768" s="33"/>
      <c r="DC768" s="33"/>
      <c r="DD768" s="33"/>
      <c r="DE768" s="33"/>
      <c r="DF768" s="33"/>
      <c r="DG768" s="33"/>
      <c r="DH768" s="33"/>
      <c r="DI768" s="33"/>
      <c r="DJ768" s="33"/>
      <c r="DK768" s="33"/>
      <c r="DL768" s="33"/>
      <c r="DM768" s="33"/>
      <c r="DN768" s="33"/>
      <c r="DO768" s="33"/>
      <c r="DP768" s="33"/>
      <c r="DQ768" s="33"/>
      <c r="DR768" s="33"/>
      <c r="DS768" s="33"/>
      <c r="DT768" s="33"/>
      <c r="DU768" s="33"/>
      <c r="DV768" s="33"/>
      <c r="DW768" s="33"/>
      <c r="DX768" s="33"/>
      <c r="DY768" s="33"/>
      <c r="DZ768" s="33"/>
      <c r="EA768" s="33"/>
      <c r="EB768" s="33"/>
      <c r="EC768" s="33"/>
      <c r="ED768" s="33"/>
      <c r="EE768" s="33"/>
      <c r="EF768" s="33"/>
      <c r="EG768" s="33"/>
      <c r="EH768" s="33"/>
      <c r="EI768" s="33"/>
      <c r="EJ768" s="33"/>
      <c r="EK768" s="33"/>
      <c r="EL768" s="33"/>
      <c r="EM768" s="33"/>
      <c r="EN768" s="33"/>
      <c r="EO768" s="33"/>
      <c r="EP768" s="33"/>
      <c r="EQ768" s="33"/>
      <c r="ER768" s="33"/>
      <c r="ES768" s="33"/>
    </row>
    <row r="769">
      <c r="A769" s="33"/>
      <c r="B769" s="33"/>
      <c r="C769" s="33"/>
      <c r="D769" s="33"/>
      <c r="E769" s="33"/>
      <c r="F769" s="33"/>
      <c r="G769" s="85"/>
      <c r="H769" s="85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33"/>
      <c r="Y769" s="33"/>
      <c r="Z769" s="33"/>
      <c r="AA769" s="33"/>
      <c r="AB769" s="33"/>
      <c r="AC769" s="33"/>
      <c r="AD769" s="33"/>
      <c r="AE769" s="33"/>
      <c r="AF769" s="33"/>
      <c r="AG769" s="33"/>
      <c r="AH769" s="33"/>
      <c r="AI769" s="33"/>
      <c r="AJ769" s="33"/>
      <c r="AK769" s="33"/>
      <c r="AL769" s="33"/>
      <c r="AM769" s="33"/>
      <c r="AN769" s="33"/>
      <c r="AO769" s="33"/>
      <c r="AP769" s="33"/>
      <c r="AQ769" s="33"/>
      <c r="AR769" s="33"/>
      <c r="AS769" s="33"/>
      <c r="AT769" s="33"/>
      <c r="AU769" s="33"/>
      <c r="AV769" s="33"/>
      <c r="AW769" s="33"/>
      <c r="AX769" s="33"/>
      <c r="AY769" s="33"/>
      <c r="AZ769" s="33"/>
      <c r="BA769" s="33"/>
      <c r="BB769" s="33"/>
      <c r="BC769" s="33"/>
      <c r="BD769" s="33"/>
      <c r="BE769" s="33"/>
      <c r="BF769" s="33"/>
      <c r="BG769" s="33"/>
      <c r="BH769" s="33"/>
      <c r="BI769" s="33"/>
      <c r="BJ769" s="33"/>
      <c r="BK769" s="33"/>
      <c r="BL769" s="33"/>
      <c r="BM769" s="33"/>
      <c r="BN769" s="33"/>
      <c r="BO769" s="33"/>
      <c r="BP769" s="33"/>
      <c r="BQ769" s="33"/>
      <c r="BR769" s="33"/>
      <c r="BS769" s="33"/>
      <c r="BT769" s="33"/>
      <c r="BU769" s="33"/>
      <c r="BV769" s="33"/>
      <c r="BW769" s="33"/>
      <c r="BX769" s="33"/>
      <c r="BY769" s="33"/>
      <c r="BZ769" s="33"/>
      <c r="CA769" s="33"/>
      <c r="CB769" s="33"/>
      <c r="CC769" s="33"/>
      <c r="CD769" s="33"/>
      <c r="CE769" s="33"/>
      <c r="CF769" s="33"/>
      <c r="CG769" s="33"/>
      <c r="CH769" s="33"/>
      <c r="CI769" s="33"/>
      <c r="CJ769" s="33"/>
      <c r="CK769" s="33"/>
      <c r="CL769" s="33"/>
      <c r="CM769" s="33"/>
      <c r="CN769" s="33"/>
      <c r="CO769" s="33"/>
      <c r="CP769" s="33"/>
      <c r="CQ769" s="33"/>
      <c r="CR769" s="33"/>
      <c r="CS769" s="33"/>
      <c r="CT769" s="33"/>
      <c r="CU769" s="33"/>
      <c r="CV769" s="33"/>
      <c r="CW769" s="33"/>
      <c r="CX769" s="33"/>
      <c r="CY769" s="33"/>
      <c r="CZ769" s="33"/>
      <c r="DA769" s="33"/>
      <c r="DB769" s="33"/>
      <c r="DC769" s="33"/>
      <c r="DD769" s="33"/>
      <c r="DE769" s="33"/>
      <c r="DF769" s="33"/>
      <c r="DG769" s="33"/>
      <c r="DH769" s="33"/>
      <c r="DI769" s="33"/>
      <c r="DJ769" s="33"/>
      <c r="DK769" s="33"/>
      <c r="DL769" s="33"/>
      <c r="DM769" s="33"/>
      <c r="DN769" s="33"/>
      <c r="DO769" s="33"/>
      <c r="DP769" s="33"/>
      <c r="DQ769" s="33"/>
      <c r="DR769" s="33"/>
      <c r="DS769" s="33"/>
      <c r="DT769" s="33"/>
      <c r="DU769" s="33"/>
      <c r="DV769" s="33"/>
      <c r="DW769" s="33"/>
      <c r="DX769" s="33"/>
      <c r="DY769" s="33"/>
      <c r="DZ769" s="33"/>
      <c r="EA769" s="33"/>
      <c r="EB769" s="33"/>
      <c r="EC769" s="33"/>
      <c r="ED769" s="33"/>
      <c r="EE769" s="33"/>
      <c r="EF769" s="33"/>
      <c r="EG769" s="33"/>
      <c r="EH769" s="33"/>
      <c r="EI769" s="33"/>
      <c r="EJ769" s="33"/>
      <c r="EK769" s="33"/>
      <c r="EL769" s="33"/>
      <c r="EM769" s="33"/>
      <c r="EN769" s="33"/>
      <c r="EO769" s="33"/>
      <c r="EP769" s="33"/>
      <c r="EQ769" s="33"/>
      <c r="ER769" s="33"/>
      <c r="ES769" s="33"/>
    </row>
    <row r="770">
      <c r="A770" s="33"/>
      <c r="B770" s="33"/>
      <c r="C770" s="33"/>
      <c r="D770" s="33"/>
      <c r="E770" s="33"/>
      <c r="F770" s="33"/>
      <c r="G770" s="85"/>
      <c r="H770" s="85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33"/>
      <c r="Y770" s="33"/>
      <c r="Z770" s="33"/>
      <c r="AA770" s="33"/>
      <c r="AB770" s="33"/>
      <c r="AC770" s="33"/>
      <c r="AD770" s="33"/>
      <c r="AE770" s="33"/>
      <c r="AF770" s="33"/>
      <c r="AG770" s="33"/>
      <c r="AH770" s="33"/>
      <c r="AI770" s="33"/>
      <c r="AJ770" s="33"/>
      <c r="AK770" s="33"/>
      <c r="AL770" s="33"/>
      <c r="AM770" s="33"/>
      <c r="AN770" s="33"/>
      <c r="AO770" s="33"/>
      <c r="AP770" s="33"/>
      <c r="AQ770" s="33"/>
      <c r="AR770" s="33"/>
      <c r="AS770" s="33"/>
      <c r="AT770" s="33"/>
      <c r="AU770" s="33"/>
      <c r="AV770" s="33"/>
      <c r="AW770" s="33"/>
      <c r="AX770" s="33"/>
      <c r="AY770" s="33"/>
      <c r="AZ770" s="33"/>
      <c r="BA770" s="33"/>
      <c r="BB770" s="33"/>
      <c r="BC770" s="33"/>
      <c r="BD770" s="33"/>
      <c r="BE770" s="33"/>
      <c r="BF770" s="33"/>
      <c r="BG770" s="33"/>
      <c r="BH770" s="33"/>
      <c r="BI770" s="33"/>
      <c r="BJ770" s="33"/>
      <c r="BK770" s="33"/>
      <c r="BL770" s="33"/>
      <c r="BM770" s="33"/>
      <c r="BN770" s="33"/>
      <c r="BO770" s="33"/>
      <c r="BP770" s="33"/>
      <c r="BQ770" s="33"/>
      <c r="BR770" s="33"/>
      <c r="BS770" s="33"/>
      <c r="BT770" s="33"/>
      <c r="BU770" s="33"/>
      <c r="BV770" s="33"/>
      <c r="BW770" s="33"/>
      <c r="BX770" s="33"/>
      <c r="BY770" s="33"/>
      <c r="BZ770" s="33"/>
      <c r="CA770" s="33"/>
      <c r="CB770" s="33"/>
      <c r="CC770" s="33"/>
      <c r="CD770" s="33"/>
      <c r="CE770" s="33"/>
      <c r="CF770" s="33"/>
      <c r="CG770" s="33"/>
      <c r="CH770" s="33"/>
      <c r="CI770" s="33"/>
      <c r="CJ770" s="33"/>
      <c r="CK770" s="33"/>
      <c r="CL770" s="33"/>
      <c r="CM770" s="33"/>
      <c r="CN770" s="33"/>
      <c r="CO770" s="33"/>
      <c r="CP770" s="33"/>
      <c r="CQ770" s="33"/>
      <c r="CR770" s="33"/>
      <c r="CS770" s="33"/>
      <c r="CT770" s="33"/>
      <c r="CU770" s="33"/>
      <c r="CV770" s="33"/>
      <c r="CW770" s="33"/>
      <c r="CX770" s="33"/>
      <c r="CY770" s="33"/>
      <c r="CZ770" s="33"/>
      <c r="DA770" s="33"/>
      <c r="DB770" s="33"/>
      <c r="DC770" s="33"/>
      <c r="DD770" s="33"/>
      <c r="DE770" s="33"/>
      <c r="DF770" s="33"/>
      <c r="DG770" s="33"/>
      <c r="DH770" s="33"/>
      <c r="DI770" s="33"/>
      <c r="DJ770" s="33"/>
      <c r="DK770" s="33"/>
      <c r="DL770" s="33"/>
      <c r="DM770" s="33"/>
      <c r="DN770" s="33"/>
      <c r="DO770" s="33"/>
      <c r="DP770" s="33"/>
      <c r="DQ770" s="33"/>
      <c r="DR770" s="33"/>
      <c r="DS770" s="33"/>
      <c r="DT770" s="33"/>
      <c r="DU770" s="33"/>
      <c r="DV770" s="33"/>
      <c r="DW770" s="33"/>
      <c r="DX770" s="33"/>
      <c r="DY770" s="33"/>
      <c r="DZ770" s="33"/>
      <c r="EA770" s="33"/>
      <c r="EB770" s="33"/>
      <c r="EC770" s="33"/>
      <c r="ED770" s="33"/>
      <c r="EE770" s="33"/>
      <c r="EF770" s="33"/>
      <c r="EG770" s="33"/>
      <c r="EH770" s="33"/>
      <c r="EI770" s="33"/>
      <c r="EJ770" s="33"/>
      <c r="EK770" s="33"/>
      <c r="EL770" s="33"/>
      <c r="EM770" s="33"/>
      <c r="EN770" s="33"/>
      <c r="EO770" s="33"/>
      <c r="EP770" s="33"/>
      <c r="EQ770" s="33"/>
      <c r="ER770" s="33"/>
      <c r="ES770" s="33"/>
    </row>
    <row r="771">
      <c r="A771" s="33"/>
      <c r="B771" s="33"/>
      <c r="C771" s="33"/>
      <c r="D771" s="33"/>
      <c r="E771" s="33"/>
      <c r="F771" s="33"/>
      <c r="G771" s="85"/>
      <c r="H771" s="85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33"/>
      <c r="Y771" s="33"/>
      <c r="Z771" s="33"/>
      <c r="AA771" s="33"/>
      <c r="AB771" s="33"/>
      <c r="AC771" s="33"/>
      <c r="AD771" s="33"/>
      <c r="AE771" s="33"/>
      <c r="AF771" s="33"/>
      <c r="AG771" s="33"/>
      <c r="AH771" s="33"/>
      <c r="AI771" s="33"/>
      <c r="AJ771" s="33"/>
      <c r="AK771" s="33"/>
      <c r="AL771" s="33"/>
      <c r="AM771" s="33"/>
      <c r="AN771" s="33"/>
      <c r="AO771" s="33"/>
      <c r="AP771" s="33"/>
      <c r="AQ771" s="33"/>
      <c r="AR771" s="33"/>
      <c r="AS771" s="33"/>
      <c r="AT771" s="33"/>
      <c r="AU771" s="33"/>
      <c r="AV771" s="33"/>
      <c r="AW771" s="33"/>
      <c r="AX771" s="33"/>
      <c r="AY771" s="33"/>
      <c r="AZ771" s="33"/>
      <c r="BA771" s="33"/>
      <c r="BB771" s="33"/>
      <c r="BC771" s="33"/>
      <c r="BD771" s="33"/>
      <c r="BE771" s="33"/>
      <c r="BF771" s="33"/>
      <c r="BG771" s="33"/>
      <c r="BH771" s="33"/>
      <c r="BI771" s="33"/>
      <c r="BJ771" s="33"/>
      <c r="BK771" s="33"/>
      <c r="BL771" s="33"/>
      <c r="BM771" s="33"/>
      <c r="BN771" s="33"/>
      <c r="BO771" s="33"/>
      <c r="BP771" s="33"/>
      <c r="BQ771" s="33"/>
      <c r="BR771" s="33"/>
      <c r="BS771" s="33"/>
      <c r="BT771" s="33"/>
      <c r="BU771" s="33"/>
      <c r="BV771" s="33"/>
      <c r="BW771" s="33"/>
      <c r="BX771" s="33"/>
      <c r="BY771" s="33"/>
      <c r="BZ771" s="33"/>
      <c r="CA771" s="33"/>
      <c r="CB771" s="33"/>
      <c r="CC771" s="33"/>
      <c r="CD771" s="33"/>
      <c r="CE771" s="33"/>
      <c r="CF771" s="33"/>
      <c r="CG771" s="33"/>
      <c r="CH771" s="33"/>
      <c r="CI771" s="33"/>
      <c r="CJ771" s="33"/>
      <c r="CK771" s="33"/>
      <c r="CL771" s="33"/>
      <c r="CM771" s="33"/>
      <c r="CN771" s="33"/>
      <c r="CO771" s="33"/>
      <c r="CP771" s="33"/>
      <c r="CQ771" s="33"/>
      <c r="CR771" s="33"/>
      <c r="CS771" s="33"/>
      <c r="CT771" s="33"/>
      <c r="CU771" s="33"/>
      <c r="CV771" s="33"/>
      <c r="CW771" s="33"/>
      <c r="CX771" s="33"/>
      <c r="CY771" s="33"/>
      <c r="CZ771" s="33"/>
      <c r="DA771" s="33"/>
      <c r="DB771" s="33"/>
      <c r="DC771" s="33"/>
      <c r="DD771" s="33"/>
      <c r="DE771" s="33"/>
      <c r="DF771" s="33"/>
      <c r="DG771" s="33"/>
      <c r="DH771" s="33"/>
      <c r="DI771" s="33"/>
      <c r="DJ771" s="33"/>
      <c r="DK771" s="33"/>
      <c r="DL771" s="33"/>
      <c r="DM771" s="33"/>
      <c r="DN771" s="33"/>
      <c r="DO771" s="33"/>
      <c r="DP771" s="33"/>
      <c r="DQ771" s="33"/>
      <c r="DR771" s="33"/>
      <c r="DS771" s="33"/>
      <c r="DT771" s="33"/>
      <c r="DU771" s="33"/>
      <c r="DV771" s="33"/>
      <c r="DW771" s="33"/>
      <c r="DX771" s="33"/>
      <c r="DY771" s="33"/>
      <c r="DZ771" s="33"/>
      <c r="EA771" s="33"/>
      <c r="EB771" s="33"/>
      <c r="EC771" s="33"/>
      <c r="ED771" s="33"/>
      <c r="EE771" s="33"/>
      <c r="EF771" s="33"/>
      <c r="EG771" s="33"/>
      <c r="EH771" s="33"/>
      <c r="EI771" s="33"/>
      <c r="EJ771" s="33"/>
      <c r="EK771" s="33"/>
      <c r="EL771" s="33"/>
      <c r="EM771" s="33"/>
      <c r="EN771" s="33"/>
      <c r="EO771" s="33"/>
      <c r="EP771" s="33"/>
      <c r="EQ771" s="33"/>
      <c r="ER771" s="33"/>
      <c r="ES771" s="33"/>
    </row>
    <row r="772">
      <c r="A772" s="33"/>
      <c r="B772" s="33"/>
      <c r="C772" s="33"/>
      <c r="D772" s="33"/>
      <c r="E772" s="33"/>
      <c r="F772" s="33"/>
      <c r="G772" s="85"/>
      <c r="H772" s="85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33"/>
      <c r="Y772" s="33"/>
      <c r="Z772" s="33"/>
      <c r="AA772" s="33"/>
      <c r="AB772" s="33"/>
      <c r="AC772" s="33"/>
      <c r="AD772" s="33"/>
      <c r="AE772" s="33"/>
      <c r="AF772" s="33"/>
      <c r="AG772" s="33"/>
      <c r="AH772" s="33"/>
      <c r="AI772" s="33"/>
      <c r="AJ772" s="33"/>
      <c r="AK772" s="33"/>
      <c r="AL772" s="33"/>
      <c r="AM772" s="33"/>
      <c r="AN772" s="33"/>
      <c r="AO772" s="33"/>
      <c r="AP772" s="33"/>
      <c r="AQ772" s="33"/>
      <c r="AR772" s="33"/>
      <c r="AS772" s="33"/>
      <c r="AT772" s="33"/>
      <c r="AU772" s="33"/>
      <c r="AV772" s="33"/>
      <c r="AW772" s="33"/>
      <c r="AX772" s="33"/>
      <c r="AY772" s="33"/>
      <c r="AZ772" s="33"/>
      <c r="BA772" s="33"/>
      <c r="BB772" s="33"/>
      <c r="BC772" s="33"/>
      <c r="BD772" s="33"/>
      <c r="BE772" s="33"/>
      <c r="BF772" s="33"/>
      <c r="BG772" s="33"/>
      <c r="BH772" s="33"/>
      <c r="BI772" s="33"/>
      <c r="BJ772" s="33"/>
      <c r="BK772" s="33"/>
      <c r="BL772" s="33"/>
      <c r="BM772" s="33"/>
      <c r="BN772" s="33"/>
      <c r="BO772" s="33"/>
      <c r="BP772" s="33"/>
      <c r="BQ772" s="33"/>
      <c r="BR772" s="33"/>
      <c r="BS772" s="33"/>
      <c r="BT772" s="33"/>
      <c r="BU772" s="33"/>
      <c r="BV772" s="33"/>
      <c r="BW772" s="33"/>
      <c r="BX772" s="33"/>
      <c r="BY772" s="33"/>
      <c r="BZ772" s="33"/>
      <c r="CA772" s="33"/>
      <c r="CB772" s="33"/>
      <c r="CC772" s="33"/>
      <c r="CD772" s="33"/>
      <c r="CE772" s="33"/>
      <c r="CF772" s="33"/>
      <c r="CG772" s="33"/>
      <c r="CH772" s="33"/>
      <c r="CI772" s="33"/>
      <c r="CJ772" s="33"/>
      <c r="CK772" s="33"/>
      <c r="CL772" s="33"/>
      <c r="CM772" s="33"/>
      <c r="CN772" s="33"/>
      <c r="CO772" s="33"/>
      <c r="CP772" s="33"/>
      <c r="CQ772" s="33"/>
      <c r="CR772" s="33"/>
      <c r="CS772" s="33"/>
      <c r="CT772" s="33"/>
      <c r="CU772" s="33"/>
      <c r="CV772" s="33"/>
      <c r="CW772" s="33"/>
      <c r="CX772" s="33"/>
      <c r="CY772" s="33"/>
      <c r="CZ772" s="33"/>
      <c r="DA772" s="33"/>
      <c r="DB772" s="33"/>
      <c r="DC772" s="33"/>
      <c r="DD772" s="33"/>
      <c r="DE772" s="33"/>
      <c r="DF772" s="33"/>
      <c r="DG772" s="33"/>
      <c r="DH772" s="33"/>
      <c r="DI772" s="33"/>
      <c r="DJ772" s="33"/>
      <c r="DK772" s="33"/>
      <c r="DL772" s="33"/>
      <c r="DM772" s="33"/>
      <c r="DN772" s="33"/>
      <c r="DO772" s="33"/>
      <c r="DP772" s="33"/>
      <c r="DQ772" s="33"/>
      <c r="DR772" s="33"/>
      <c r="DS772" s="33"/>
      <c r="DT772" s="33"/>
      <c r="DU772" s="33"/>
      <c r="DV772" s="33"/>
      <c r="DW772" s="33"/>
      <c r="DX772" s="33"/>
      <c r="DY772" s="33"/>
      <c r="DZ772" s="33"/>
      <c r="EA772" s="33"/>
      <c r="EB772" s="33"/>
      <c r="EC772" s="33"/>
      <c r="ED772" s="33"/>
      <c r="EE772" s="33"/>
      <c r="EF772" s="33"/>
      <c r="EG772" s="33"/>
      <c r="EH772" s="33"/>
      <c r="EI772" s="33"/>
      <c r="EJ772" s="33"/>
      <c r="EK772" s="33"/>
      <c r="EL772" s="33"/>
      <c r="EM772" s="33"/>
      <c r="EN772" s="33"/>
      <c r="EO772" s="33"/>
      <c r="EP772" s="33"/>
      <c r="EQ772" s="33"/>
      <c r="ER772" s="33"/>
      <c r="ES772" s="33"/>
    </row>
    <row r="773">
      <c r="A773" s="33"/>
      <c r="B773" s="33"/>
      <c r="C773" s="33"/>
      <c r="D773" s="33"/>
      <c r="E773" s="33"/>
      <c r="F773" s="33"/>
      <c r="G773" s="85"/>
      <c r="H773" s="85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33"/>
      <c r="Y773" s="33"/>
      <c r="Z773" s="33"/>
      <c r="AA773" s="33"/>
      <c r="AB773" s="33"/>
      <c r="AC773" s="33"/>
      <c r="AD773" s="33"/>
      <c r="AE773" s="33"/>
      <c r="AF773" s="33"/>
      <c r="AG773" s="33"/>
      <c r="AH773" s="33"/>
      <c r="AI773" s="33"/>
      <c r="AJ773" s="33"/>
      <c r="AK773" s="33"/>
      <c r="AL773" s="33"/>
      <c r="AM773" s="33"/>
      <c r="AN773" s="33"/>
      <c r="AO773" s="33"/>
      <c r="AP773" s="33"/>
      <c r="AQ773" s="33"/>
      <c r="AR773" s="33"/>
      <c r="AS773" s="33"/>
      <c r="AT773" s="33"/>
      <c r="AU773" s="33"/>
      <c r="AV773" s="33"/>
      <c r="AW773" s="33"/>
      <c r="AX773" s="33"/>
      <c r="AY773" s="33"/>
      <c r="AZ773" s="33"/>
      <c r="BA773" s="33"/>
      <c r="BB773" s="33"/>
      <c r="BC773" s="33"/>
      <c r="BD773" s="33"/>
      <c r="BE773" s="33"/>
      <c r="BF773" s="33"/>
      <c r="BG773" s="33"/>
      <c r="BH773" s="33"/>
      <c r="BI773" s="33"/>
      <c r="BJ773" s="33"/>
      <c r="BK773" s="33"/>
      <c r="BL773" s="33"/>
      <c r="BM773" s="33"/>
      <c r="BN773" s="33"/>
      <c r="BO773" s="33"/>
      <c r="BP773" s="33"/>
      <c r="BQ773" s="33"/>
      <c r="BR773" s="33"/>
      <c r="BS773" s="33"/>
      <c r="BT773" s="33"/>
      <c r="BU773" s="33"/>
      <c r="BV773" s="33"/>
      <c r="BW773" s="33"/>
      <c r="BX773" s="33"/>
      <c r="BY773" s="33"/>
      <c r="BZ773" s="33"/>
      <c r="CA773" s="33"/>
      <c r="CB773" s="33"/>
      <c r="CC773" s="33"/>
      <c r="CD773" s="33"/>
      <c r="CE773" s="33"/>
      <c r="CF773" s="33"/>
      <c r="CG773" s="33"/>
      <c r="CH773" s="33"/>
      <c r="CI773" s="33"/>
      <c r="CJ773" s="33"/>
      <c r="CK773" s="33"/>
      <c r="CL773" s="33"/>
      <c r="CM773" s="33"/>
      <c r="CN773" s="33"/>
      <c r="CO773" s="33"/>
      <c r="CP773" s="33"/>
      <c r="CQ773" s="33"/>
      <c r="CR773" s="33"/>
      <c r="CS773" s="33"/>
      <c r="CT773" s="33"/>
      <c r="CU773" s="33"/>
      <c r="CV773" s="33"/>
      <c r="CW773" s="33"/>
      <c r="CX773" s="33"/>
      <c r="CY773" s="33"/>
      <c r="CZ773" s="33"/>
      <c r="DA773" s="33"/>
      <c r="DB773" s="33"/>
      <c r="DC773" s="33"/>
      <c r="DD773" s="33"/>
      <c r="DE773" s="33"/>
      <c r="DF773" s="33"/>
      <c r="DG773" s="33"/>
      <c r="DH773" s="33"/>
      <c r="DI773" s="33"/>
      <c r="DJ773" s="33"/>
      <c r="DK773" s="33"/>
      <c r="DL773" s="33"/>
      <c r="DM773" s="33"/>
      <c r="DN773" s="33"/>
      <c r="DO773" s="33"/>
      <c r="DP773" s="33"/>
      <c r="DQ773" s="33"/>
      <c r="DR773" s="33"/>
      <c r="DS773" s="33"/>
      <c r="DT773" s="33"/>
      <c r="DU773" s="33"/>
      <c r="DV773" s="33"/>
      <c r="DW773" s="33"/>
      <c r="DX773" s="33"/>
      <c r="DY773" s="33"/>
      <c r="DZ773" s="33"/>
      <c r="EA773" s="33"/>
      <c r="EB773" s="33"/>
      <c r="EC773" s="33"/>
      <c r="ED773" s="33"/>
      <c r="EE773" s="33"/>
      <c r="EF773" s="33"/>
      <c r="EG773" s="33"/>
      <c r="EH773" s="33"/>
      <c r="EI773" s="33"/>
      <c r="EJ773" s="33"/>
      <c r="EK773" s="33"/>
      <c r="EL773" s="33"/>
      <c r="EM773" s="33"/>
      <c r="EN773" s="33"/>
      <c r="EO773" s="33"/>
      <c r="EP773" s="33"/>
      <c r="EQ773" s="33"/>
      <c r="ER773" s="33"/>
      <c r="ES773" s="33"/>
    </row>
    <row r="774">
      <c r="A774" s="33"/>
      <c r="B774" s="33"/>
      <c r="C774" s="33"/>
      <c r="D774" s="33"/>
      <c r="E774" s="33"/>
      <c r="F774" s="33"/>
      <c r="G774" s="85"/>
      <c r="H774" s="85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33"/>
      <c r="Y774" s="33"/>
      <c r="Z774" s="33"/>
      <c r="AA774" s="33"/>
      <c r="AB774" s="33"/>
      <c r="AC774" s="33"/>
      <c r="AD774" s="33"/>
      <c r="AE774" s="33"/>
      <c r="AF774" s="33"/>
      <c r="AG774" s="33"/>
      <c r="AH774" s="33"/>
      <c r="AI774" s="33"/>
      <c r="AJ774" s="33"/>
      <c r="AK774" s="33"/>
      <c r="AL774" s="33"/>
      <c r="AM774" s="33"/>
      <c r="AN774" s="33"/>
      <c r="AO774" s="33"/>
      <c r="AP774" s="33"/>
      <c r="AQ774" s="33"/>
      <c r="AR774" s="33"/>
      <c r="AS774" s="33"/>
      <c r="AT774" s="33"/>
      <c r="AU774" s="33"/>
      <c r="AV774" s="33"/>
      <c r="AW774" s="33"/>
      <c r="AX774" s="33"/>
      <c r="AY774" s="33"/>
      <c r="AZ774" s="33"/>
      <c r="BA774" s="33"/>
      <c r="BB774" s="33"/>
      <c r="BC774" s="33"/>
      <c r="BD774" s="33"/>
      <c r="BE774" s="33"/>
      <c r="BF774" s="33"/>
      <c r="BG774" s="33"/>
      <c r="BH774" s="33"/>
      <c r="BI774" s="33"/>
      <c r="BJ774" s="33"/>
      <c r="BK774" s="33"/>
      <c r="BL774" s="33"/>
      <c r="BM774" s="33"/>
      <c r="BN774" s="33"/>
      <c r="BO774" s="33"/>
      <c r="BP774" s="33"/>
      <c r="BQ774" s="33"/>
      <c r="BR774" s="33"/>
      <c r="BS774" s="33"/>
      <c r="BT774" s="33"/>
      <c r="BU774" s="33"/>
      <c r="BV774" s="33"/>
      <c r="BW774" s="33"/>
      <c r="BX774" s="33"/>
      <c r="BY774" s="33"/>
      <c r="BZ774" s="33"/>
      <c r="CA774" s="33"/>
      <c r="CB774" s="33"/>
      <c r="CC774" s="33"/>
      <c r="CD774" s="33"/>
      <c r="CE774" s="33"/>
      <c r="CF774" s="33"/>
      <c r="CG774" s="33"/>
      <c r="CH774" s="33"/>
      <c r="CI774" s="33"/>
      <c r="CJ774" s="33"/>
      <c r="CK774" s="33"/>
      <c r="CL774" s="33"/>
      <c r="CM774" s="33"/>
      <c r="CN774" s="33"/>
      <c r="CO774" s="33"/>
      <c r="CP774" s="33"/>
      <c r="CQ774" s="33"/>
      <c r="CR774" s="33"/>
      <c r="CS774" s="33"/>
      <c r="CT774" s="33"/>
      <c r="CU774" s="33"/>
      <c r="CV774" s="33"/>
      <c r="CW774" s="33"/>
      <c r="CX774" s="33"/>
      <c r="CY774" s="33"/>
      <c r="CZ774" s="33"/>
      <c r="DA774" s="33"/>
      <c r="DB774" s="33"/>
      <c r="DC774" s="33"/>
      <c r="DD774" s="33"/>
      <c r="DE774" s="33"/>
      <c r="DF774" s="33"/>
      <c r="DG774" s="33"/>
      <c r="DH774" s="33"/>
      <c r="DI774" s="33"/>
      <c r="DJ774" s="33"/>
      <c r="DK774" s="33"/>
      <c r="DL774" s="33"/>
      <c r="DM774" s="33"/>
      <c r="DN774" s="33"/>
      <c r="DO774" s="33"/>
      <c r="DP774" s="33"/>
      <c r="DQ774" s="33"/>
      <c r="DR774" s="33"/>
      <c r="DS774" s="33"/>
      <c r="DT774" s="33"/>
      <c r="DU774" s="33"/>
      <c r="DV774" s="33"/>
      <c r="DW774" s="33"/>
      <c r="DX774" s="33"/>
      <c r="DY774" s="33"/>
      <c r="DZ774" s="33"/>
      <c r="EA774" s="33"/>
      <c r="EB774" s="33"/>
      <c r="EC774" s="33"/>
      <c r="ED774" s="33"/>
      <c r="EE774" s="33"/>
      <c r="EF774" s="33"/>
      <c r="EG774" s="33"/>
      <c r="EH774" s="33"/>
      <c r="EI774" s="33"/>
      <c r="EJ774" s="33"/>
      <c r="EK774" s="33"/>
      <c r="EL774" s="33"/>
      <c r="EM774" s="33"/>
      <c r="EN774" s="33"/>
      <c r="EO774" s="33"/>
      <c r="EP774" s="33"/>
      <c r="EQ774" s="33"/>
      <c r="ER774" s="33"/>
      <c r="ES774" s="33"/>
    </row>
    <row r="775">
      <c r="A775" s="33"/>
      <c r="B775" s="33"/>
      <c r="C775" s="33"/>
      <c r="D775" s="33"/>
      <c r="E775" s="33"/>
      <c r="F775" s="33"/>
      <c r="G775" s="85"/>
      <c r="H775" s="85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33"/>
      <c r="Y775" s="33"/>
      <c r="Z775" s="33"/>
      <c r="AA775" s="33"/>
      <c r="AB775" s="33"/>
      <c r="AC775" s="33"/>
      <c r="AD775" s="33"/>
      <c r="AE775" s="33"/>
      <c r="AF775" s="33"/>
      <c r="AG775" s="33"/>
      <c r="AH775" s="33"/>
      <c r="AI775" s="33"/>
      <c r="AJ775" s="33"/>
      <c r="AK775" s="33"/>
      <c r="AL775" s="33"/>
      <c r="AM775" s="33"/>
      <c r="AN775" s="33"/>
      <c r="AO775" s="33"/>
      <c r="AP775" s="33"/>
      <c r="AQ775" s="33"/>
      <c r="AR775" s="33"/>
      <c r="AS775" s="33"/>
      <c r="AT775" s="33"/>
      <c r="AU775" s="33"/>
      <c r="AV775" s="33"/>
      <c r="AW775" s="33"/>
      <c r="AX775" s="33"/>
      <c r="AY775" s="33"/>
      <c r="AZ775" s="33"/>
      <c r="BA775" s="33"/>
      <c r="BB775" s="33"/>
      <c r="BC775" s="33"/>
      <c r="BD775" s="33"/>
      <c r="BE775" s="33"/>
      <c r="BF775" s="33"/>
      <c r="BG775" s="33"/>
      <c r="BH775" s="33"/>
      <c r="BI775" s="33"/>
      <c r="BJ775" s="33"/>
      <c r="BK775" s="33"/>
      <c r="BL775" s="33"/>
      <c r="BM775" s="33"/>
      <c r="BN775" s="33"/>
      <c r="BO775" s="33"/>
      <c r="BP775" s="33"/>
      <c r="BQ775" s="33"/>
      <c r="BR775" s="33"/>
      <c r="BS775" s="33"/>
      <c r="BT775" s="33"/>
      <c r="BU775" s="33"/>
      <c r="BV775" s="33"/>
      <c r="BW775" s="33"/>
      <c r="BX775" s="33"/>
      <c r="BY775" s="33"/>
      <c r="BZ775" s="33"/>
      <c r="CA775" s="33"/>
      <c r="CB775" s="33"/>
      <c r="CC775" s="33"/>
      <c r="CD775" s="33"/>
      <c r="CE775" s="33"/>
      <c r="CF775" s="33"/>
      <c r="CG775" s="33"/>
      <c r="CH775" s="33"/>
      <c r="CI775" s="33"/>
      <c r="CJ775" s="33"/>
      <c r="CK775" s="33"/>
      <c r="CL775" s="33"/>
      <c r="CM775" s="33"/>
      <c r="CN775" s="33"/>
      <c r="CO775" s="33"/>
      <c r="CP775" s="33"/>
      <c r="CQ775" s="33"/>
      <c r="CR775" s="33"/>
      <c r="CS775" s="33"/>
      <c r="CT775" s="33"/>
      <c r="CU775" s="33"/>
      <c r="CV775" s="33"/>
      <c r="CW775" s="33"/>
      <c r="CX775" s="33"/>
      <c r="CY775" s="33"/>
      <c r="CZ775" s="33"/>
      <c r="DA775" s="33"/>
      <c r="DB775" s="33"/>
      <c r="DC775" s="33"/>
      <c r="DD775" s="33"/>
      <c r="DE775" s="33"/>
      <c r="DF775" s="33"/>
      <c r="DG775" s="33"/>
      <c r="DH775" s="33"/>
      <c r="DI775" s="33"/>
      <c r="DJ775" s="33"/>
      <c r="DK775" s="33"/>
      <c r="DL775" s="33"/>
      <c r="DM775" s="33"/>
      <c r="DN775" s="33"/>
      <c r="DO775" s="33"/>
      <c r="DP775" s="33"/>
      <c r="DQ775" s="33"/>
      <c r="DR775" s="33"/>
      <c r="DS775" s="33"/>
      <c r="DT775" s="33"/>
      <c r="DU775" s="33"/>
      <c r="DV775" s="33"/>
      <c r="DW775" s="33"/>
      <c r="DX775" s="33"/>
      <c r="DY775" s="33"/>
      <c r="DZ775" s="33"/>
      <c r="EA775" s="33"/>
      <c r="EB775" s="33"/>
      <c r="EC775" s="33"/>
      <c r="ED775" s="33"/>
      <c r="EE775" s="33"/>
      <c r="EF775" s="33"/>
      <c r="EG775" s="33"/>
      <c r="EH775" s="33"/>
      <c r="EI775" s="33"/>
      <c r="EJ775" s="33"/>
      <c r="EK775" s="33"/>
      <c r="EL775" s="33"/>
      <c r="EM775" s="33"/>
      <c r="EN775" s="33"/>
      <c r="EO775" s="33"/>
      <c r="EP775" s="33"/>
      <c r="EQ775" s="33"/>
      <c r="ER775" s="33"/>
      <c r="ES775" s="33"/>
    </row>
    <row r="776">
      <c r="A776" s="33"/>
      <c r="B776" s="33"/>
      <c r="C776" s="33"/>
      <c r="D776" s="33"/>
      <c r="E776" s="33"/>
      <c r="F776" s="33"/>
      <c r="G776" s="85"/>
      <c r="H776" s="85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33"/>
      <c r="Y776" s="33"/>
      <c r="Z776" s="33"/>
      <c r="AA776" s="33"/>
      <c r="AB776" s="33"/>
      <c r="AC776" s="33"/>
      <c r="AD776" s="33"/>
      <c r="AE776" s="33"/>
      <c r="AF776" s="33"/>
      <c r="AG776" s="33"/>
      <c r="AH776" s="33"/>
      <c r="AI776" s="33"/>
      <c r="AJ776" s="33"/>
      <c r="AK776" s="33"/>
      <c r="AL776" s="33"/>
      <c r="AM776" s="33"/>
      <c r="AN776" s="33"/>
      <c r="AO776" s="33"/>
      <c r="AP776" s="33"/>
      <c r="AQ776" s="33"/>
      <c r="AR776" s="33"/>
      <c r="AS776" s="33"/>
      <c r="AT776" s="33"/>
      <c r="AU776" s="33"/>
      <c r="AV776" s="33"/>
      <c r="AW776" s="33"/>
      <c r="AX776" s="33"/>
      <c r="AY776" s="33"/>
      <c r="AZ776" s="33"/>
      <c r="BA776" s="33"/>
      <c r="BB776" s="33"/>
      <c r="BC776" s="33"/>
      <c r="BD776" s="33"/>
      <c r="BE776" s="33"/>
      <c r="BF776" s="33"/>
      <c r="BG776" s="33"/>
      <c r="BH776" s="33"/>
      <c r="BI776" s="33"/>
      <c r="BJ776" s="33"/>
      <c r="BK776" s="33"/>
      <c r="BL776" s="33"/>
      <c r="BM776" s="33"/>
      <c r="BN776" s="33"/>
      <c r="BO776" s="33"/>
      <c r="BP776" s="33"/>
      <c r="BQ776" s="33"/>
      <c r="BR776" s="33"/>
      <c r="BS776" s="33"/>
      <c r="BT776" s="33"/>
      <c r="BU776" s="33"/>
      <c r="BV776" s="33"/>
      <c r="BW776" s="33"/>
      <c r="BX776" s="33"/>
      <c r="BY776" s="33"/>
      <c r="BZ776" s="33"/>
      <c r="CA776" s="33"/>
      <c r="CB776" s="33"/>
      <c r="CC776" s="33"/>
      <c r="CD776" s="33"/>
      <c r="CE776" s="33"/>
      <c r="CF776" s="33"/>
      <c r="CG776" s="33"/>
      <c r="CH776" s="33"/>
      <c r="CI776" s="33"/>
      <c r="CJ776" s="33"/>
      <c r="CK776" s="33"/>
      <c r="CL776" s="33"/>
      <c r="CM776" s="33"/>
      <c r="CN776" s="33"/>
      <c r="CO776" s="33"/>
      <c r="CP776" s="33"/>
      <c r="CQ776" s="33"/>
      <c r="CR776" s="33"/>
      <c r="CS776" s="33"/>
      <c r="CT776" s="33"/>
      <c r="CU776" s="33"/>
      <c r="CV776" s="33"/>
      <c r="CW776" s="33"/>
      <c r="CX776" s="33"/>
      <c r="CY776" s="33"/>
      <c r="CZ776" s="33"/>
      <c r="DA776" s="33"/>
      <c r="DB776" s="33"/>
      <c r="DC776" s="33"/>
      <c r="DD776" s="33"/>
      <c r="DE776" s="33"/>
      <c r="DF776" s="33"/>
      <c r="DG776" s="33"/>
      <c r="DH776" s="33"/>
      <c r="DI776" s="33"/>
      <c r="DJ776" s="33"/>
      <c r="DK776" s="33"/>
      <c r="DL776" s="33"/>
      <c r="DM776" s="33"/>
      <c r="DN776" s="33"/>
      <c r="DO776" s="33"/>
      <c r="DP776" s="33"/>
      <c r="DQ776" s="33"/>
      <c r="DR776" s="33"/>
      <c r="DS776" s="33"/>
      <c r="DT776" s="33"/>
      <c r="DU776" s="33"/>
      <c r="DV776" s="33"/>
      <c r="DW776" s="33"/>
      <c r="DX776" s="33"/>
      <c r="DY776" s="33"/>
      <c r="DZ776" s="33"/>
      <c r="EA776" s="33"/>
      <c r="EB776" s="33"/>
      <c r="EC776" s="33"/>
      <c r="ED776" s="33"/>
      <c r="EE776" s="33"/>
      <c r="EF776" s="33"/>
      <c r="EG776" s="33"/>
      <c r="EH776" s="33"/>
      <c r="EI776" s="33"/>
      <c r="EJ776" s="33"/>
      <c r="EK776" s="33"/>
      <c r="EL776" s="33"/>
      <c r="EM776" s="33"/>
      <c r="EN776" s="33"/>
      <c r="EO776" s="33"/>
      <c r="EP776" s="33"/>
      <c r="EQ776" s="33"/>
      <c r="ER776" s="33"/>
      <c r="ES776" s="33"/>
    </row>
    <row r="777">
      <c r="A777" s="33"/>
      <c r="B777" s="33"/>
      <c r="C777" s="33"/>
      <c r="D777" s="33"/>
      <c r="E777" s="33"/>
      <c r="F777" s="33"/>
      <c r="G777" s="85"/>
      <c r="H777" s="85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33"/>
      <c r="Y777" s="33"/>
      <c r="Z777" s="33"/>
      <c r="AA777" s="33"/>
      <c r="AB777" s="33"/>
      <c r="AC777" s="33"/>
      <c r="AD777" s="33"/>
      <c r="AE777" s="33"/>
      <c r="AF777" s="33"/>
      <c r="AG777" s="33"/>
      <c r="AH777" s="33"/>
      <c r="AI777" s="33"/>
      <c r="AJ777" s="33"/>
      <c r="AK777" s="33"/>
      <c r="AL777" s="33"/>
      <c r="AM777" s="33"/>
      <c r="AN777" s="33"/>
      <c r="AO777" s="33"/>
      <c r="AP777" s="33"/>
      <c r="AQ777" s="33"/>
      <c r="AR777" s="33"/>
      <c r="AS777" s="33"/>
      <c r="AT777" s="33"/>
      <c r="AU777" s="33"/>
      <c r="AV777" s="33"/>
      <c r="AW777" s="33"/>
      <c r="AX777" s="33"/>
      <c r="AY777" s="33"/>
      <c r="AZ777" s="33"/>
      <c r="BA777" s="33"/>
      <c r="BB777" s="33"/>
      <c r="BC777" s="33"/>
      <c r="BD777" s="33"/>
      <c r="BE777" s="33"/>
      <c r="BF777" s="33"/>
      <c r="BG777" s="33"/>
      <c r="BH777" s="33"/>
      <c r="BI777" s="33"/>
      <c r="BJ777" s="33"/>
      <c r="BK777" s="33"/>
      <c r="BL777" s="33"/>
      <c r="BM777" s="33"/>
      <c r="BN777" s="33"/>
      <c r="BO777" s="33"/>
      <c r="BP777" s="33"/>
      <c r="BQ777" s="33"/>
      <c r="BR777" s="33"/>
      <c r="BS777" s="33"/>
      <c r="BT777" s="33"/>
      <c r="BU777" s="33"/>
      <c r="BV777" s="33"/>
      <c r="BW777" s="33"/>
      <c r="BX777" s="33"/>
      <c r="BY777" s="33"/>
      <c r="BZ777" s="33"/>
      <c r="CA777" s="33"/>
      <c r="CB777" s="33"/>
      <c r="CC777" s="33"/>
      <c r="CD777" s="33"/>
      <c r="CE777" s="33"/>
      <c r="CF777" s="33"/>
      <c r="CG777" s="33"/>
      <c r="CH777" s="33"/>
      <c r="CI777" s="33"/>
      <c r="CJ777" s="33"/>
      <c r="CK777" s="33"/>
      <c r="CL777" s="33"/>
      <c r="CM777" s="33"/>
      <c r="CN777" s="33"/>
      <c r="CO777" s="33"/>
      <c r="CP777" s="33"/>
      <c r="CQ777" s="33"/>
      <c r="CR777" s="33"/>
      <c r="CS777" s="33"/>
      <c r="CT777" s="33"/>
      <c r="CU777" s="33"/>
      <c r="CV777" s="33"/>
      <c r="CW777" s="33"/>
      <c r="CX777" s="33"/>
      <c r="CY777" s="33"/>
      <c r="CZ777" s="33"/>
      <c r="DA777" s="33"/>
      <c r="DB777" s="33"/>
      <c r="DC777" s="33"/>
      <c r="DD777" s="33"/>
      <c r="DE777" s="33"/>
      <c r="DF777" s="33"/>
      <c r="DG777" s="33"/>
      <c r="DH777" s="33"/>
      <c r="DI777" s="33"/>
      <c r="DJ777" s="33"/>
      <c r="DK777" s="33"/>
      <c r="DL777" s="33"/>
      <c r="DM777" s="33"/>
      <c r="DN777" s="33"/>
      <c r="DO777" s="33"/>
      <c r="DP777" s="33"/>
      <c r="DQ777" s="33"/>
      <c r="DR777" s="33"/>
      <c r="DS777" s="33"/>
      <c r="DT777" s="33"/>
      <c r="DU777" s="33"/>
      <c r="DV777" s="33"/>
      <c r="DW777" s="33"/>
      <c r="DX777" s="33"/>
      <c r="DY777" s="33"/>
      <c r="DZ777" s="33"/>
      <c r="EA777" s="33"/>
      <c r="EB777" s="33"/>
      <c r="EC777" s="33"/>
      <c r="ED777" s="33"/>
      <c r="EE777" s="33"/>
      <c r="EF777" s="33"/>
      <c r="EG777" s="33"/>
      <c r="EH777" s="33"/>
      <c r="EI777" s="33"/>
      <c r="EJ777" s="33"/>
      <c r="EK777" s="33"/>
      <c r="EL777" s="33"/>
      <c r="EM777" s="33"/>
      <c r="EN777" s="33"/>
      <c r="EO777" s="33"/>
      <c r="EP777" s="33"/>
      <c r="EQ777" s="33"/>
      <c r="ER777" s="33"/>
      <c r="ES777" s="33"/>
    </row>
    <row r="778">
      <c r="A778" s="33"/>
      <c r="B778" s="33"/>
      <c r="C778" s="33"/>
      <c r="D778" s="33"/>
      <c r="E778" s="33"/>
      <c r="F778" s="33"/>
      <c r="G778" s="85"/>
      <c r="H778" s="85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33"/>
      <c r="Y778" s="33"/>
      <c r="Z778" s="33"/>
      <c r="AA778" s="33"/>
      <c r="AB778" s="33"/>
      <c r="AC778" s="33"/>
      <c r="AD778" s="33"/>
      <c r="AE778" s="33"/>
      <c r="AF778" s="33"/>
      <c r="AG778" s="33"/>
      <c r="AH778" s="33"/>
      <c r="AI778" s="33"/>
      <c r="AJ778" s="33"/>
      <c r="AK778" s="33"/>
      <c r="AL778" s="33"/>
      <c r="AM778" s="33"/>
      <c r="AN778" s="33"/>
      <c r="AO778" s="33"/>
      <c r="AP778" s="33"/>
      <c r="AQ778" s="33"/>
      <c r="AR778" s="33"/>
      <c r="AS778" s="33"/>
      <c r="AT778" s="33"/>
      <c r="AU778" s="33"/>
      <c r="AV778" s="33"/>
      <c r="AW778" s="33"/>
      <c r="AX778" s="33"/>
      <c r="AY778" s="33"/>
      <c r="AZ778" s="33"/>
      <c r="BA778" s="33"/>
      <c r="BB778" s="33"/>
      <c r="BC778" s="33"/>
      <c r="BD778" s="33"/>
      <c r="BE778" s="33"/>
      <c r="BF778" s="33"/>
      <c r="BG778" s="33"/>
      <c r="BH778" s="33"/>
      <c r="BI778" s="33"/>
      <c r="BJ778" s="33"/>
      <c r="BK778" s="33"/>
      <c r="BL778" s="33"/>
      <c r="BM778" s="33"/>
      <c r="BN778" s="33"/>
      <c r="BO778" s="33"/>
      <c r="BP778" s="33"/>
      <c r="BQ778" s="33"/>
      <c r="BR778" s="33"/>
      <c r="BS778" s="33"/>
      <c r="BT778" s="33"/>
      <c r="BU778" s="33"/>
      <c r="BV778" s="33"/>
      <c r="BW778" s="33"/>
      <c r="BX778" s="33"/>
      <c r="BY778" s="33"/>
      <c r="BZ778" s="33"/>
      <c r="CA778" s="33"/>
      <c r="CB778" s="33"/>
      <c r="CC778" s="33"/>
      <c r="CD778" s="33"/>
      <c r="CE778" s="33"/>
      <c r="CF778" s="33"/>
      <c r="CG778" s="33"/>
      <c r="CH778" s="33"/>
      <c r="CI778" s="33"/>
      <c r="CJ778" s="33"/>
      <c r="CK778" s="33"/>
      <c r="CL778" s="33"/>
      <c r="CM778" s="33"/>
      <c r="CN778" s="33"/>
      <c r="CO778" s="33"/>
      <c r="CP778" s="33"/>
      <c r="CQ778" s="33"/>
      <c r="CR778" s="33"/>
      <c r="CS778" s="33"/>
      <c r="CT778" s="33"/>
      <c r="CU778" s="33"/>
      <c r="CV778" s="33"/>
      <c r="CW778" s="33"/>
      <c r="CX778" s="33"/>
      <c r="CY778" s="33"/>
      <c r="CZ778" s="33"/>
      <c r="DA778" s="33"/>
      <c r="DB778" s="33"/>
      <c r="DC778" s="33"/>
      <c r="DD778" s="33"/>
      <c r="DE778" s="33"/>
      <c r="DF778" s="33"/>
      <c r="DG778" s="33"/>
      <c r="DH778" s="33"/>
      <c r="DI778" s="33"/>
      <c r="DJ778" s="33"/>
      <c r="DK778" s="33"/>
      <c r="DL778" s="33"/>
      <c r="DM778" s="33"/>
      <c r="DN778" s="33"/>
      <c r="DO778" s="33"/>
      <c r="DP778" s="33"/>
      <c r="DQ778" s="33"/>
      <c r="DR778" s="33"/>
      <c r="DS778" s="33"/>
      <c r="DT778" s="33"/>
      <c r="DU778" s="33"/>
      <c r="DV778" s="33"/>
      <c r="DW778" s="33"/>
      <c r="DX778" s="33"/>
      <c r="DY778" s="33"/>
      <c r="DZ778" s="33"/>
      <c r="EA778" s="33"/>
      <c r="EB778" s="33"/>
      <c r="EC778" s="33"/>
      <c r="ED778" s="33"/>
      <c r="EE778" s="33"/>
      <c r="EF778" s="33"/>
      <c r="EG778" s="33"/>
      <c r="EH778" s="33"/>
      <c r="EI778" s="33"/>
      <c r="EJ778" s="33"/>
      <c r="EK778" s="33"/>
      <c r="EL778" s="33"/>
      <c r="EM778" s="33"/>
      <c r="EN778" s="33"/>
      <c r="EO778" s="33"/>
      <c r="EP778" s="33"/>
      <c r="EQ778" s="33"/>
      <c r="ER778" s="33"/>
      <c r="ES778" s="33"/>
    </row>
    <row r="779">
      <c r="A779" s="33"/>
      <c r="B779" s="33"/>
      <c r="C779" s="33"/>
      <c r="D779" s="33"/>
      <c r="E779" s="33"/>
      <c r="F779" s="33"/>
      <c r="G779" s="85"/>
      <c r="H779" s="85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33"/>
      <c r="Y779" s="33"/>
      <c r="Z779" s="33"/>
      <c r="AA779" s="33"/>
      <c r="AB779" s="33"/>
      <c r="AC779" s="33"/>
      <c r="AD779" s="33"/>
      <c r="AE779" s="33"/>
      <c r="AF779" s="33"/>
      <c r="AG779" s="33"/>
      <c r="AH779" s="33"/>
      <c r="AI779" s="33"/>
      <c r="AJ779" s="33"/>
      <c r="AK779" s="33"/>
      <c r="AL779" s="33"/>
      <c r="AM779" s="33"/>
      <c r="AN779" s="33"/>
      <c r="AO779" s="33"/>
      <c r="AP779" s="33"/>
      <c r="AQ779" s="33"/>
      <c r="AR779" s="33"/>
      <c r="AS779" s="33"/>
      <c r="AT779" s="33"/>
      <c r="AU779" s="33"/>
      <c r="AV779" s="33"/>
      <c r="AW779" s="33"/>
      <c r="AX779" s="33"/>
      <c r="AY779" s="33"/>
      <c r="AZ779" s="33"/>
      <c r="BA779" s="33"/>
      <c r="BB779" s="33"/>
      <c r="BC779" s="33"/>
      <c r="BD779" s="33"/>
      <c r="BE779" s="33"/>
      <c r="BF779" s="33"/>
      <c r="BG779" s="33"/>
      <c r="BH779" s="33"/>
      <c r="BI779" s="33"/>
      <c r="BJ779" s="33"/>
      <c r="BK779" s="33"/>
      <c r="BL779" s="33"/>
      <c r="BM779" s="33"/>
      <c r="BN779" s="33"/>
      <c r="BO779" s="33"/>
      <c r="BP779" s="33"/>
      <c r="BQ779" s="33"/>
      <c r="BR779" s="33"/>
      <c r="BS779" s="33"/>
      <c r="BT779" s="33"/>
      <c r="BU779" s="33"/>
      <c r="BV779" s="33"/>
      <c r="BW779" s="33"/>
      <c r="BX779" s="33"/>
      <c r="BY779" s="33"/>
      <c r="BZ779" s="33"/>
      <c r="CA779" s="33"/>
      <c r="CB779" s="33"/>
      <c r="CC779" s="33"/>
      <c r="CD779" s="33"/>
      <c r="CE779" s="33"/>
      <c r="CF779" s="33"/>
      <c r="CG779" s="33"/>
      <c r="CH779" s="33"/>
      <c r="CI779" s="33"/>
      <c r="CJ779" s="33"/>
      <c r="CK779" s="33"/>
      <c r="CL779" s="33"/>
      <c r="CM779" s="33"/>
      <c r="CN779" s="33"/>
      <c r="CO779" s="33"/>
      <c r="CP779" s="33"/>
      <c r="CQ779" s="33"/>
      <c r="CR779" s="33"/>
      <c r="CS779" s="33"/>
      <c r="CT779" s="33"/>
      <c r="CU779" s="33"/>
      <c r="CV779" s="33"/>
      <c r="CW779" s="33"/>
      <c r="CX779" s="33"/>
      <c r="CY779" s="33"/>
      <c r="CZ779" s="33"/>
      <c r="DA779" s="33"/>
      <c r="DB779" s="33"/>
      <c r="DC779" s="33"/>
      <c r="DD779" s="33"/>
      <c r="DE779" s="33"/>
      <c r="DF779" s="33"/>
      <c r="DG779" s="33"/>
      <c r="DH779" s="33"/>
      <c r="DI779" s="33"/>
      <c r="DJ779" s="33"/>
      <c r="DK779" s="33"/>
      <c r="DL779" s="33"/>
      <c r="DM779" s="33"/>
      <c r="DN779" s="33"/>
      <c r="DO779" s="33"/>
      <c r="DP779" s="33"/>
      <c r="DQ779" s="33"/>
      <c r="DR779" s="33"/>
      <c r="DS779" s="33"/>
      <c r="DT779" s="33"/>
      <c r="DU779" s="33"/>
      <c r="DV779" s="33"/>
      <c r="DW779" s="33"/>
      <c r="DX779" s="33"/>
      <c r="DY779" s="33"/>
      <c r="DZ779" s="33"/>
      <c r="EA779" s="33"/>
      <c r="EB779" s="33"/>
      <c r="EC779" s="33"/>
      <c r="ED779" s="33"/>
      <c r="EE779" s="33"/>
      <c r="EF779" s="33"/>
      <c r="EG779" s="33"/>
      <c r="EH779" s="33"/>
      <c r="EI779" s="33"/>
      <c r="EJ779" s="33"/>
      <c r="EK779" s="33"/>
      <c r="EL779" s="33"/>
      <c r="EM779" s="33"/>
      <c r="EN779" s="33"/>
      <c r="EO779" s="33"/>
      <c r="EP779" s="33"/>
      <c r="EQ779" s="33"/>
      <c r="ER779" s="33"/>
      <c r="ES779" s="33"/>
    </row>
    <row r="780">
      <c r="A780" s="33"/>
      <c r="B780" s="33"/>
      <c r="C780" s="33"/>
      <c r="D780" s="33"/>
      <c r="E780" s="33"/>
      <c r="F780" s="33"/>
      <c r="G780" s="85"/>
      <c r="H780" s="85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33"/>
      <c r="Y780" s="33"/>
      <c r="Z780" s="33"/>
      <c r="AA780" s="33"/>
      <c r="AB780" s="33"/>
      <c r="AC780" s="33"/>
      <c r="AD780" s="33"/>
      <c r="AE780" s="33"/>
      <c r="AF780" s="33"/>
      <c r="AG780" s="33"/>
      <c r="AH780" s="33"/>
      <c r="AI780" s="33"/>
      <c r="AJ780" s="33"/>
      <c r="AK780" s="33"/>
      <c r="AL780" s="33"/>
      <c r="AM780" s="33"/>
      <c r="AN780" s="33"/>
      <c r="AO780" s="33"/>
      <c r="AP780" s="33"/>
      <c r="AQ780" s="33"/>
      <c r="AR780" s="33"/>
      <c r="AS780" s="33"/>
      <c r="AT780" s="33"/>
      <c r="AU780" s="33"/>
      <c r="AV780" s="33"/>
      <c r="AW780" s="33"/>
      <c r="AX780" s="33"/>
      <c r="AY780" s="33"/>
      <c r="AZ780" s="33"/>
      <c r="BA780" s="33"/>
      <c r="BB780" s="33"/>
      <c r="BC780" s="33"/>
      <c r="BD780" s="33"/>
      <c r="BE780" s="33"/>
      <c r="BF780" s="33"/>
      <c r="BG780" s="33"/>
      <c r="BH780" s="33"/>
      <c r="BI780" s="33"/>
      <c r="BJ780" s="33"/>
      <c r="BK780" s="33"/>
      <c r="BL780" s="33"/>
      <c r="BM780" s="33"/>
      <c r="BN780" s="33"/>
      <c r="BO780" s="33"/>
      <c r="BP780" s="33"/>
      <c r="BQ780" s="33"/>
      <c r="BR780" s="33"/>
      <c r="BS780" s="33"/>
      <c r="BT780" s="33"/>
      <c r="BU780" s="33"/>
      <c r="BV780" s="33"/>
      <c r="BW780" s="33"/>
      <c r="BX780" s="33"/>
      <c r="BY780" s="33"/>
      <c r="BZ780" s="33"/>
      <c r="CA780" s="33"/>
      <c r="CB780" s="33"/>
      <c r="CC780" s="33"/>
      <c r="CD780" s="33"/>
      <c r="CE780" s="33"/>
      <c r="CF780" s="33"/>
      <c r="CG780" s="33"/>
      <c r="CH780" s="33"/>
      <c r="CI780" s="33"/>
      <c r="CJ780" s="33"/>
      <c r="CK780" s="33"/>
      <c r="CL780" s="33"/>
      <c r="CM780" s="33"/>
      <c r="CN780" s="33"/>
      <c r="CO780" s="33"/>
      <c r="CP780" s="33"/>
      <c r="CQ780" s="33"/>
      <c r="CR780" s="33"/>
      <c r="CS780" s="33"/>
      <c r="CT780" s="33"/>
      <c r="CU780" s="33"/>
      <c r="CV780" s="33"/>
      <c r="CW780" s="33"/>
      <c r="CX780" s="33"/>
      <c r="CY780" s="33"/>
      <c r="CZ780" s="33"/>
      <c r="DA780" s="33"/>
      <c r="DB780" s="33"/>
      <c r="DC780" s="33"/>
      <c r="DD780" s="33"/>
      <c r="DE780" s="33"/>
      <c r="DF780" s="33"/>
      <c r="DG780" s="33"/>
      <c r="DH780" s="33"/>
      <c r="DI780" s="33"/>
      <c r="DJ780" s="33"/>
      <c r="DK780" s="33"/>
      <c r="DL780" s="33"/>
      <c r="DM780" s="33"/>
      <c r="DN780" s="33"/>
      <c r="DO780" s="33"/>
      <c r="DP780" s="33"/>
      <c r="DQ780" s="33"/>
      <c r="DR780" s="33"/>
      <c r="DS780" s="33"/>
      <c r="DT780" s="33"/>
      <c r="DU780" s="33"/>
      <c r="DV780" s="33"/>
      <c r="DW780" s="33"/>
      <c r="DX780" s="33"/>
      <c r="DY780" s="33"/>
      <c r="DZ780" s="33"/>
      <c r="EA780" s="33"/>
      <c r="EB780" s="33"/>
      <c r="EC780" s="33"/>
      <c r="ED780" s="33"/>
      <c r="EE780" s="33"/>
      <c r="EF780" s="33"/>
      <c r="EG780" s="33"/>
      <c r="EH780" s="33"/>
      <c r="EI780" s="33"/>
      <c r="EJ780" s="33"/>
      <c r="EK780" s="33"/>
      <c r="EL780" s="33"/>
      <c r="EM780" s="33"/>
      <c r="EN780" s="33"/>
      <c r="EO780" s="33"/>
      <c r="EP780" s="33"/>
      <c r="EQ780" s="33"/>
      <c r="ER780" s="33"/>
      <c r="ES780" s="33"/>
    </row>
    <row r="781">
      <c r="A781" s="33"/>
      <c r="B781" s="33"/>
      <c r="C781" s="33"/>
      <c r="D781" s="33"/>
      <c r="E781" s="33"/>
      <c r="F781" s="33"/>
      <c r="G781" s="85"/>
      <c r="H781" s="85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33"/>
      <c r="Y781" s="33"/>
      <c r="Z781" s="33"/>
      <c r="AA781" s="33"/>
      <c r="AB781" s="33"/>
      <c r="AC781" s="33"/>
      <c r="AD781" s="33"/>
      <c r="AE781" s="33"/>
      <c r="AF781" s="33"/>
      <c r="AG781" s="33"/>
      <c r="AH781" s="33"/>
      <c r="AI781" s="33"/>
      <c r="AJ781" s="33"/>
      <c r="AK781" s="33"/>
      <c r="AL781" s="33"/>
      <c r="AM781" s="33"/>
      <c r="AN781" s="33"/>
      <c r="AO781" s="33"/>
      <c r="AP781" s="33"/>
      <c r="AQ781" s="33"/>
      <c r="AR781" s="33"/>
      <c r="AS781" s="33"/>
      <c r="AT781" s="33"/>
      <c r="AU781" s="33"/>
      <c r="AV781" s="33"/>
      <c r="AW781" s="33"/>
      <c r="AX781" s="33"/>
      <c r="AY781" s="33"/>
      <c r="AZ781" s="33"/>
      <c r="BA781" s="33"/>
      <c r="BB781" s="33"/>
      <c r="BC781" s="33"/>
      <c r="BD781" s="33"/>
      <c r="BE781" s="33"/>
      <c r="BF781" s="33"/>
      <c r="BG781" s="33"/>
      <c r="BH781" s="33"/>
      <c r="BI781" s="33"/>
      <c r="BJ781" s="33"/>
      <c r="BK781" s="33"/>
      <c r="BL781" s="33"/>
      <c r="BM781" s="33"/>
      <c r="BN781" s="33"/>
      <c r="BO781" s="33"/>
      <c r="BP781" s="33"/>
      <c r="BQ781" s="33"/>
      <c r="BR781" s="33"/>
      <c r="BS781" s="33"/>
      <c r="BT781" s="33"/>
      <c r="BU781" s="33"/>
      <c r="BV781" s="33"/>
      <c r="BW781" s="33"/>
      <c r="BX781" s="33"/>
      <c r="BY781" s="33"/>
      <c r="BZ781" s="33"/>
      <c r="CA781" s="33"/>
      <c r="CB781" s="33"/>
      <c r="CC781" s="33"/>
      <c r="CD781" s="33"/>
      <c r="CE781" s="33"/>
      <c r="CF781" s="33"/>
      <c r="CG781" s="33"/>
      <c r="CH781" s="33"/>
      <c r="CI781" s="33"/>
      <c r="CJ781" s="33"/>
      <c r="CK781" s="33"/>
      <c r="CL781" s="33"/>
      <c r="CM781" s="33"/>
      <c r="CN781" s="33"/>
      <c r="CO781" s="33"/>
      <c r="CP781" s="33"/>
      <c r="CQ781" s="33"/>
      <c r="CR781" s="33"/>
      <c r="CS781" s="33"/>
      <c r="CT781" s="33"/>
      <c r="CU781" s="33"/>
      <c r="CV781" s="33"/>
      <c r="CW781" s="33"/>
      <c r="CX781" s="33"/>
      <c r="CY781" s="33"/>
      <c r="CZ781" s="33"/>
      <c r="DA781" s="33"/>
      <c r="DB781" s="33"/>
      <c r="DC781" s="33"/>
      <c r="DD781" s="33"/>
      <c r="DE781" s="33"/>
      <c r="DF781" s="33"/>
      <c r="DG781" s="33"/>
      <c r="DH781" s="33"/>
      <c r="DI781" s="33"/>
      <c r="DJ781" s="33"/>
      <c r="DK781" s="33"/>
      <c r="DL781" s="33"/>
      <c r="DM781" s="33"/>
      <c r="DN781" s="33"/>
      <c r="DO781" s="33"/>
      <c r="DP781" s="33"/>
      <c r="DQ781" s="33"/>
      <c r="DR781" s="33"/>
      <c r="DS781" s="33"/>
      <c r="DT781" s="33"/>
      <c r="DU781" s="33"/>
      <c r="DV781" s="33"/>
      <c r="DW781" s="33"/>
      <c r="DX781" s="33"/>
      <c r="DY781" s="33"/>
      <c r="DZ781" s="33"/>
      <c r="EA781" s="33"/>
      <c r="EB781" s="33"/>
      <c r="EC781" s="33"/>
      <c r="ED781" s="33"/>
      <c r="EE781" s="33"/>
      <c r="EF781" s="33"/>
      <c r="EG781" s="33"/>
      <c r="EH781" s="33"/>
      <c r="EI781" s="33"/>
      <c r="EJ781" s="33"/>
      <c r="EK781" s="33"/>
      <c r="EL781" s="33"/>
      <c r="EM781" s="33"/>
      <c r="EN781" s="33"/>
      <c r="EO781" s="33"/>
      <c r="EP781" s="33"/>
      <c r="EQ781" s="33"/>
      <c r="ER781" s="33"/>
      <c r="ES781" s="33"/>
    </row>
    <row r="782">
      <c r="A782" s="33"/>
      <c r="B782" s="33"/>
      <c r="C782" s="33"/>
      <c r="D782" s="33"/>
      <c r="E782" s="33"/>
      <c r="F782" s="33"/>
      <c r="G782" s="85"/>
      <c r="H782" s="85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33"/>
      <c r="Y782" s="33"/>
      <c r="Z782" s="33"/>
      <c r="AA782" s="33"/>
      <c r="AB782" s="33"/>
      <c r="AC782" s="33"/>
      <c r="AD782" s="33"/>
      <c r="AE782" s="33"/>
      <c r="AF782" s="33"/>
      <c r="AG782" s="33"/>
      <c r="AH782" s="33"/>
      <c r="AI782" s="33"/>
      <c r="AJ782" s="33"/>
      <c r="AK782" s="33"/>
      <c r="AL782" s="33"/>
      <c r="AM782" s="33"/>
      <c r="AN782" s="33"/>
      <c r="AO782" s="33"/>
      <c r="AP782" s="33"/>
      <c r="AQ782" s="33"/>
      <c r="AR782" s="33"/>
      <c r="AS782" s="33"/>
      <c r="AT782" s="33"/>
      <c r="AU782" s="33"/>
      <c r="AV782" s="33"/>
      <c r="AW782" s="33"/>
      <c r="AX782" s="33"/>
      <c r="AY782" s="33"/>
      <c r="AZ782" s="33"/>
      <c r="BA782" s="33"/>
      <c r="BB782" s="33"/>
      <c r="BC782" s="33"/>
      <c r="BD782" s="33"/>
      <c r="BE782" s="33"/>
      <c r="BF782" s="33"/>
      <c r="BG782" s="33"/>
      <c r="BH782" s="33"/>
      <c r="BI782" s="33"/>
      <c r="BJ782" s="33"/>
      <c r="BK782" s="33"/>
      <c r="BL782" s="33"/>
      <c r="BM782" s="33"/>
      <c r="BN782" s="33"/>
      <c r="BO782" s="33"/>
      <c r="BP782" s="33"/>
      <c r="BQ782" s="33"/>
      <c r="BR782" s="33"/>
      <c r="BS782" s="33"/>
      <c r="BT782" s="33"/>
      <c r="BU782" s="33"/>
      <c r="BV782" s="33"/>
      <c r="BW782" s="33"/>
      <c r="BX782" s="33"/>
      <c r="BY782" s="33"/>
      <c r="BZ782" s="33"/>
      <c r="CA782" s="33"/>
      <c r="CB782" s="33"/>
      <c r="CC782" s="33"/>
      <c r="CD782" s="33"/>
      <c r="CE782" s="33"/>
      <c r="CF782" s="33"/>
      <c r="CG782" s="33"/>
      <c r="CH782" s="33"/>
      <c r="CI782" s="33"/>
      <c r="CJ782" s="33"/>
      <c r="CK782" s="33"/>
      <c r="CL782" s="33"/>
      <c r="CM782" s="33"/>
      <c r="CN782" s="33"/>
      <c r="CO782" s="33"/>
      <c r="CP782" s="33"/>
      <c r="CQ782" s="33"/>
      <c r="CR782" s="33"/>
      <c r="CS782" s="33"/>
      <c r="CT782" s="33"/>
      <c r="CU782" s="33"/>
      <c r="CV782" s="33"/>
      <c r="CW782" s="33"/>
      <c r="CX782" s="33"/>
      <c r="CY782" s="33"/>
      <c r="CZ782" s="33"/>
      <c r="DA782" s="33"/>
      <c r="DB782" s="33"/>
      <c r="DC782" s="33"/>
      <c r="DD782" s="33"/>
      <c r="DE782" s="33"/>
      <c r="DF782" s="33"/>
      <c r="DG782" s="33"/>
      <c r="DH782" s="33"/>
      <c r="DI782" s="33"/>
      <c r="DJ782" s="33"/>
      <c r="DK782" s="33"/>
      <c r="DL782" s="33"/>
      <c r="DM782" s="33"/>
      <c r="DN782" s="33"/>
      <c r="DO782" s="33"/>
      <c r="DP782" s="33"/>
      <c r="DQ782" s="33"/>
      <c r="DR782" s="33"/>
      <c r="DS782" s="33"/>
      <c r="DT782" s="33"/>
      <c r="DU782" s="33"/>
      <c r="DV782" s="33"/>
      <c r="DW782" s="33"/>
      <c r="DX782" s="33"/>
      <c r="DY782" s="33"/>
      <c r="DZ782" s="33"/>
      <c r="EA782" s="33"/>
      <c r="EB782" s="33"/>
      <c r="EC782" s="33"/>
      <c r="ED782" s="33"/>
      <c r="EE782" s="33"/>
      <c r="EF782" s="33"/>
      <c r="EG782" s="33"/>
      <c r="EH782" s="33"/>
      <c r="EI782" s="33"/>
      <c r="EJ782" s="33"/>
      <c r="EK782" s="33"/>
      <c r="EL782" s="33"/>
      <c r="EM782" s="33"/>
      <c r="EN782" s="33"/>
      <c r="EO782" s="33"/>
      <c r="EP782" s="33"/>
      <c r="EQ782" s="33"/>
      <c r="ER782" s="33"/>
      <c r="ES782" s="33"/>
    </row>
    <row r="783">
      <c r="A783" s="33"/>
      <c r="B783" s="33"/>
      <c r="C783" s="33"/>
      <c r="D783" s="33"/>
      <c r="E783" s="33"/>
      <c r="F783" s="33"/>
      <c r="G783" s="85"/>
      <c r="H783" s="85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33"/>
      <c r="Y783" s="33"/>
      <c r="Z783" s="33"/>
      <c r="AA783" s="33"/>
      <c r="AB783" s="33"/>
      <c r="AC783" s="33"/>
      <c r="AD783" s="33"/>
      <c r="AE783" s="33"/>
      <c r="AF783" s="33"/>
      <c r="AG783" s="33"/>
      <c r="AH783" s="33"/>
      <c r="AI783" s="33"/>
      <c r="AJ783" s="33"/>
      <c r="AK783" s="33"/>
      <c r="AL783" s="33"/>
      <c r="AM783" s="33"/>
      <c r="AN783" s="33"/>
      <c r="AO783" s="33"/>
      <c r="AP783" s="33"/>
      <c r="AQ783" s="33"/>
      <c r="AR783" s="33"/>
      <c r="AS783" s="33"/>
      <c r="AT783" s="33"/>
      <c r="AU783" s="33"/>
      <c r="AV783" s="33"/>
      <c r="AW783" s="33"/>
      <c r="AX783" s="33"/>
      <c r="AY783" s="33"/>
      <c r="AZ783" s="33"/>
      <c r="BA783" s="33"/>
      <c r="BB783" s="33"/>
      <c r="BC783" s="33"/>
      <c r="BD783" s="33"/>
      <c r="BE783" s="33"/>
      <c r="BF783" s="33"/>
      <c r="BG783" s="33"/>
      <c r="BH783" s="33"/>
      <c r="BI783" s="33"/>
      <c r="BJ783" s="33"/>
      <c r="BK783" s="33"/>
      <c r="BL783" s="33"/>
      <c r="BM783" s="33"/>
      <c r="BN783" s="33"/>
      <c r="BO783" s="33"/>
      <c r="BP783" s="33"/>
      <c r="BQ783" s="33"/>
      <c r="BR783" s="33"/>
      <c r="BS783" s="33"/>
      <c r="BT783" s="33"/>
      <c r="BU783" s="33"/>
      <c r="BV783" s="33"/>
      <c r="BW783" s="33"/>
      <c r="BX783" s="33"/>
      <c r="BY783" s="33"/>
      <c r="BZ783" s="33"/>
      <c r="CA783" s="33"/>
      <c r="CB783" s="33"/>
      <c r="CC783" s="33"/>
      <c r="CD783" s="33"/>
      <c r="CE783" s="33"/>
      <c r="CF783" s="33"/>
      <c r="CG783" s="33"/>
      <c r="CH783" s="33"/>
      <c r="CI783" s="33"/>
      <c r="CJ783" s="33"/>
      <c r="CK783" s="33"/>
      <c r="CL783" s="33"/>
      <c r="CM783" s="33"/>
      <c r="CN783" s="33"/>
      <c r="CO783" s="33"/>
      <c r="CP783" s="33"/>
      <c r="CQ783" s="33"/>
      <c r="CR783" s="33"/>
      <c r="CS783" s="33"/>
      <c r="CT783" s="33"/>
      <c r="CU783" s="33"/>
      <c r="CV783" s="33"/>
      <c r="CW783" s="33"/>
      <c r="CX783" s="33"/>
      <c r="CY783" s="33"/>
      <c r="CZ783" s="33"/>
      <c r="DA783" s="33"/>
      <c r="DB783" s="33"/>
      <c r="DC783" s="33"/>
      <c r="DD783" s="33"/>
      <c r="DE783" s="33"/>
      <c r="DF783" s="33"/>
      <c r="DG783" s="33"/>
      <c r="DH783" s="33"/>
      <c r="DI783" s="33"/>
      <c r="DJ783" s="33"/>
      <c r="DK783" s="33"/>
      <c r="DL783" s="33"/>
      <c r="DM783" s="33"/>
      <c r="DN783" s="33"/>
      <c r="DO783" s="33"/>
      <c r="DP783" s="33"/>
      <c r="DQ783" s="33"/>
      <c r="DR783" s="33"/>
      <c r="DS783" s="33"/>
      <c r="DT783" s="33"/>
      <c r="DU783" s="33"/>
      <c r="DV783" s="33"/>
      <c r="DW783" s="33"/>
      <c r="DX783" s="33"/>
      <c r="DY783" s="33"/>
      <c r="DZ783" s="33"/>
      <c r="EA783" s="33"/>
      <c r="EB783" s="33"/>
      <c r="EC783" s="33"/>
      <c r="ED783" s="33"/>
      <c r="EE783" s="33"/>
      <c r="EF783" s="33"/>
      <c r="EG783" s="33"/>
      <c r="EH783" s="33"/>
      <c r="EI783" s="33"/>
      <c r="EJ783" s="33"/>
      <c r="EK783" s="33"/>
      <c r="EL783" s="33"/>
      <c r="EM783" s="33"/>
      <c r="EN783" s="33"/>
      <c r="EO783" s="33"/>
      <c r="EP783" s="33"/>
      <c r="EQ783" s="33"/>
      <c r="ER783" s="33"/>
      <c r="ES783" s="33"/>
    </row>
    <row r="784">
      <c r="A784" s="33"/>
      <c r="B784" s="33"/>
      <c r="C784" s="33"/>
      <c r="D784" s="33"/>
      <c r="E784" s="33"/>
      <c r="F784" s="33"/>
      <c r="G784" s="85"/>
      <c r="H784" s="85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33"/>
      <c r="Y784" s="33"/>
      <c r="Z784" s="33"/>
      <c r="AA784" s="33"/>
      <c r="AB784" s="33"/>
      <c r="AC784" s="33"/>
      <c r="AD784" s="33"/>
      <c r="AE784" s="33"/>
      <c r="AF784" s="33"/>
      <c r="AG784" s="33"/>
      <c r="AH784" s="33"/>
      <c r="AI784" s="33"/>
      <c r="AJ784" s="33"/>
      <c r="AK784" s="33"/>
      <c r="AL784" s="33"/>
      <c r="AM784" s="33"/>
      <c r="AN784" s="33"/>
      <c r="AO784" s="33"/>
      <c r="AP784" s="33"/>
      <c r="AQ784" s="33"/>
      <c r="AR784" s="33"/>
      <c r="AS784" s="33"/>
      <c r="AT784" s="33"/>
      <c r="AU784" s="33"/>
      <c r="AV784" s="33"/>
      <c r="AW784" s="33"/>
      <c r="AX784" s="33"/>
      <c r="AY784" s="33"/>
      <c r="AZ784" s="33"/>
      <c r="BA784" s="33"/>
      <c r="BB784" s="33"/>
      <c r="BC784" s="33"/>
      <c r="BD784" s="33"/>
      <c r="BE784" s="33"/>
      <c r="BF784" s="33"/>
      <c r="BG784" s="33"/>
      <c r="BH784" s="33"/>
      <c r="BI784" s="33"/>
      <c r="BJ784" s="33"/>
      <c r="BK784" s="33"/>
      <c r="BL784" s="33"/>
      <c r="BM784" s="33"/>
      <c r="BN784" s="33"/>
      <c r="BO784" s="33"/>
      <c r="BP784" s="33"/>
      <c r="BQ784" s="33"/>
      <c r="BR784" s="33"/>
      <c r="BS784" s="33"/>
      <c r="BT784" s="33"/>
      <c r="BU784" s="33"/>
      <c r="BV784" s="33"/>
      <c r="BW784" s="33"/>
      <c r="BX784" s="33"/>
      <c r="BY784" s="33"/>
      <c r="BZ784" s="33"/>
      <c r="CA784" s="33"/>
      <c r="CB784" s="33"/>
      <c r="CC784" s="33"/>
      <c r="CD784" s="33"/>
      <c r="CE784" s="33"/>
      <c r="CF784" s="33"/>
      <c r="CG784" s="33"/>
      <c r="CH784" s="33"/>
      <c r="CI784" s="33"/>
      <c r="CJ784" s="33"/>
      <c r="CK784" s="33"/>
      <c r="CL784" s="33"/>
      <c r="CM784" s="33"/>
      <c r="CN784" s="33"/>
      <c r="CO784" s="33"/>
      <c r="CP784" s="33"/>
      <c r="CQ784" s="33"/>
      <c r="CR784" s="33"/>
      <c r="CS784" s="33"/>
      <c r="CT784" s="33"/>
      <c r="CU784" s="33"/>
      <c r="CV784" s="33"/>
      <c r="CW784" s="33"/>
      <c r="CX784" s="33"/>
      <c r="CY784" s="33"/>
      <c r="CZ784" s="33"/>
      <c r="DA784" s="33"/>
      <c r="DB784" s="33"/>
      <c r="DC784" s="33"/>
      <c r="DD784" s="33"/>
      <c r="DE784" s="33"/>
      <c r="DF784" s="33"/>
      <c r="DG784" s="33"/>
      <c r="DH784" s="33"/>
      <c r="DI784" s="33"/>
      <c r="DJ784" s="33"/>
      <c r="DK784" s="33"/>
      <c r="DL784" s="33"/>
      <c r="DM784" s="33"/>
      <c r="DN784" s="33"/>
      <c r="DO784" s="33"/>
      <c r="DP784" s="33"/>
      <c r="DQ784" s="33"/>
      <c r="DR784" s="33"/>
      <c r="DS784" s="33"/>
      <c r="DT784" s="33"/>
      <c r="DU784" s="33"/>
      <c r="DV784" s="33"/>
      <c r="DW784" s="33"/>
      <c r="DX784" s="33"/>
      <c r="DY784" s="33"/>
      <c r="DZ784" s="33"/>
      <c r="EA784" s="33"/>
      <c r="EB784" s="33"/>
      <c r="EC784" s="33"/>
      <c r="ED784" s="33"/>
      <c r="EE784" s="33"/>
      <c r="EF784" s="33"/>
      <c r="EG784" s="33"/>
      <c r="EH784" s="33"/>
      <c r="EI784" s="33"/>
      <c r="EJ784" s="33"/>
      <c r="EK784" s="33"/>
      <c r="EL784" s="33"/>
      <c r="EM784" s="33"/>
      <c r="EN784" s="33"/>
      <c r="EO784" s="33"/>
      <c r="EP784" s="33"/>
      <c r="EQ784" s="33"/>
      <c r="ER784" s="33"/>
      <c r="ES784" s="33"/>
    </row>
    <row r="785">
      <c r="A785" s="33"/>
      <c r="B785" s="33"/>
      <c r="C785" s="33"/>
      <c r="D785" s="33"/>
      <c r="E785" s="33"/>
      <c r="F785" s="33"/>
      <c r="G785" s="85"/>
      <c r="H785" s="85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33"/>
      <c r="Y785" s="33"/>
      <c r="Z785" s="33"/>
      <c r="AA785" s="33"/>
      <c r="AB785" s="33"/>
      <c r="AC785" s="33"/>
      <c r="AD785" s="33"/>
      <c r="AE785" s="33"/>
      <c r="AF785" s="33"/>
      <c r="AG785" s="33"/>
      <c r="AH785" s="33"/>
      <c r="AI785" s="33"/>
      <c r="AJ785" s="33"/>
      <c r="AK785" s="33"/>
      <c r="AL785" s="33"/>
      <c r="AM785" s="33"/>
      <c r="AN785" s="33"/>
      <c r="AO785" s="33"/>
      <c r="AP785" s="33"/>
      <c r="AQ785" s="33"/>
      <c r="AR785" s="33"/>
      <c r="AS785" s="33"/>
      <c r="AT785" s="33"/>
      <c r="AU785" s="33"/>
      <c r="AV785" s="33"/>
      <c r="AW785" s="33"/>
      <c r="AX785" s="33"/>
      <c r="AY785" s="33"/>
      <c r="AZ785" s="33"/>
      <c r="BA785" s="33"/>
      <c r="BB785" s="33"/>
      <c r="BC785" s="33"/>
      <c r="BD785" s="33"/>
      <c r="BE785" s="33"/>
      <c r="BF785" s="33"/>
      <c r="BG785" s="33"/>
      <c r="BH785" s="33"/>
      <c r="BI785" s="33"/>
      <c r="BJ785" s="33"/>
      <c r="BK785" s="33"/>
      <c r="BL785" s="33"/>
      <c r="BM785" s="33"/>
      <c r="BN785" s="33"/>
      <c r="BO785" s="33"/>
      <c r="BP785" s="33"/>
      <c r="BQ785" s="33"/>
      <c r="BR785" s="33"/>
      <c r="BS785" s="33"/>
      <c r="BT785" s="33"/>
      <c r="BU785" s="33"/>
      <c r="BV785" s="33"/>
      <c r="BW785" s="33"/>
      <c r="BX785" s="33"/>
      <c r="BY785" s="33"/>
      <c r="BZ785" s="33"/>
      <c r="CA785" s="33"/>
      <c r="CB785" s="33"/>
      <c r="CC785" s="33"/>
      <c r="CD785" s="33"/>
      <c r="CE785" s="33"/>
      <c r="CF785" s="33"/>
      <c r="CG785" s="33"/>
      <c r="CH785" s="33"/>
      <c r="CI785" s="33"/>
      <c r="CJ785" s="33"/>
      <c r="CK785" s="33"/>
      <c r="CL785" s="33"/>
      <c r="CM785" s="33"/>
      <c r="CN785" s="33"/>
      <c r="CO785" s="33"/>
      <c r="CP785" s="33"/>
      <c r="CQ785" s="33"/>
      <c r="CR785" s="33"/>
      <c r="CS785" s="33"/>
      <c r="CT785" s="33"/>
      <c r="CU785" s="33"/>
      <c r="CV785" s="33"/>
      <c r="CW785" s="33"/>
      <c r="CX785" s="33"/>
      <c r="CY785" s="33"/>
      <c r="CZ785" s="33"/>
      <c r="DA785" s="33"/>
      <c r="DB785" s="33"/>
      <c r="DC785" s="33"/>
      <c r="DD785" s="33"/>
      <c r="DE785" s="33"/>
      <c r="DF785" s="33"/>
      <c r="DG785" s="33"/>
      <c r="DH785" s="33"/>
      <c r="DI785" s="33"/>
      <c r="DJ785" s="33"/>
      <c r="DK785" s="33"/>
      <c r="DL785" s="33"/>
      <c r="DM785" s="33"/>
      <c r="DN785" s="33"/>
      <c r="DO785" s="33"/>
      <c r="DP785" s="33"/>
      <c r="DQ785" s="33"/>
      <c r="DR785" s="33"/>
      <c r="DS785" s="33"/>
      <c r="DT785" s="33"/>
      <c r="DU785" s="33"/>
      <c r="DV785" s="33"/>
      <c r="DW785" s="33"/>
      <c r="DX785" s="33"/>
      <c r="DY785" s="33"/>
      <c r="DZ785" s="33"/>
      <c r="EA785" s="33"/>
      <c r="EB785" s="33"/>
      <c r="EC785" s="33"/>
      <c r="ED785" s="33"/>
      <c r="EE785" s="33"/>
      <c r="EF785" s="33"/>
      <c r="EG785" s="33"/>
      <c r="EH785" s="33"/>
      <c r="EI785" s="33"/>
      <c r="EJ785" s="33"/>
      <c r="EK785" s="33"/>
      <c r="EL785" s="33"/>
      <c r="EM785" s="33"/>
      <c r="EN785" s="33"/>
      <c r="EO785" s="33"/>
      <c r="EP785" s="33"/>
      <c r="EQ785" s="33"/>
      <c r="ER785" s="33"/>
      <c r="ES785" s="33"/>
    </row>
    <row r="786">
      <c r="A786" s="33"/>
      <c r="B786" s="33"/>
      <c r="C786" s="33"/>
      <c r="D786" s="33"/>
      <c r="E786" s="33"/>
      <c r="F786" s="33"/>
      <c r="G786" s="85"/>
      <c r="H786" s="85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33"/>
      <c r="Y786" s="33"/>
      <c r="Z786" s="33"/>
      <c r="AA786" s="33"/>
      <c r="AB786" s="33"/>
      <c r="AC786" s="33"/>
      <c r="AD786" s="33"/>
      <c r="AE786" s="33"/>
      <c r="AF786" s="33"/>
      <c r="AG786" s="33"/>
      <c r="AH786" s="33"/>
      <c r="AI786" s="33"/>
      <c r="AJ786" s="33"/>
      <c r="AK786" s="33"/>
      <c r="AL786" s="33"/>
      <c r="AM786" s="33"/>
      <c r="AN786" s="33"/>
      <c r="AO786" s="33"/>
      <c r="AP786" s="33"/>
      <c r="AQ786" s="33"/>
      <c r="AR786" s="33"/>
      <c r="AS786" s="33"/>
      <c r="AT786" s="33"/>
      <c r="AU786" s="33"/>
      <c r="AV786" s="33"/>
      <c r="AW786" s="33"/>
      <c r="AX786" s="33"/>
      <c r="AY786" s="33"/>
      <c r="AZ786" s="33"/>
      <c r="BA786" s="33"/>
      <c r="BB786" s="33"/>
      <c r="BC786" s="33"/>
      <c r="BD786" s="33"/>
      <c r="BE786" s="33"/>
      <c r="BF786" s="33"/>
      <c r="BG786" s="33"/>
      <c r="BH786" s="33"/>
      <c r="BI786" s="33"/>
      <c r="BJ786" s="33"/>
      <c r="BK786" s="33"/>
      <c r="BL786" s="33"/>
      <c r="BM786" s="33"/>
      <c r="BN786" s="33"/>
      <c r="BO786" s="33"/>
      <c r="BP786" s="33"/>
      <c r="BQ786" s="33"/>
      <c r="BR786" s="33"/>
      <c r="BS786" s="33"/>
      <c r="BT786" s="33"/>
      <c r="BU786" s="33"/>
      <c r="BV786" s="33"/>
      <c r="BW786" s="33"/>
      <c r="BX786" s="33"/>
      <c r="BY786" s="33"/>
      <c r="BZ786" s="33"/>
      <c r="CA786" s="33"/>
      <c r="CB786" s="33"/>
      <c r="CC786" s="33"/>
      <c r="CD786" s="33"/>
      <c r="CE786" s="33"/>
      <c r="CF786" s="33"/>
      <c r="CG786" s="33"/>
      <c r="CH786" s="33"/>
      <c r="CI786" s="33"/>
      <c r="CJ786" s="33"/>
      <c r="CK786" s="33"/>
      <c r="CL786" s="33"/>
      <c r="CM786" s="33"/>
      <c r="CN786" s="33"/>
      <c r="CO786" s="33"/>
      <c r="CP786" s="33"/>
      <c r="CQ786" s="33"/>
      <c r="CR786" s="33"/>
      <c r="CS786" s="33"/>
      <c r="CT786" s="33"/>
      <c r="CU786" s="33"/>
      <c r="CV786" s="33"/>
      <c r="CW786" s="33"/>
      <c r="CX786" s="33"/>
      <c r="CY786" s="33"/>
      <c r="CZ786" s="33"/>
      <c r="DA786" s="33"/>
      <c r="DB786" s="33"/>
      <c r="DC786" s="33"/>
      <c r="DD786" s="33"/>
      <c r="DE786" s="33"/>
      <c r="DF786" s="33"/>
      <c r="DG786" s="33"/>
      <c r="DH786" s="33"/>
      <c r="DI786" s="33"/>
      <c r="DJ786" s="33"/>
      <c r="DK786" s="33"/>
      <c r="DL786" s="33"/>
      <c r="DM786" s="33"/>
      <c r="DN786" s="33"/>
      <c r="DO786" s="33"/>
      <c r="DP786" s="33"/>
      <c r="DQ786" s="33"/>
      <c r="DR786" s="33"/>
      <c r="DS786" s="33"/>
      <c r="DT786" s="33"/>
      <c r="DU786" s="33"/>
      <c r="DV786" s="33"/>
      <c r="DW786" s="33"/>
      <c r="DX786" s="33"/>
      <c r="DY786" s="33"/>
      <c r="DZ786" s="33"/>
      <c r="EA786" s="33"/>
      <c r="EB786" s="33"/>
      <c r="EC786" s="33"/>
      <c r="ED786" s="33"/>
      <c r="EE786" s="33"/>
      <c r="EF786" s="33"/>
      <c r="EG786" s="33"/>
      <c r="EH786" s="33"/>
      <c r="EI786" s="33"/>
      <c r="EJ786" s="33"/>
      <c r="EK786" s="33"/>
      <c r="EL786" s="33"/>
      <c r="EM786" s="33"/>
      <c r="EN786" s="33"/>
      <c r="EO786" s="33"/>
      <c r="EP786" s="33"/>
      <c r="EQ786" s="33"/>
      <c r="ER786" s="33"/>
      <c r="ES786" s="33"/>
    </row>
    <row r="787">
      <c r="A787" s="33"/>
      <c r="B787" s="33"/>
      <c r="C787" s="33"/>
      <c r="D787" s="33"/>
      <c r="E787" s="33"/>
      <c r="F787" s="33"/>
      <c r="G787" s="85"/>
      <c r="H787" s="85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33"/>
      <c r="Y787" s="33"/>
      <c r="Z787" s="33"/>
      <c r="AA787" s="33"/>
      <c r="AB787" s="33"/>
      <c r="AC787" s="33"/>
      <c r="AD787" s="33"/>
      <c r="AE787" s="33"/>
      <c r="AF787" s="33"/>
      <c r="AG787" s="33"/>
      <c r="AH787" s="33"/>
      <c r="AI787" s="33"/>
      <c r="AJ787" s="33"/>
      <c r="AK787" s="33"/>
      <c r="AL787" s="33"/>
      <c r="AM787" s="33"/>
      <c r="AN787" s="33"/>
      <c r="AO787" s="33"/>
      <c r="AP787" s="33"/>
      <c r="AQ787" s="33"/>
      <c r="AR787" s="33"/>
      <c r="AS787" s="33"/>
      <c r="AT787" s="33"/>
      <c r="AU787" s="33"/>
      <c r="AV787" s="33"/>
      <c r="AW787" s="33"/>
      <c r="AX787" s="33"/>
      <c r="AY787" s="33"/>
      <c r="AZ787" s="33"/>
      <c r="BA787" s="33"/>
      <c r="BB787" s="33"/>
      <c r="BC787" s="33"/>
      <c r="BD787" s="33"/>
      <c r="BE787" s="33"/>
      <c r="BF787" s="33"/>
      <c r="BG787" s="33"/>
      <c r="BH787" s="33"/>
      <c r="BI787" s="33"/>
      <c r="BJ787" s="33"/>
      <c r="BK787" s="33"/>
      <c r="BL787" s="33"/>
      <c r="BM787" s="33"/>
      <c r="BN787" s="33"/>
      <c r="BO787" s="33"/>
      <c r="BP787" s="33"/>
      <c r="BQ787" s="33"/>
      <c r="BR787" s="33"/>
      <c r="BS787" s="33"/>
      <c r="BT787" s="33"/>
      <c r="BU787" s="33"/>
      <c r="BV787" s="33"/>
      <c r="BW787" s="33"/>
      <c r="BX787" s="33"/>
      <c r="BY787" s="33"/>
      <c r="BZ787" s="33"/>
      <c r="CA787" s="33"/>
      <c r="CB787" s="33"/>
      <c r="CC787" s="33"/>
      <c r="CD787" s="33"/>
      <c r="CE787" s="33"/>
      <c r="CF787" s="33"/>
      <c r="CG787" s="33"/>
      <c r="CH787" s="33"/>
      <c r="CI787" s="33"/>
      <c r="CJ787" s="33"/>
      <c r="CK787" s="33"/>
      <c r="CL787" s="33"/>
      <c r="CM787" s="33"/>
      <c r="CN787" s="33"/>
      <c r="CO787" s="33"/>
      <c r="CP787" s="33"/>
      <c r="CQ787" s="33"/>
      <c r="CR787" s="33"/>
      <c r="CS787" s="33"/>
      <c r="CT787" s="33"/>
      <c r="CU787" s="33"/>
      <c r="CV787" s="33"/>
      <c r="CW787" s="33"/>
      <c r="CX787" s="33"/>
      <c r="CY787" s="33"/>
      <c r="CZ787" s="33"/>
      <c r="DA787" s="33"/>
      <c r="DB787" s="33"/>
      <c r="DC787" s="33"/>
      <c r="DD787" s="33"/>
      <c r="DE787" s="33"/>
      <c r="DF787" s="33"/>
      <c r="DG787" s="33"/>
      <c r="DH787" s="33"/>
      <c r="DI787" s="33"/>
      <c r="DJ787" s="33"/>
      <c r="DK787" s="33"/>
      <c r="DL787" s="33"/>
      <c r="DM787" s="33"/>
      <c r="DN787" s="33"/>
      <c r="DO787" s="33"/>
      <c r="DP787" s="33"/>
      <c r="DQ787" s="33"/>
      <c r="DR787" s="33"/>
      <c r="DS787" s="33"/>
      <c r="DT787" s="33"/>
      <c r="DU787" s="33"/>
      <c r="DV787" s="33"/>
      <c r="DW787" s="33"/>
      <c r="DX787" s="33"/>
      <c r="DY787" s="33"/>
      <c r="DZ787" s="33"/>
      <c r="EA787" s="33"/>
      <c r="EB787" s="33"/>
      <c r="EC787" s="33"/>
      <c r="ED787" s="33"/>
      <c r="EE787" s="33"/>
      <c r="EF787" s="33"/>
      <c r="EG787" s="33"/>
      <c r="EH787" s="33"/>
      <c r="EI787" s="33"/>
      <c r="EJ787" s="33"/>
      <c r="EK787" s="33"/>
      <c r="EL787" s="33"/>
      <c r="EM787" s="33"/>
      <c r="EN787" s="33"/>
      <c r="EO787" s="33"/>
      <c r="EP787" s="33"/>
      <c r="EQ787" s="33"/>
      <c r="ER787" s="33"/>
      <c r="ES787" s="33"/>
    </row>
    <row r="788">
      <c r="A788" s="33"/>
      <c r="B788" s="33"/>
      <c r="C788" s="33"/>
      <c r="D788" s="33"/>
      <c r="E788" s="33"/>
      <c r="F788" s="33"/>
      <c r="G788" s="85"/>
      <c r="H788" s="85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33"/>
      <c r="Y788" s="33"/>
      <c r="Z788" s="33"/>
      <c r="AA788" s="33"/>
      <c r="AB788" s="33"/>
      <c r="AC788" s="33"/>
      <c r="AD788" s="33"/>
      <c r="AE788" s="33"/>
      <c r="AF788" s="33"/>
      <c r="AG788" s="33"/>
      <c r="AH788" s="33"/>
      <c r="AI788" s="33"/>
      <c r="AJ788" s="33"/>
      <c r="AK788" s="33"/>
      <c r="AL788" s="33"/>
      <c r="AM788" s="33"/>
      <c r="AN788" s="33"/>
      <c r="AO788" s="33"/>
      <c r="AP788" s="33"/>
      <c r="AQ788" s="33"/>
      <c r="AR788" s="33"/>
      <c r="AS788" s="33"/>
      <c r="AT788" s="33"/>
      <c r="AU788" s="33"/>
      <c r="AV788" s="33"/>
      <c r="AW788" s="33"/>
      <c r="AX788" s="33"/>
      <c r="AY788" s="33"/>
      <c r="AZ788" s="33"/>
      <c r="BA788" s="33"/>
      <c r="BB788" s="33"/>
      <c r="BC788" s="33"/>
      <c r="BD788" s="33"/>
      <c r="BE788" s="33"/>
      <c r="BF788" s="33"/>
      <c r="BG788" s="33"/>
      <c r="BH788" s="33"/>
      <c r="BI788" s="33"/>
      <c r="BJ788" s="33"/>
      <c r="BK788" s="33"/>
      <c r="BL788" s="33"/>
      <c r="BM788" s="33"/>
      <c r="BN788" s="33"/>
      <c r="BO788" s="33"/>
      <c r="BP788" s="33"/>
      <c r="BQ788" s="33"/>
      <c r="BR788" s="33"/>
      <c r="BS788" s="33"/>
      <c r="BT788" s="33"/>
      <c r="BU788" s="33"/>
      <c r="BV788" s="33"/>
      <c r="BW788" s="33"/>
      <c r="BX788" s="33"/>
      <c r="BY788" s="33"/>
      <c r="BZ788" s="33"/>
      <c r="CA788" s="33"/>
      <c r="CB788" s="33"/>
      <c r="CC788" s="33"/>
      <c r="CD788" s="33"/>
      <c r="CE788" s="33"/>
      <c r="CF788" s="33"/>
      <c r="CG788" s="33"/>
      <c r="CH788" s="33"/>
      <c r="CI788" s="33"/>
      <c r="CJ788" s="33"/>
      <c r="CK788" s="33"/>
      <c r="CL788" s="33"/>
      <c r="CM788" s="33"/>
      <c r="CN788" s="33"/>
      <c r="CO788" s="33"/>
      <c r="CP788" s="33"/>
      <c r="CQ788" s="33"/>
      <c r="CR788" s="33"/>
      <c r="CS788" s="33"/>
      <c r="CT788" s="33"/>
      <c r="CU788" s="33"/>
      <c r="CV788" s="33"/>
      <c r="CW788" s="33"/>
      <c r="CX788" s="33"/>
      <c r="CY788" s="33"/>
      <c r="CZ788" s="33"/>
      <c r="DA788" s="33"/>
      <c r="DB788" s="33"/>
      <c r="DC788" s="33"/>
      <c r="DD788" s="33"/>
      <c r="DE788" s="33"/>
      <c r="DF788" s="33"/>
      <c r="DG788" s="33"/>
      <c r="DH788" s="33"/>
      <c r="DI788" s="33"/>
      <c r="DJ788" s="33"/>
      <c r="DK788" s="33"/>
      <c r="DL788" s="33"/>
      <c r="DM788" s="33"/>
      <c r="DN788" s="33"/>
      <c r="DO788" s="33"/>
      <c r="DP788" s="33"/>
      <c r="DQ788" s="33"/>
      <c r="DR788" s="33"/>
      <c r="DS788" s="33"/>
      <c r="DT788" s="33"/>
      <c r="DU788" s="33"/>
      <c r="DV788" s="33"/>
      <c r="DW788" s="33"/>
      <c r="DX788" s="33"/>
      <c r="DY788" s="33"/>
      <c r="DZ788" s="33"/>
      <c r="EA788" s="33"/>
      <c r="EB788" s="33"/>
      <c r="EC788" s="33"/>
      <c r="ED788" s="33"/>
      <c r="EE788" s="33"/>
      <c r="EF788" s="33"/>
      <c r="EG788" s="33"/>
      <c r="EH788" s="33"/>
      <c r="EI788" s="33"/>
      <c r="EJ788" s="33"/>
      <c r="EK788" s="33"/>
      <c r="EL788" s="33"/>
      <c r="EM788" s="33"/>
      <c r="EN788" s="33"/>
      <c r="EO788" s="33"/>
      <c r="EP788" s="33"/>
      <c r="EQ788" s="33"/>
      <c r="ER788" s="33"/>
      <c r="ES788" s="33"/>
    </row>
    <row r="789">
      <c r="A789" s="33"/>
      <c r="B789" s="33"/>
      <c r="C789" s="33"/>
      <c r="D789" s="33"/>
      <c r="E789" s="33"/>
      <c r="F789" s="33"/>
      <c r="G789" s="85"/>
      <c r="H789" s="85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33"/>
      <c r="Y789" s="33"/>
      <c r="Z789" s="33"/>
      <c r="AA789" s="33"/>
      <c r="AB789" s="33"/>
      <c r="AC789" s="33"/>
      <c r="AD789" s="33"/>
      <c r="AE789" s="33"/>
      <c r="AF789" s="33"/>
      <c r="AG789" s="33"/>
      <c r="AH789" s="33"/>
      <c r="AI789" s="33"/>
      <c r="AJ789" s="33"/>
      <c r="AK789" s="33"/>
      <c r="AL789" s="33"/>
      <c r="AM789" s="33"/>
      <c r="AN789" s="33"/>
      <c r="AO789" s="33"/>
      <c r="AP789" s="33"/>
      <c r="AQ789" s="33"/>
      <c r="AR789" s="33"/>
      <c r="AS789" s="33"/>
      <c r="AT789" s="33"/>
      <c r="AU789" s="33"/>
      <c r="AV789" s="33"/>
      <c r="AW789" s="33"/>
      <c r="AX789" s="33"/>
      <c r="AY789" s="33"/>
      <c r="AZ789" s="33"/>
      <c r="BA789" s="33"/>
      <c r="BB789" s="33"/>
      <c r="BC789" s="33"/>
      <c r="BD789" s="33"/>
      <c r="BE789" s="33"/>
      <c r="BF789" s="33"/>
      <c r="BG789" s="33"/>
      <c r="BH789" s="33"/>
      <c r="BI789" s="33"/>
      <c r="BJ789" s="33"/>
      <c r="BK789" s="33"/>
      <c r="BL789" s="33"/>
      <c r="BM789" s="33"/>
      <c r="BN789" s="33"/>
      <c r="BO789" s="33"/>
      <c r="BP789" s="33"/>
      <c r="BQ789" s="33"/>
      <c r="BR789" s="33"/>
      <c r="BS789" s="33"/>
      <c r="BT789" s="33"/>
      <c r="BU789" s="33"/>
      <c r="BV789" s="33"/>
      <c r="BW789" s="33"/>
      <c r="BX789" s="33"/>
      <c r="BY789" s="33"/>
      <c r="BZ789" s="33"/>
      <c r="CA789" s="33"/>
      <c r="CB789" s="33"/>
      <c r="CC789" s="33"/>
      <c r="CD789" s="33"/>
      <c r="CE789" s="33"/>
      <c r="CF789" s="33"/>
      <c r="CG789" s="33"/>
      <c r="CH789" s="33"/>
      <c r="CI789" s="33"/>
      <c r="CJ789" s="33"/>
      <c r="CK789" s="33"/>
      <c r="CL789" s="33"/>
      <c r="CM789" s="33"/>
      <c r="CN789" s="33"/>
      <c r="CO789" s="33"/>
      <c r="CP789" s="33"/>
      <c r="CQ789" s="33"/>
      <c r="CR789" s="33"/>
      <c r="CS789" s="33"/>
      <c r="CT789" s="33"/>
      <c r="CU789" s="33"/>
      <c r="CV789" s="33"/>
      <c r="CW789" s="33"/>
      <c r="CX789" s="33"/>
      <c r="CY789" s="33"/>
      <c r="CZ789" s="33"/>
      <c r="DA789" s="33"/>
      <c r="DB789" s="33"/>
      <c r="DC789" s="33"/>
      <c r="DD789" s="33"/>
      <c r="DE789" s="33"/>
      <c r="DF789" s="33"/>
      <c r="DG789" s="33"/>
      <c r="DH789" s="33"/>
      <c r="DI789" s="33"/>
      <c r="DJ789" s="33"/>
      <c r="DK789" s="33"/>
      <c r="DL789" s="33"/>
      <c r="DM789" s="33"/>
      <c r="DN789" s="33"/>
      <c r="DO789" s="33"/>
      <c r="DP789" s="33"/>
      <c r="DQ789" s="33"/>
      <c r="DR789" s="33"/>
      <c r="DS789" s="33"/>
      <c r="DT789" s="33"/>
      <c r="DU789" s="33"/>
      <c r="DV789" s="33"/>
      <c r="DW789" s="33"/>
      <c r="DX789" s="33"/>
      <c r="DY789" s="33"/>
      <c r="DZ789" s="33"/>
      <c r="EA789" s="33"/>
      <c r="EB789" s="33"/>
      <c r="EC789" s="33"/>
      <c r="ED789" s="33"/>
      <c r="EE789" s="33"/>
      <c r="EF789" s="33"/>
      <c r="EG789" s="33"/>
      <c r="EH789" s="33"/>
      <c r="EI789" s="33"/>
      <c r="EJ789" s="33"/>
      <c r="EK789" s="33"/>
      <c r="EL789" s="33"/>
      <c r="EM789" s="33"/>
      <c r="EN789" s="33"/>
      <c r="EO789" s="33"/>
      <c r="EP789" s="33"/>
      <c r="EQ789" s="33"/>
      <c r="ER789" s="33"/>
      <c r="ES789" s="33"/>
    </row>
    <row r="790">
      <c r="A790" s="33"/>
      <c r="B790" s="33"/>
      <c r="C790" s="33"/>
      <c r="D790" s="33"/>
      <c r="E790" s="33"/>
      <c r="F790" s="33"/>
      <c r="G790" s="85"/>
      <c r="H790" s="85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33"/>
      <c r="Y790" s="33"/>
      <c r="Z790" s="33"/>
      <c r="AA790" s="33"/>
      <c r="AB790" s="33"/>
      <c r="AC790" s="33"/>
      <c r="AD790" s="33"/>
      <c r="AE790" s="33"/>
      <c r="AF790" s="33"/>
      <c r="AG790" s="33"/>
      <c r="AH790" s="33"/>
      <c r="AI790" s="33"/>
      <c r="AJ790" s="33"/>
      <c r="AK790" s="33"/>
      <c r="AL790" s="33"/>
      <c r="AM790" s="33"/>
      <c r="AN790" s="33"/>
      <c r="AO790" s="33"/>
      <c r="AP790" s="33"/>
      <c r="AQ790" s="33"/>
      <c r="AR790" s="33"/>
      <c r="AS790" s="33"/>
      <c r="AT790" s="33"/>
      <c r="AU790" s="33"/>
      <c r="AV790" s="33"/>
      <c r="AW790" s="33"/>
      <c r="AX790" s="33"/>
      <c r="AY790" s="33"/>
      <c r="AZ790" s="33"/>
      <c r="BA790" s="33"/>
      <c r="BB790" s="33"/>
      <c r="BC790" s="33"/>
      <c r="BD790" s="33"/>
      <c r="BE790" s="33"/>
      <c r="BF790" s="33"/>
      <c r="BG790" s="33"/>
      <c r="BH790" s="33"/>
      <c r="BI790" s="33"/>
      <c r="BJ790" s="33"/>
      <c r="BK790" s="33"/>
      <c r="BL790" s="33"/>
      <c r="BM790" s="33"/>
      <c r="BN790" s="33"/>
      <c r="BO790" s="33"/>
      <c r="BP790" s="33"/>
      <c r="BQ790" s="33"/>
      <c r="BR790" s="33"/>
      <c r="BS790" s="33"/>
      <c r="BT790" s="33"/>
      <c r="BU790" s="33"/>
      <c r="BV790" s="33"/>
      <c r="BW790" s="33"/>
      <c r="BX790" s="33"/>
      <c r="BY790" s="33"/>
      <c r="BZ790" s="33"/>
      <c r="CA790" s="33"/>
      <c r="CB790" s="33"/>
      <c r="CC790" s="33"/>
      <c r="CD790" s="33"/>
      <c r="CE790" s="33"/>
      <c r="CF790" s="33"/>
      <c r="CG790" s="33"/>
      <c r="CH790" s="33"/>
      <c r="CI790" s="33"/>
      <c r="CJ790" s="33"/>
      <c r="CK790" s="33"/>
      <c r="CL790" s="33"/>
      <c r="CM790" s="33"/>
      <c r="CN790" s="33"/>
      <c r="CO790" s="33"/>
      <c r="CP790" s="33"/>
      <c r="CQ790" s="33"/>
      <c r="CR790" s="33"/>
      <c r="CS790" s="33"/>
      <c r="CT790" s="33"/>
      <c r="CU790" s="33"/>
      <c r="CV790" s="33"/>
      <c r="CW790" s="33"/>
      <c r="CX790" s="33"/>
      <c r="CY790" s="33"/>
      <c r="CZ790" s="33"/>
      <c r="DA790" s="33"/>
      <c r="DB790" s="33"/>
      <c r="DC790" s="33"/>
      <c r="DD790" s="33"/>
      <c r="DE790" s="33"/>
      <c r="DF790" s="33"/>
      <c r="DG790" s="33"/>
      <c r="DH790" s="33"/>
      <c r="DI790" s="33"/>
      <c r="DJ790" s="33"/>
      <c r="DK790" s="33"/>
      <c r="DL790" s="33"/>
      <c r="DM790" s="33"/>
      <c r="DN790" s="33"/>
      <c r="DO790" s="33"/>
      <c r="DP790" s="33"/>
      <c r="DQ790" s="33"/>
      <c r="DR790" s="33"/>
      <c r="DS790" s="33"/>
      <c r="DT790" s="33"/>
      <c r="DU790" s="33"/>
      <c r="DV790" s="33"/>
      <c r="DW790" s="33"/>
      <c r="DX790" s="33"/>
      <c r="DY790" s="33"/>
      <c r="DZ790" s="33"/>
      <c r="EA790" s="33"/>
      <c r="EB790" s="33"/>
      <c r="EC790" s="33"/>
      <c r="ED790" s="33"/>
      <c r="EE790" s="33"/>
      <c r="EF790" s="33"/>
      <c r="EG790" s="33"/>
      <c r="EH790" s="33"/>
      <c r="EI790" s="33"/>
      <c r="EJ790" s="33"/>
      <c r="EK790" s="33"/>
      <c r="EL790" s="33"/>
      <c r="EM790" s="33"/>
      <c r="EN790" s="33"/>
      <c r="EO790" s="33"/>
      <c r="EP790" s="33"/>
      <c r="EQ790" s="33"/>
      <c r="ER790" s="33"/>
      <c r="ES790" s="33"/>
    </row>
    <row r="791">
      <c r="A791" s="33"/>
      <c r="B791" s="33"/>
      <c r="C791" s="33"/>
      <c r="D791" s="33"/>
      <c r="E791" s="33"/>
      <c r="F791" s="33"/>
      <c r="G791" s="85"/>
      <c r="H791" s="85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33"/>
      <c r="Y791" s="33"/>
      <c r="Z791" s="33"/>
      <c r="AA791" s="33"/>
      <c r="AB791" s="33"/>
      <c r="AC791" s="33"/>
      <c r="AD791" s="33"/>
      <c r="AE791" s="33"/>
      <c r="AF791" s="33"/>
      <c r="AG791" s="33"/>
      <c r="AH791" s="33"/>
      <c r="AI791" s="33"/>
      <c r="AJ791" s="33"/>
      <c r="AK791" s="33"/>
      <c r="AL791" s="33"/>
      <c r="AM791" s="33"/>
      <c r="AN791" s="33"/>
      <c r="AO791" s="33"/>
      <c r="AP791" s="33"/>
      <c r="AQ791" s="33"/>
      <c r="AR791" s="33"/>
      <c r="AS791" s="33"/>
      <c r="AT791" s="33"/>
      <c r="AU791" s="33"/>
      <c r="AV791" s="33"/>
      <c r="AW791" s="33"/>
      <c r="AX791" s="33"/>
      <c r="AY791" s="33"/>
      <c r="AZ791" s="33"/>
      <c r="BA791" s="33"/>
      <c r="BB791" s="33"/>
      <c r="BC791" s="33"/>
      <c r="BD791" s="33"/>
      <c r="BE791" s="33"/>
      <c r="BF791" s="33"/>
      <c r="BG791" s="33"/>
      <c r="BH791" s="33"/>
      <c r="BI791" s="33"/>
      <c r="BJ791" s="33"/>
      <c r="BK791" s="33"/>
      <c r="BL791" s="33"/>
      <c r="BM791" s="33"/>
      <c r="BN791" s="33"/>
      <c r="BO791" s="33"/>
      <c r="BP791" s="33"/>
      <c r="BQ791" s="33"/>
      <c r="BR791" s="33"/>
      <c r="BS791" s="33"/>
      <c r="BT791" s="33"/>
      <c r="BU791" s="33"/>
      <c r="BV791" s="33"/>
      <c r="BW791" s="33"/>
      <c r="BX791" s="33"/>
      <c r="BY791" s="33"/>
      <c r="BZ791" s="33"/>
      <c r="CA791" s="33"/>
      <c r="CB791" s="33"/>
      <c r="CC791" s="33"/>
      <c r="CD791" s="33"/>
      <c r="CE791" s="33"/>
      <c r="CF791" s="33"/>
      <c r="CG791" s="33"/>
      <c r="CH791" s="33"/>
      <c r="CI791" s="33"/>
      <c r="CJ791" s="33"/>
      <c r="CK791" s="33"/>
      <c r="CL791" s="33"/>
      <c r="CM791" s="33"/>
      <c r="CN791" s="33"/>
      <c r="CO791" s="33"/>
      <c r="CP791" s="33"/>
      <c r="CQ791" s="33"/>
      <c r="CR791" s="33"/>
      <c r="CS791" s="33"/>
      <c r="CT791" s="33"/>
      <c r="CU791" s="33"/>
      <c r="CV791" s="33"/>
      <c r="CW791" s="33"/>
      <c r="CX791" s="33"/>
      <c r="CY791" s="33"/>
      <c r="CZ791" s="33"/>
      <c r="DA791" s="33"/>
      <c r="DB791" s="33"/>
      <c r="DC791" s="33"/>
      <c r="DD791" s="33"/>
      <c r="DE791" s="33"/>
      <c r="DF791" s="33"/>
      <c r="DG791" s="33"/>
      <c r="DH791" s="33"/>
      <c r="DI791" s="33"/>
      <c r="DJ791" s="33"/>
      <c r="DK791" s="33"/>
      <c r="DL791" s="33"/>
      <c r="DM791" s="33"/>
      <c r="DN791" s="33"/>
      <c r="DO791" s="33"/>
      <c r="DP791" s="33"/>
      <c r="DQ791" s="33"/>
      <c r="DR791" s="33"/>
      <c r="DS791" s="33"/>
      <c r="DT791" s="33"/>
      <c r="DU791" s="33"/>
      <c r="DV791" s="33"/>
      <c r="DW791" s="33"/>
      <c r="DX791" s="33"/>
      <c r="DY791" s="33"/>
      <c r="DZ791" s="33"/>
      <c r="EA791" s="33"/>
      <c r="EB791" s="33"/>
      <c r="EC791" s="33"/>
      <c r="ED791" s="33"/>
      <c r="EE791" s="33"/>
      <c r="EF791" s="33"/>
      <c r="EG791" s="33"/>
      <c r="EH791" s="33"/>
      <c r="EI791" s="33"/>
      <c r="EJ791" s="33"/>
      <c r="EK791" s="33"/>
      <c r="EL791" s="33"/>
      <c r="EM791" s="33"/>
      <c r="EN791" s="33"/>
      <c r="EO791" s="33"/>
      <c r="EP791" s="33"/>
      <c r="EQ791" s="33"/>
      <c r="ER791" s="33"/>
      <c r="ES791" s="33"/>
    </row>
    <row r="792">
      <c r="A792" s="33"/>
      <c r="B792" s="33"/>
      <c r="C792" s="33"/>
      <c r="D792" s="33"/>
      <c r="E792" s="33"/>
      <c r="F792" s="33"/>
      <c r="G792" s="85"/>
      <c r="H792" s="85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33"/>
      <c r="Y792" s="33"/>
      <c r="Z792" s="33"/>
      <c r="AA792" s="33"/>
      <c r="AB792" s="33"/>
      <c r="AC792" s="33"/>
      <c r="AD792" s="33"/>
      <c r="AE792" s="33"/>
      <c r="AF792" s="33"/>
      <c r="AG792" s="33"/>
      <c r="AH792" s="33"/>
      <c r="AI792" s="33"/>
      <c r="AJ792" s="33"/>
      <c r="AK792" s="33"/>
      <c r="AL792" s="33"/>
      <c r="AM792" s="33"/>
      <c r="AN792" s="33"/>
      <c r="AO792" s="33"/>
      <c r="AP792" s="33"/>
      <c r="AQ792" s="33"/>
      <c r="AR792" s="33"/>
      <c r="AS792" s="33"/>
      <c r="AT792" s="33"/>
      <c r="AU792" s="33"/>
      <c r="AV792" s="33"/>
      <c r="AW792" s="33"/>
      <c r="AX792" s="33"/>
      <c r="AY792" s="33"/>
      <c r="AZ792" s="33"/>
      <c r="BA792" s="33"/>
      <c r="BB792" s="33"/>
      <c r="BC792" s="33"/>
      <c r="BD792" s="33"/>
      <c r="BE792" s="33"/>
      <c r="BF792" s="33"/>
      <c r="BG792" s="33"/>
      <c r="BH792" s="33"/>
      <c r="BI792" s="33"/>
      <c r="BJ792" s="33"/>
      <c r="BK792" s="33"/>
      <c r="BL792" s="33"/>
      <c r="BM792" s="33"/>
      <c r="BN792" s="33"/>
      <c r="BO792" s="33"/>
      <c r="BP792" s="33"/>
      <c r="BQ792" s="33"/>
      <c r="BR792" s="33"/>
      <c r="BS792" s="33"/>
      <c r="BT792" s="33"/>
      <c r="BU792" s="33"/>
      <c r="BV792" s="33"/>
      <c r="BW792" s="33"/>
      <c r="BX792" s="33"/>
      <c r="BY792" s="33"/>
      <c r="BZ792" s="33"/>
      <c r="CA792" s="33"/>
      <c r="CB792" s="33"/>
      <c r="CC792" s="33"/>
      <c r="CD792" s="33"/>
      <c r="CE792" s="33"/>
      <c r="CF792" s="33"/>
      <c r="CG792" s="33"/>
      <c r="CH792" s="33"/>
      <c r="CI792" s="33"/>
      <c r="CJ792" s="33"/>
      <c r="CK792" s="33"/>
      <c r="CL792" s="33"/>
      <c r="CM792" s="33"/>
      <c r="CN792" s="33"/>
      <c r="CO792" s="33"/>
      <c r="CP792" s="33"/>
      <c r="CQ792" s="33"/>
      <c r="CR792" s="33"/>
      <c r="CS792" s="33"/>
      <c r="CT792" s="33"/>
      <c r="CU792" s="33"/>
      <c r="CV792" s="33"/>
      <c r="CW792" s="33"/>
      <c r="CX792" s="33"/>
      <c r="CY792" s="33"/>
      <c r="CZ792" s="33"/>
      <c r="DA792" s="33"/>
      <c r="DB792" s="33"/>
      <c r="DC792" s="33"/>
      <c r="DD792" s="33"/>
      <c r="DE792" s="33"/>
      <c r="DF792" s="33"/>
      <c r="DG792" s="33"/>
      <c r="DH792" s="33"/>
      <c r="DI792" s="33"/>
      <c r="DJ792" s="33"/>
      <c r="DK792" s="33"/>
      <c r="DL792" s="33"/>
      <c r="DM792" s="33"/>
      <c r="DN792" s="33"/>
      <c r="DO792" s="33"/>
      <c r="DP792" s="33"/>
      <c r="DQ792" s="33"/>
      <c r="DR792" s="33"/>
      <c r="DS792" s="33"/>
      <c r="DT792" s="33"/>
      <c r="DU792" s="33"/>
      <c r="DV792" s="33"/>
      <c r="DW792" s="33"/>
      <c r="DX792" s="33"/>
      <c r="DY792" s="33"/>
      <c r="DZ792" s="33"/>
      <c r="EA792" s="33"/>
      <c r="EB792" s="33"/>
      <c r="EC792" s="33"/>
      <c r="ED792" s="33"/>
      <c r="EE792" s="33"/>
      <c r="EF792" s="33"/>
      <c r="EG792" s="33"/>
      <c r="EH792" s="33"/>
      <c r="EI792" s="33"/>
      <c r="EJ792" s="33"/>
      <c r="EK792" s="33"/>
      <c r="EL792" s="33"/>
      <c r="EM792" s="33"/>
      <c r="EN792" s="33"/>
      <c r="EO792" s="33"/>
      <c r="EP792" s="33"/>
      <c r="EQ792" s="33"/>
      <c r="ER792" s="33"/>
      <c r="ES792" s="33"/>
    </row>
    <row r="793">
      <c r="A793" s="33"/>
      <c r="B793" s="33"/>
      <c r="C793" s="33"/>
      <c r="D793" s="33"/>
      <c r="E793" s="33"/>
      <c r="F793" s="33"/>
      <c r="G793" s="85"/>
      <c r="H793" s="85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33"/>
      <c r="Y793" s="33"/>
      <c r="Z793" s="33"/>
      <c r="AA793" s="33"/>
      <c r="AB793" s="33"/>
      <c r="AC793" s="33"/>
      <c r="AD793" s="33"/>
      <c r="AE793" s="33"/>
      <c r="AF793" s="33"/>
      <c r="AG793" s="33"/>
      <c r="AH793" s="33"/>
      <c r="AI793" s="33"/>
      <c r="AJ793" s="33"/>
      <c r="AK793" s="33"/>
      <c r="AL793" s="33"/>
      <c r="AM793" s="33"/>
      <c r="AN793" s="33"/>
      <c r="AO793" s="33"/>
      <c r="AP793" s="33"/>
      <c r="AQ793" s="33"/>
      <c r="AR793" s="33"/>
      <c r="AS793" s="33"/>
      <c r="AT793" s="33"/>
      <c r="AU793" s="33"/>
      <c r="AV793" s="33"/>
      <c r="AW793" s="33"/>
      <c r="AX793" s="33"/>
      <c r="AY793" s="33"/>
      <c r="AZ793" s="33"/>
      <c r="BA793" s="33"/>
      <c r="BB793" s="33"/>
      <c r="BC793" s="33"/>
      <c r="BD793" s="33"/>
      <c r="BE793" s="33"/>
      <c r="BF793" s="33"/>
      <c r="BG793" s="33"/>
      <c r="BH793" s="33"/>
      <c r="BI793" s="33"/>
      <c r="BJ793" s="33"/>
      <c r="BK793" s="33"/>
      <c r="BL793" s="33"/>
      <c r="BM793" s="33"/>
      <c r="BN793" s="33"/>
      <c r="BO793" s="33"/>
      <c r="BP793" s="33"/>
      <c r="BQ793" s="33"/>
      <c r="BR793" s="33"/>
      <c r="BS793" s="33"/>
      <c r="BT793" s="33"/>
      <c r="BU793" s="33"/>
      <c r="BV793" s="33"/>
      <c r="BW793" s="33"/>
      <c r="BX793" s="33"/>
      <c r="BY793" s="33"/>
      <c r="BZ793" s="33"/>
      <c r="CA793" s="33"/>
      <c r="CB793" s="33"/>
      <c r="CC793" s="33"/>
      <c r="CD793" s="33"/>
      <c r="CE793" s="33"/>
      <c r="CF793" s="33"/>
      <c r="CG793" s="33"/>
      <c r="CH793" s="33"/>
      <c r="CI793" s="33"/>
      <c r="CJ793" s="33"/>
      <c r="CK793" s="33"/>
      <c r="CL793" s="33"/>
      <c r="CM793" s="33"/>
      <c r="CN793" s="33"/>
      <c r="CO793" s="33"/>
      <c r="CP793" s="33"/>
      <c r="CQ793" s="33"/>
      <c r="CR793" s="33"/>
      <c r="CS793" s="33"/>
      <c r="CT793" s="33"/>
      <c r="CU793" s="33"/>
      <c r="CV793" s="33"/>
      <c r="CW793" s="33"/>
      <c r="CX793" s="33"/>
      <c r="CY793" s="33"/>
      <c r="CZ793" s="33"/>
      <c r="DA793" s="33"/>
      <c r="DB793" s="33"/>
      <c r="DC793" s="33"/>
      <c r="DD793" s="33"/>
      <c r="DE793" s="33"/>
      <c r="DF793" s="33"/>
      <c r="DG793" s="33"/>
      <c r="DH793" s="33"/>
      <c r="DI793" s="33"/>
      <c r="DJ793" s="33"/>
      <c r="DK793" s="33"/>
      <c r="DL793" s="33"/>
      <c r="DM793" s="33"/>
      <c r="DN793" s="33"/>
      <c r="DO793" s="33"/>
      <c r="DP793" s="33"/>
      <c r="DQ793" s="33"/>
      <c r="DR793" s="33"/>
      <c r="DS793" s="33"/>
      <c r="DT793" s="33"/>
      <c r="DU793" s="33"/>
      <c r="DV793" s="33"/>
      <c r="DW793" s="33"/>
      <c r="DX793" s="33"/>
      <c r="DY793" s="33"/>
      <c r="DZ793" s="33"/>
      <c r="EA793" s="33"/>
      <c r="EB793" s="33"/>
      <c r="EC793" s="33"/>
      <c r="ED793" s="33"/>
      <c r="EE793" s="33"/>
      <c r="EF793" s="33"/>
      <c r="EG793" s="33"/>
      <c r="EH793" s="33"/>
      <c r="EI793" s="33"/>
      <c r="EJ793" s="33"/>
      <c r="EK793" s="33"/>
      <c r="EL793" s="33"/>
      <c r="EM793" s="33"/>
      <c r="EN793" s="33"/>
      <c r="EO793" s="33"/>
      <c r="EP793" s="33"/>
      <c r="EQ793" s="33"/>
      <c r="ER793" s="33"/>
      <c r="ES793" s="33"/>
    </row>
    <row r="794">
      <c r="A794" s="33"/>
      <c r="B794" s="33"/>
      <c r="C794" s="33"/>
      <c r="D794" s="33"/>
      <c r="E794" s="33"/>
      <c r="F794" s="33"/>
      <c r="G794" s="85"/>
      <c r="H794" s="85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33"/>
      <c r="Y794" s="33"/>
      <c r="Z794" s="33"/>
      <c r="AA794" s="33"/>
      <c r="AB794" s="33"/>
      <c r="AC794" s="33"/>
      <c r="AD794" s="33"/>
      <c r="AE794" s="33"/>
      <c r="AF794" s="33"/>
      <c r="AG794" s="33"/>
      <c r="AH794" s="33"/>
      <c r="AI794" s="33"/>
      <c r="AJ794" s="33"/>
      <c r="AK794" s="33"/>
      <c r="AL794" s="33"/>
      <c r="AM794" s="33"/>
      <c r="AN794" s="33"/>
      <c r="AO794" s="33"/>
      <c r="AP794" s="33"/>
      <c r="AQ794" s="33"/>
      <c r="AR794" s="33"/>
      <c r="AS794" s="33"/>
      <c r="AT794" s="33"/>
      <c r="AU794" s="33"/>
      <c r="AV794" s="33"/>
      <c r="AW794" s="33"/>
      <c r="AX794" s="33"/>
      <c r="AY794" s="33"/>
      <c r="AZ794" s="33"/>
      <c r="BA794" s="33"/>
      <c r="BB794" s="33"/>
      <c r="BC794" s="33"/>
      <c r="BD794" s="33"/>
      <c r="BE794" s="33"/>
      <c r="BF794" s="33"/>
      <c r="BG794" s="33"/>
      <c r="BH794" s="33"/>
      <c r="BI794" s="33"/>
      <c r="BJ794" s="33"/>
      <c r="BK794" s="33"/>
      <c r="BL794" s="33"/>
      <c r="BM794" s="33"/>
      <c r="BN794" s="33"/>
      <c r="BO794" s="33"/>
      <c r="BP794" s="33"/>
      <c r="BQ794" s="33"/>
      <c r="BR794" s="33"/>
      <c r="BS794" s="33"/>
      <c r="BT794" s="33"/>
      <c r="BU794" s="33"/>
      <c r="BV794" s="33"/>
      <c r="BW794" s="33"/>
      <c r="BX794" s="33"/>
      <c r="BY794" s="33"/>
      <c r="BZ794" s="33"/>
      <c r="CA794" s="33"/>
      <c r="CB794" s="33"/>
      <c r="CC794" s="33"/>
      <c r="CD794" s="33"/>
      <c r="CE794" s="33"/>
      <c r="CF794" s="33"/>
      <c r="CG794" s="33"/>
      <c r="CH794" s="33"/>
      <c r="CI794" s="33"/>
      <c r="CJ794" s="33"/>
      <c r="CK794" s="33"/>
      <c r="CL794" s="33"/>
      <c r="CM794" s="33"/>
      <c r="CN794" s="33"/>
      <c r="CO794" s="33"/>
      <c r="CP794" s="33"/>
      <c r="CQ794" s="33"/>
      <c r="CR794" s="33"/>
      <c r="CS794" s="33"/>
      <c r="CT794" s="33"/>
      <c r="CU794" s="33"/>
      <c r="CV794" s="33"/>
      <c r="CW794" s="33"/>
      <c r="CX794" s="33"/>
      <c r="CY794" s="33"/>
      <c r="CZ794" s="33"/>
      <c r="DA794" s="33"/>
      <c r="DB794" s="33"/>
      <c r="DC794" s="33"/>
      <c r="DD794" s="33"/>
      <c r="DE794" s="33"/>
      <c r="DF794" s="33"/>
      <c r="DG794" s="33"/>
      <c r="DH794" s="33"/>
      <c r="DI794" s="33"/>
      <c r="DJ794" s="33"/>
      <c r="DK794" s="33"/>
      <c r="DL794" s="33"/>
      <c r="DM794" s="33"/>
      <c r="DN794" s="33"/>
      <c r="DO794" s="33"/>
      <c r="DP794" s="33"/>
      <c r="DQ794" s="33"/>
      <c r="DR794" s="33"/>
      <c r="DS794" s="33"/>
      <c r="DT794" s="33"/>
      <c r="DU794" s="33"/>
      <c r="DV794" s="33"/>
      <c r="DW794" s="33"/>
      <c r="DX794" s="33"/>
      <c r="DY794" s="33"/>
      <c r="DZ794" s="33"/>
      <c r="EA794" s="33"/>
      <c r="EB794" s="33"/>
      <c r="EC794" s="33"/>
      <c r="ED794" s="33"/>
      <c r="EE794" s="33"/>
      <c r="EF794" s="33"/>
      <c r="EG794" s="33"/>
      <c r="EH794" s="33"/>
      <c r="EI794" s="33"/>
      <c r="EJ794" s="33"/>
      <c r="EK794" s="33"/>
      <c r="EL794" s="33"/>
      <c r="EM794" s="33"/>
      <c r="EN794" s="33"/>
      <c r="EO794" s="33"/>
      <c r="EP794" s="33"/>
      <c r="EQ794" s="33"/>
      <c r="ER794" s="33"/>
      <c r="ES794" s="33"/>
    </row>
    <row r="795">
      <c r="A795" s="33"/>
      <c r="B795" s="33"/>
      <c r="C795" s="33"/>
      <c r="D795" s="33"/>
      <c r="E795" s="33"/>
      <c r="F795" s="33"/>
      <c r="G795" s="85"/>
      <c r="H795" s="85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33"/>
      <c r="Y795" s="33"/>
      <c r="Z795" s="33"/>
      <c r="AA795" s="33"/>
      <c r="AB795" s="33"/>
      <c r="AC795" s="33"/>
      <c r="AD795" s="33"/>
      <c r="AE795" s="33"/>
      <c r="AF795" s="33"/>
      <c r="AG795" s="33"/>
      <c r="AH795" s="33"/>
      <c r="AI795" s="33"/>
      <c r="AJ795" s="33"/>
      <c r="AK795" s="33"/>
      <c r="AL795" s="33"/>
      <c r="AM795" s="33"/>
      <c r="AN795" s="33"/>
      <c r="AO795" s="33"/>
      <c r="AP795" s="33"/>
      <c r="AQ795" s="33"/>
      <c r="AR795" s="33"/>
      <c r="AS795" s="33"/>
      <c r="AT795" s="33"/>
      <c r="AU795" s="33"/>
      <c r="AV795" s="33"/>
      <c r="AW795" s="33"/>
      <c r="AX795" s="33"/>
      <c r="AY795" s="33"/>
      <c r="AZ795" s="33"/>
      <c r="BA795" s="33"/>
      <c r="BB795" s="33"/>
      <c r="BC795" s="33"/>
      <c r="BD795" s="33"/>
      <c r="BE795" s="33"/>
      <c r="BF795" s="33"/>
      <c r="BG795" s="33"/>
      <c r="BH795" s="33"/>
      <c r="BI795" s="33"/>
      <c r="BJ795" s="33"/>
      <c r="BK795" s="33"/>
      <c r="BL795" s="33"/>
      <c r="BM795" s="33"/>
      <c r="BN795" s="33"/>
      <c r="BO795" s="33"/>
      <c r="BP795" s="33"/>
      <c r="BQ795" s="33"/>
      <c r="BR795" s="33"/>
      <c r="BS795" s="33"/>
      <c r="BT795" s="33"/>
      <c r="BU795" s="33"/>
      <c r="BV795" s="33"/>
      <c r="BW795" s="33"/>
      <c r="BX795" s="33"/>
      <c r="BY795" s="33"/>
      <c r="BZ795" s="33"/>
      <c r="CA795" s="33"/>
      <c r="CB795" s="33"/>
      <c r="CC795" s="33"/>
      <c r="CD795" s="33"/>
      <c r="CE795" s="33"/>
      <c r="CF795" s="33"/>
      <c r="CG795" s="33"/>
      <c r="CH795" s="33"/>
      <c r="CI795" s="33"/>
      <c r="CJ795" s="33"/>
      <c r="CK795" s="33"/>
      <c r="CL795" s="33"/>
      <c r="CM795" s="33"/>
      <c r="CN795" s="33"/>
      <c r="CO795" s="33"/>
      <c r="CP795" s="33"/>
      <c r="CQ795" s="33"/>
      <c r="CR795" s="33"/>
      <c r="CS795" s="33"/>
      <c r="CT795" s="33"/>
      <c r="CU795" s="33"/>
      <c r="CV795" s="33"/>
      <c r="CW795" s="33"/>
      <c r="CX795" s="33"/>
      <c r="CY795" s="33"/>
      <c r="CZ795" s="33"/>
      <c r="DA795" s="33"/>
      <c r="DB795" s="33"/>
      <c r="DC795" s="33"/>
      <c r="DD795" s="33"/>
      <c r="DE795" s="33"/>
      <c r="DF795" s="33"/>
      <c r="DG795" s="33"/>
      <c r="DH795" s="33"/>
      <c r="DI795" s="33"/>
      <c r="DJ795" s="33"/>
      <c r="DK795" s="33"/>
      <c r="DL795" s="33"/>
      <c r="DM795" s="33"/>
      <c r="DN795" s="33"/>
      <c r="DO795" s="33"/>
      <c r="DP795" s="33"/>
      <c r="DQ795" s="33"/>
      <c r="DR795" s="33"/>
      <c r="DS795" s="33"/>
      <c r="DT795" s="33"/>
      <c r="DU795" s="33"/>
      <c r="DV795" s="33"/>
      <c r="DW795" s="33"/>
      <c r="DX795" s="33"/>
      <c r="DY795" s="33"/>
      <c r="DZ795" s="33"/>
      <c r="EA795" s="33"/>
      <c r="EB795" s="33"/>
      <c r="EC795" s="33"/>
      <c r="ED795" s="33"/>
      <c r="EE795" s="33"/>
      <c r="EF795" s="33"/>
      <c r="EG795" s="33"/>
      <c r="EH795" s="33"/>
      <c r="EI795" s="33"/>
      <c r="EJ795" s="33"/>
      <c r="EK795" s="33"/>
      <c r="EL795" s="33"/>
      <c r="EM795" s="33"/>
      <c r="EN795" s="33"/>
      <c r="EO795" s="33"/>
      <c r="EP795" s="33"/>
      <c r="EQ795" s="33"/>
      <c r="ER795" s="33"/>
      <c r="ES795" s="33"/>
    </row>
    <row r="796">
      <c r="A796" s="33"/>
      <c r="B796" s="33"/>
      <c r="C796" s="33"/>
      <c r="D796" s="33"/>
      <c r="E796" s="33"/>
      <c r="F796" s="33"/>
      <c r="G796" s="85"/>
      <c r="H796" s="85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33"/>
      <c r="Y796" s="33"/>
      <c r="Z796" s="33"/>
      <c r="AA796" s="33"/>
      <c r="AB796" s="33"/>
      <c r="AC796" s="33"/>
      <c r="AD796" s="33"/>
      <c r="AE796" s="33"/>
      <c r="AF796" s="33"/>
      <c r="AG796" s="33"/>
      <c r="AH796" s="33"/>
      <c r="AI796" s="33"/>
      <c r="AJ796" s="33"/>
      <c r="AK796" s="33"/>
      <c r="AL796" s="33"/>
      <c r="AM796" s="33"/>
      <c r="AN796" s="33"/>
      <c r="AO796" s="33"/>
      <c r="AP796" s="33"/>
      <c r="AQ796" s="33"/>
      <c r="AR796" s="33"/>
      <c r="AS796" s="33"/>
      <c r="AT796" s="33"/>
      <c r="AU796" s="33"/>
      <c r="AV796" s="33"/>
      <c r="AW796" s="33"/>
      <c r="AX796" s="33"/>
      <c r="AY796" s="33"/>
      <c r="AZ796" s="33"/>
      <c r="BA796" s="33"/>
      <c r="BB796" s="33"/>
      <c r="BC796" s="33"/>
      <c r="BD796" s="33"/>
      <c r="BE796" s="33"/>
      <c r="BF796" s="33"/>
      <c r="BG796" s="33"/>
      <c r="BH796" s="33"/>
      <c r="BI796" s="33"/>
      <c r="BJ796" s="33"/>
      <c r="BK796" s="33"/>
      <c r="BL796" s="33"/>
      <c r="BM796" s="33"/>
      <c r="BN796" s="33"/>
      <c r="BO796" s="33"/>
      <c r="BP796" s="33"/>
      <c r="BQ796" s="33"/>
      <c r="BR796" s="33"/>
      <c r="BS796" s="33"/>
      <c r="BT796" s="33"/>
      <c r="BU796" s="33"/>
      <c r="BV796" s="33"/>
      <c r="BW796" s="33"/>
      <c r="BX796" s="33"/>
      <c r="BY796" s="33"/>
      <c r="BZ796" s="33"/>
      <c r="CA796" s="33"/>
      <c r="CB796" s="33"/>
      <c r="CC796" s="33"/>
      <c r="CD796" s="33"/>
      <c r="CE796" s="33"/>
      <c r="CF796" s="33"/>
      <c r="CG796" s="33"/>
      <c r="CH796" s="33"/>
      <c r="CI796" s="33"/>
      <c r="CJ796" s="33"/>
      <c r="CK796" s="33"/>
      <c r="CL796" s="33"/>
      <c r="CM796" s="33"/>
      <c r="CN796" s="33"/>
      <c r="CO796" s="33"/>
      <c r="CP796" s="33"/>
      <c r="CQ796" s="33"/>
      <c r="CR796" s="33"/>
      <c r="CS796" s="33"/>
      <c r="CT796" s="33"/>
      <c r="CU796" s="33"/>
      <c r="CV796" s="33"/>
      <c r="CW796" s="33"/>
      <c r="CX796" s="33"/>
      <c r="CY796" s="33"/>
      <c r="CZ796" s="33"/>
      <c r="DA796" s="33"/>
      <c r="DB796" s="33"/>
      <c r="DC796" s="33"/>
      <c r="DD796" s="33"/>
      <c r="DE796" s="33"/>
      <c r="DF796" s="33"/>
      <c r="DG796" s="33"/>
      <c r="DH796" s="33"/>
      <c r="DI796" s="33"/>
      <c r="DJ796" s="33"/>
      <c r="DK796" s="33"/>
      <c r="DL796" s="33"/>
      <c r="DM796" s="33"/>
      <c r="DN796" s="33"/>
      <c r="DO796" s="33"/>
      <c r="DP796" s="33"/>
      <c r="DQ796" s="33"/>
      <c r="DR796" s="33"/>
      <c r="DS796" s="33"/>
      <c r="DT796" s="33"/>
      <c r="DU796" s="33"/>
      <c r="DV796" s="33"/>
      <c r="DW796" s="33"/>
      <c r="DX796" s="33"/>
      <c r="DY796" s="33"/>
      <c r="DZ796" s="33"/>
      <c r="EA796" s="33"/>
      <c r="EB796" s="33"/>
      <c r="EC796" s="33"/>
      <c r="ED796" s="33"/>
      <c r="EE796" s="33"/>
      <c r="EF796" s="33"/>
      <c r="EG796" s="33"/>
      <c r="EH796" s="33"/>
      <c r="EI796" s="33"/>
      <c r="EJ796" s="33"/>
      <c r="EK796" s="33"/>
      <c r="EL796" s="33"/>
      <c r="EM796" s="33"/>
      <c r="EN796" s="33"/>
      <c r="EO796" s="33"/>
      <c r="EP796" s="33"/>
      <c r="EQ796" s="33"/>
      <c r="ER796" s="33"/>
      <c r="ES796" s="33"/>
    </row>
    <row r="797">
      <c r="A797" s="33"/>
      <c r="B797" s="33"/>
      <c r="C797" s="33"/>
      <c r="D797" s="33"/>
      <c r="E797" s="33"/>
      <c r="F797" s="33"/>
      <c r="G797" s="85"/>
      <c r="H797" s="85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33"/>
      <c r="Y797" s="33"/>
      <c r="Z797" s="33"/>
      <c r="AA797" s="33"/>
      <c r="AB797" s="33"/>
      <c r="AC797" s="33"/>
      <c r="AD797" s="33"/>
      <c r="AE797" s="33"/>
      <c r="AF797" s="33"/>
      <c r="AG797" s="33"/>
      <c r="AH797" s="33"/>
      <c r="AI797" s="33"/>
      <c r="AJ797" s="33"/>
      <c r="AK797" s="33"/>
      <c r="AL797" s="33"/>
      <c r="AM797" s="33"/>
      <c r="AN797" s="33"/>
      <c r="AO797" s="33"/>
      <c r="AP797" s="33"/>
      <c r="AQ797" s="33"/>
      <c r="AR797" s="33"/>
      <c r="AS797" s="33"/>
      <c r="AT797" s="33"/>
      <c r="AU797" s="33"/>
      <c r="AV797" s="33"/>
      <c r="AW797" s="33"/>
      <c r="AX797" s="33"/>
      <c r="AY797" s="33"/>
      <c r="AZ797" s="33"/>
      <c r="BA797" s="33"/>
      <c r="BB797" s="33"/>
      <c r="BC797" s="33"/>
      <c r="BD797" s="33"/>
      <c r="BE797" s="33"/>
      <c r="BF797" s="33"/>
      <c r="BG797" s="33"/>
      <c r="BH797" s="33"/>
      <c r="BI797" s="33"/>
      <c r="BJ797" s="33"/>
      <c r="BK797" s="33"/>
      <c r="BL797" s="33"/>
      <c r="BM797" s="33"/>
      <c r="BN797" s="33"/>
      <c r="BO797" s="33"/>
      <c r="BP797" s="33"/>
      <c r="BQ797" s="33"/>
      <c r="BR797" s="33"/>
      <c r="BS797" s="33"/>
      <c r="BT797" s="33"/>
      <c r="BU797" s="33"/>
      <c r="BV797" s="33"/>
      <c r="BW797" s="33"/>
      <c r="BX797" s="33"/>
      <c r="BY797" s="33"/>
      <c r="BZ797" s="33"/>
      <c r="CA797" s="33"/>
      <c r="CB797" s="33"/>
      <c r="CC797" s="33"/>
      <c r="CD797" s="33"/>
      <c r="CE797" s="33"/>
      <c r="CF797" s="33"/>
      <c r="CG797" s="33"/>
      <c r="CH797" s="33"/>
      <c r="CI797" s="33"/>
      <c r="CJ797" s="33"/>
      <c r="CK797" s="33"/>
      <c r="CL797" s="33"/>
      <c r="CM797" s="33"/>
      <c r="CN797" s="33"/>
      <c r="CO797" s="33"/>
      <c r="CP797" s="33"/>
      <c r="CQ797" s="33"/>
      <c r="CR797" s="33"/>
      <c r="CS797" s="33"/>
      <c r="CT797" s="33"/>
      <c r="CU797" s="33"/>
      <c r="CV797" s="33"/>
      <c r="CW797" s="33"/>
      <c r="CX797" s="33"/>
      <c r="CY797" s="33"/>
      <c r="CZ797" s="33"/>
      <c r="DA797" s="33"/>
      <c r="DB797" s="33"/>
      <c r="DC797" s="33"/>
      <c r="DD797" s="33"/>
      <c r="DE797" s="33"/>
      <c r="DF797" s="33"/>
      <c r="DG797" s="33"/>
      <c r="DH797" s="33"/>
      <c r="DI797" s="33"/>
      <c r="DJ797" s="33"/>
      <c r="DK797" s="33"/>
      <c r="DL797" s="33"/>
      <c r="DM797" s="33"/>
      <c r="DN797" s="33"/>
      <c r="DO797" s="33"/>
      <c r="DP797" s="33"/>
      <c r="DQ797" s="33"/>
      <c r="DR797" s="33"/>
      <c r="DS797" s="33"/>
      <c r="DT797" s="33"/>
      <c r="DU797" s="33"/>
      <c r="DV797" s="33"/>
      <c r="DW797" s="33"/>
      <c r="DX797" s="33"/>
      <c r="DY797" s="33"/>
      <c r="DZ797" s="33"/>
      <c r="EA797" s="33"/>
      <c r="EB797" s="33"/>
      <c r="EC797" s="33"/>
      <c r="ED797" s="33"/>
      <c r="EE797" s="33"/>
      <c r="EF797" s="33"/>
      <c r="EG797" s="33"/>
      <c r="EH797" s="33"/>
      <c r="EI797" s="33"/>
      <c r="EJ797" s="33"/>
      <c r="EK797" s="33"/>
      <c r="EL797" s="33"/>
      <c r="EM797" s="33"/>
      <c r="EN797" s="33"/>
      <c r="EO797" s="33"/>
      <c r="EP797" s="33"/>
      <c r="EQ797" s="33"/>
      <c r="ER797" s="33"/>
      <c r="ES797" s="33"/>
    </row>
    <row r="798">
      <c r="A798" s="33"/>
      <c r="B798" s="33"/>
      <c r="C798" s="33"/>
      <c r="D798" s="33"/>
      <c r="E798" s="33"/>
      <c r="F798" s="33"/>
      <c r="G798" s="85"/>
      <c r="H798" s="85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33"/>
      <c r="Y798" s="33"/>
      <c r="Z798" s="33"/>
      <c r="AA798" s="33"/>
      <c r="AB798" s="33"/>
      <c r="AC798" s="33"/>
      <c r="AD798" s="33"/>
      <c r="AE798" s="33"/>
      <c r="AF798" s="33"/>
      <c r="AG798" s="33"/>
      <c r="AH798" s="33"/>
      <c r="AI798" s="33"/>
      <c r="AJ798" s="33"/>
      <c r="AK798" s="33"/>
      <c r="AL798" s="33"/>
      <c r="AM798" s="33"/>
      <c r="AN798" s="33"/>
      <c r="AO798" s="33"/>
      <c r="AP798" s="33"/>
      <c r="AQ798" s="33"/>
      <c r="AR798" s="33"/>
      <c r="AS798" s="33"/>
      <c r="AT798" s="33"/>
      <c r="AU798" s="33"/>
      <c r="AV798" s="33"/>
      <c r="AW798" s="33"/>
      <c r="AX798" s="33"/>
      <c r="AY798" s="33"/>
      <c r="AZ798" s="33"/>
      <c r="BA798" s="33"/>
      <c r="BB798" s="33"/>
      <c r="BC798" s="33"/>
      <c r="BD798" s="33"/>
      <c r="BE798" s="33"/>
      <c r="BF798" s="33"/>
      <c r="BG798" s="33"/>
      <c r="BH798" s="33"/>
      <c r="BI798" s="33"/>
      <c r="BJ798" s="33"/>
      <c r="BK798" s="33"/>
      <c r="BL798" s="33"/>
      <c r="BM798" s="33"/>
      <c r="BN798" s="33"/>
      <c r="BO798" s="33"/>
      <c r="BP798" s="33"/>
      <c r="BQ798" s="33"/>
      <c r="BR798" s="33"/>
      <c r="BS798" s="33"/>
      <c r="BT798" s="33"/>
      <c r="BU798" s="33"/>
      <c r="BV798" s="33"/>
      <c r="BW798" s="33"/>
      <c r="BX798" s="33"/>
      <c r="BY798" s="33"/>
      <c r="BZ798" s="33"/>
      <c r="CA798" s="33"/>
      <c r="CB798" s="33"/>
      <c r="CC798" s="33"/>
      <c r="CD798" s="33"/>
      <c r="CE798" s="33"/>
      <c r="CF798" s="33"/>
      <c r="CG798" s="33"/>
      <c r="CH798" s="33"/>
      <c r="CI798" s="33"/>
      <c r="CJ798" s="33"/>
      <c r="CK798" s="33"/>
      <c r="CL798" s="33"/>
      <c r="CM798" s="33"/>
      <c r="CN798" s="33"/>
      <c r="CO798" s="33"/>
      <c r="CP798" s="33"/>
      <c r="CQ798" s="33"/>
      <c r="CR798" s="33"/>
      <c r="CS798" s="33"/>
      <c r="CT798" s="33"/>
      <c r="CU798" s="33"/>
      <c r="CV798" s="33"/>
      <c r="CW798" s="33"/>
      <c r="CX798" s="33"/>
      <c r="CY798" s="33"/>
      <c r="CZ798" s="33"/>
      <c r="DA798" s="33"/>
      <c r="DB798" s="33"/>
      <c r="DC798" s="33"/>
      <c r="DD798" s="33"/>
      <c r="DE798" s="33"/>
      <c r="DF798" s="33"/>
      <c r="DG798" s="33"/>
      <c r="DH798" s="33"/>
      <c r="DI798" s="33"/>
      <c r="DJ798" s="33"/>
      <c r="DK798" s="33"/>
      <c r="DL798" s="33"/>
      <c r="DM798" s="33"/>
      <c r="DN798" s="33"/>
      <c r="DO798" s="33"/>
      <c r="DP798" s="33"/>
      <c r="DQ798" s="33"/>
      <c r="DR798" s="33"/>
      <c r="DS798" s="33"/>
      <c r="DT798" s="33"/>
      <c r="DU798" s="33"/>
      <c r="DV798" s="33"/>
      <c r="DW798" s="33"/>
      <c r="DX798" s="33"/>
      <c r="DY798" s="33"/>
      <c r="DZ798" s="33"/>
      <c r="EA798" s="33"/>
      <c r="EB798" s="33"/>
      <c r="EC798" s="33"/>
      <c r="ED798" s="33"/>
      <c r="EE798" s="33"/>
      <c r="EF798" s="33"/>
      <c r="EG798" s="33"/>
      <c r="EH798" s="33"/>
      <c r="EI798" s="33"/>
      <c r="EJ798" s="33"/>
      <c r="EK798" s="33"/>
      <c r="EL798" s="33"/>
      <c r="EM798" s="33"/>
      <c r="EN798" s="33"/>
      <c r="EO798" s="33"/>
      <c r="EP798" s="33"/>
      <c r="EQ798" s="33"/>
      <c r="ER798" s="33"/>
      <c r="ES798" s="33"/>
    </row>
    <row r="799">
      <c r="A799" s="33"/>
      <c r="B799" s="33"/>
      <c r="C799" s="33"/>
      <c r="D799" s="33"/>
      <c r="E799" s="33"/>
      <c r="F799" s="33"/>
      <c r="G799" s="85"/>
      <c r="H799" s="85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33"/>
      <c r="Y799" s="33"/>
      <c r="Z799" s="33"/>
      <c r="AA799" s="33"/>
      <c r="AB799" s="33"/>
      <c r="AC799" s="33"/>
      <c r="AD799" s="33"/>
      <c r="AE799" s="33"/>
      <c r="AF799" s="33"/>
      <c r="AG799" s="33"/>
      <c r="AH799" s="33"/>
      <c r="AI799" s="33"/>
      <c r="AJ799" s="33"/>
      <c r="AK799" s="33"/>
      <c r="AL799" s="33"/>
      <c r="AM799" s="33"/>
      <c r="AN799" s="33"/>
      <c r="AO799" s="33"/>
      <c r="AP799" s="33"/>
      <c r="AQ799" s="33"/>
      <c r="AR799" s="33"/>
      <c r="AS799" s="33"/>
      <c r="AT799" s="33"/>
      <c r="AU799" s="33"/>
      <c r="AV799" s="33"/>
      <c r="AW799" s="33"/>
      <c r="AX799" s="33"/>
      <c r="AY799" s="33"/>
      <c r="AZ799" s="33"/>
      <c r="BA799" s="33"/>
      <c r="BB799" s="33"/>
      <c r="BC799" s="33"/>
      <c r="BD799" s="33"/>
      <c r="BE799" s="33"/>
      <c r="BF799" s="33"/>
      <c r="BG799" s="33"/>
      <c r="BH799" s="33"/>
      <c r="BI799" s="33"/>
      <c r="BJ799" s="33"/>
      <c r="BK799" s="33"/>
      <c r="BL799" s="33"/>
      <c r="BM799" s="33"/>
      <c r="BN799" s="33"/>
      <c r="BO799" s="33"/>
      <c r="BP799" s="33"/>
      <c r="BQ799" s="33"/>
      <c r="BR799" s="33"/>
      <c r="BS799" s="33"/>
      <c r="BT799" s="33"/>
      <c r="BU799" s="33"/>
      <c r="BV799" s="33"/>
      <c r="BW799" s="33"/>
      <c r="BX799" s="33"/>
      <c r="BY799" s="33"/>
      <c r="BZ799" s="33"/>
      <c r="CA799" s="33"/>
      <c r="CB799" s="33"/>
      <c r="CC799" s="33"/>
      <c r="CD799" s="33"/>
      <c r="CE799" s="33"/>
      <c r="CF799" s="33"/>
      <c r="CG799" s="33"/>
      <c r="CH799" s="33"/>
      <c r="CI799" s="33"/>
      <c r="CJ799" s="33"/>
      <c r="CK799" s="33"/>
      <c r="CL799" s="33"/>
      <c r="CM799" s="33"/>
      <c r="CN799" s="33"/>
      <c r="CO799" s="33"/>
      <c r="CP799" s="33"/>
      <c r="CQ799" s="33"/>
      <c r="CR799" s="33"/>
      <c r="CS799" s="33"/>
      <c r="CT799" s="33"/>
      <c r="CU799" s="33"/>
      <c r="CV799" s="33"/>
      <c r="CW799" s="33"/>
      <c r="CX799" s="33"/>
      <c r="CY799" s="33"/>
      <c r="CZ799" s="33"/>
      <c r="DA799" s="33"/>
      <c r="DB799" s="33"/>
      <c r="DC799" s="33"/>
      <c r="DD799" s="33"/>
      <c r="DE799" s="33"/>
      <c r="DF799" s="33"/>
      <c r="DG799" s="33"/>
      <c r="DH799" s="33"/>
      <c r="DI799" s="33"/>
      <c r="DJ799" s="33"/>
      <c r="DK799" s="33"/>
      <c r="DL799" s="33"/>
      <c r="DM799" s="33"/>
      <c r="DN799" s="33"/>
      <c r="DO799" s="33"/>
      <c r="DP799" s="33"/>
      <c r="DQ799" s="33"/>
      <c r="DR799" s="33"/>
      <c r="DS799" s="33"/>
      <c r="DT799" s="33"/>
      <c r="DU799" s="33"/>
      <c r="DV799" s="33"/>
      <c r="DW799" s="33"/>
      <c r="DX799" s="33"/>
      <c r="DY799" s="33"/>
      <c r="DZ799" s="33"/>
      <c r="EA799" s="33"/>
      <c r="EB799" s="33"/>
      <c r="EC799" s="33"/>
      <c r="ED799" s="33"/>
      <c r="EE799" s="33"/>
      <c r="EF799" s="33"/>
      <c r="EG799" s="33"/>
      <c r="EH799" s="33"/>
      <c r="EI799" s="33"/>
      <c r="EJ799" s="33"/>
      <c r="EK799" s="33"/>
      <c r="EL799" s="33"/>
      <c r="EM799" s="33"/>
      <c r="EN799" s="33"/>
      <c r="EO799" s="33"/>
      <c r="EP799" s="33"/>
      <c r="EQ799" s="33"/>
      <c r="ER799" s="33"/>
      <c r="ES799" s="33"/>
    </row>
    <row r="800">
      <c r="A800" s="33"/>
      <c r="B800" s="33"/>
      <c r="C800" s="33"/>
      <c r="D800" s="33"/>
      <c r="E800" s="33"/>
      <c r="F800" s="33"/>
      <c r="G800" s="85"/>
      <c r="H800" s="85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33"/>
      <c r="Y800" s="33"/>
      <c r="Z800" s="33"/>
      <c r="AA800" s="33"/>
      <c r="AB800" s="33"/>
      <c r="AC800" s="33"/>
      <c r="AD800" s="33"/>
      <c r="AE800" s="33"/>
      <c r="AF800" s="33"/>
      <c r="AG800" s="33"/>
      <c r="AH800" s="33"/>
      <c r="AI800" s="33"/>
      <c r="AJ800" s="33"/>
      <c r="AK800" s="33"/>
      <c r="AL800" s="33"/>
      <c r="AM800" s="33"/>
      <c r="AN800" s="33"/>
      <c r="AO800" s="33"/>
      <c r="AP800" s="33"/>
      <c r="AQ800" s="33"/>
      <c r="AR800" s="33"/>
      <c r="AS800" s="33"/>
      <c r="AT800" s="33"/>
      <c r="AU800" s="33"/>
      <c r="AV800" s="33"/>
      <c r="AW800" s="33"/>
      <c r="AX800" s="33"/>
      <c r="AY800" s="33"/>
      <c r="AZ800" s="33"/>
      <c r="BA800" s="33"/>
      <c r="BB800" s="33"/>
      <c r="BC800" s="33"/>
      <c r="BD800" s="33"/>
      <c r="BE800" s="33"/>
      <c r="BF800" s="33"/>
      <c r="BG800" s="33"/>
      <c r="BH800" s="33"/>
      <c r="BI800" s="33"/>
      <c r="BJ800" s="33"/>
      <c r="BK800" s="33"/>
      <c r="BL800" s="33"/>
      <c r="BM800" s="33"/>
      <c r="BN800" s="33"/>
      <c r="BO800" s="33"/>
      <c r="BP800" s="33"/>
      <c r="BQ800" s="33"/>
      <c r="BR800" s="33"/>
      <c r="BS800" s="33"/>
      <c r="BT800" s="33"/>
      <c r="BU800" s="33"/>
      <c r="BV800" s="33"/>
      <c r="BW800" s="33"/>
      <c r="BX800" s="33"/>
      <c r="BY800" s="33"/>
      <c r="BZ800" s="33"/>
      <c r="CA800" s="33"/>
      <c r="CB800" s="33"/>
      <c r="CC800" s="33"/>
      <c r="CD800" s="33"/>
      <c r="CE800" s="33"/>
      <c r="CF800" s="33"/>
      <c r="CG800" s="33"/>
      <c r="CH800" s="33"/>
      <c r="CI800" s="33"/>
      <c r="CJ800" s="33"/>
      <c r="CK800" s="33"/>
      <c r="CL800" s="33"/>
      <c r="CM800" s="33"/>
      <c r="CN800" s="33"/>
      <c r="CO800" s="33"/>
      <c r="CP800" s="33"/>
      <c r="CQ800" s="33"/>
      <c r="CR800" s="33"/>
      <c r="CS800" s="33"/>
      <c r="CT800" s="33"/>
      <c r="CU800" s="33"/>
      <c r="CV800" s="33"/>
      <c r="CW800" s="33"/>
      <c r="CX800" s="33"/>
      <c r="CY800" s="33"/>
      <c r="CZ800" s="33"/>
      <c r="DA800" s="33"/>
      <c r="DB800" s="33"/>
      <c r="DC800" s="33"/>
      <c r="DD800" s="33"/>
      <c r="DE800" s="33"/>
      <c r="DF800" s="33"/>
      <c r="DG800" s="33"/>
      <c r="DH800" s="33"/>
      <c r="DI800" s="33"/>
      <c r="DJ800" s="33"/>
      <c r="DK800" s="33"/>
      <c r="DL800" s="33"/>
      <c r="DM800" s="33"/>
      <c r="DN800" s="33"/>
      <c r="DO800" s="33"/>
      <c r="DP800" s="33"/>
      <c r="DQ800" s="33"/>
      <c r="DR800" s="33"/>
      <c r="DS800" s="33"/>
      <c r="DT800" s="33"/>
      <c r="DU800" s="33"/>
      <c r="DV800" s="33"/>
      <c r="DW800" s="33"/>
      <c r="DX800" s="33"/>
      <c r="DY800" s="33"/>
      <c r="DZ800" s="33"/>
      <c r="EA800" s="33"/>
      <c r="EB800" s="33"/>
      <c r="EC800" s="33"/>
      <c r="ED800" s="33"/>
      <c r="EE800" s="33"/>
      <c r="EF800" s="33"/>
      <c r="EG800" s="33"/>
      <c r="EH800" s="33"/>
      <c r="EI800" s="33"/>
      <c r="EJ800" s="33"/>
      <c r="EK800" s="33"/>
      <c r="EL800" s="33"/>
      <c r="EM800" s="33"/>
      <c r="EN800" s="33"/>
      <c r="EO800" s="33"/>
      <c r="EP800" s="33"/>
      <c r="EQ800" s="33"/>
      <c r="ER800" s="33"/>
      <c r="ES800" s="33"/>
    </row>
    <row r="801">
      <c r="A801" s="33"/>
      <c r="B801" s="33"/>
      <c r="C801" s="33"/>
      <c r="D801" s="33"/>
      <c r="E801" s="33"/>
      <c r="F801" s="33"/>
      <c r="G801" s="85"/>
      <c r="H801" s="85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33"/>
      <c r="Y801" s="33"/>
      <c r="Z801" s="33"/>
      <c r="AA801" s="33"/>
      <c r="AB801" s="33"/>
      <c r="AC801" s="33"/>
      <c r="AD801" s="33"/>
      <c r="AE801" s="33"/>
      <c r="AF801" s="33"/>
      <c r="AG801" s="33"/>
      <c r="AH801" s="33"/>
      <c r="AI801" s="33"/>
      <c r="AJ801" s="33"/>
      <c r="AK801" s="33"/>
      <c r="AL801" s="33"/>
      <c r="AM801" s="33"/>
      <c r="AN801" s="33"/>
      <c r="AO801" s="33"/>
      <c r="AP801" s="33"/>
      <c r="AQ801" s="33"/>
      <c r="AR801" s="33"/>
      <c r="AS801" s="33"/>
      <c r="AT801" s="33"/>
      <c r="AU801" s="33"/>
      <c r="AV801" s="33"/>
      <c r="AW801" s="33"/>
      <c r="AX801" s="33"/>
      <c r="AY801" s="33"/>
      <c r="AZ801" s="33"/>
      <c r="BA801" s="33"/>
      <c r="BB801" s="33"/>
      <c r="BC801" s="33"/>
      <c r="BD801" s="33"/>
      <c r="BE801" s="33"/>
      <c r="BF801" s="33"/>
      <c r="BG801" s="33"/>
      <c r="BH801" s="33"/>
      <c r="BI801" s="33"/>
      <c r="BJ801" s="33"/>
      <c r="BK801" s="33"/>
      <c r="BL801" s="33"/>
      <c r="BM801" s="33"/>
      <c r="BN801" s="33"/>
      <c r="BO801" s="33"/>
      <c r="BP801" s="33"/>
      <c r="BQ801" s="33"/>
      <c r="BR801" s="33"/>
      <c r="BS801" s="33"/>
      <c r="BT801" s="33"/>
      <c r="BU801" s="33"/>
      <c r="BV801" s="33"/>
      <c r="BW801" s="33"/>
      <c r="BX801" s="33"/>
      <c r="BY801" s="33"/>
      <c r="BZ801" s="33"/>
      <c r="CA801" s="33"/>
      <c r="CB801" s="33"/>
      <c r="CC801" s="33"/>
      <c r="CD801" s="33"/>
      <c r="CE801" s="33"/>
      <c r="CF801" s="33"/>
      <c r="CG801" s="33"/>
      <c r="CH801" s="33"/>
      <c r="CI801" s="33"/>
      <c r="CJ801" s="33"/>
      <c r="CK801" s="33"/>
      <c r="CL801" s="33"/>
      <c r="CM801" s="33"/>
      <c r="CN801" s="33"/>
      <c r="CO801" s="33"/>
      <c r="CP801" s="33"/>
      <c r="CQ801" s="33"/>
      <c r="CR801" s="33"/>
      <c r="CS801" s="33"/>
      <c r="CT801" s="33"/>
      <c r="CU801" s="33"/>
      <c r="CV801" s="33"/>
      <c r="CW801" s="33"/>
      <c r="CX801" s="33"/>
      <c r="CY801" s="33"/>
      <c r="CZ801" s="33"/>
      <c r="DA801" s="33"/>
      <c r="DB801" s="33"/>
      <c r="DC801" s="33"/>
      <c r="DD801" s="33"/>
      <c r="DE801" s="33"/>
      <c r="DF801" s="33"/>
      <c r="DG801" s="33"/>
      <c r="DH801" s="33"/>
      <c r="DI801" s="33"/>
      <c r="DJ801" s="33"/>
      <c r="DK801" s="33"/>
      <c r="DL801" s="33"/>
      <c r="DM801" s="33"/>
      <c r="DN801" s="33"/>
      <c r="DO801" s="33"/>
      <c r="DP801" s="33"/>
      <c r="DQ801" s="33"/>
      <c r="DR801" s="33"/>
      <c r="DS801" s="33"/>
      <c r="DT801" s="33"/>
      <c r="DU801" s="33"/>
      <c r="DV801" s="33"/>
      <c r="DW801" s="33"/>
      <c r="DX801" s="33"/>
      <c r="DY801" s="33"/>
      <c r="DZ801" s="33"/>
      <c r="EA801" s="33"/>
      <c r="EB801" s="33"/>
      <c r="EC801" s="33"/>
      <c r="ED801" s="33"/>
      <c r="EE801" s="33"/>
      <c r="EF801" s="33"/>
      <c r="EG801" s="33"/>
      <c r="EH801" s="33"/>
      <c r="EI801" s="33"/>
      <c r="EJ801" s="33"/>
      <c r="EK801" s="33"/>
      <c r="EL801" s="33"/>
      <c r="EM801" s="33"/>
      <c r="EN801" s="33"/>
      <c r="EO801" s="33"/>
      <c r="EP801" s="33"/>
      <c r="EQ801" s="33"/>
      <c r="ER801" s="33"/>
      <c r="ES801" s="33"/>
    </row>
    <row r="802">
      <c r="A802" s="33"/>
      <c r="B802" s="33"/>
      <c r="C802" s="33"/>
      <c r="D802" s="33"/>
      <c r="E802" s="33"/>
      <c r="F802" s="33"/>
      <c r="G802" s="85"/>
      <c r="H802" s="85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33"/>
      <c r="Y802" s="33"/>
      <c r="Z802" s="33"/>
      <c r="AA802" s="33"/>
      <c r="AB802" s="33"/>
      <c r="AC802" s="33"/>
      <c r="AD802" s="33"/>
      <c r="AE802" s="33"/>
      <c r="AF802" s="33"/>
      <c r="AG802" s="33"/>
      <c r="AH802" s="33"/>
      <c r="AI802" s="33"/>
      <c r="AJ802" s="33"/>
      <c r="AK802" s="33"/>
      <c r="AL802" s="33"/>
      <c r="AM802" s="33"/>
      <c r="AN802" s="33"/>
      <c r="AO802" s="33"/>
      <c r="AP802" s="33"/>
      <c r="AQ802" s="33"/>
      <c r="AR802" s="33"/>
      <c r="AS802" s="33"/>
      <c r="AT802" s="33"/>
      <c r="AU802" s="33"/>
      <c r="AV802" s="33"/>
      <c r="AW802" s="33"/>
      <c r="AX802" s="33"/>
      <c r="AY802" s="33"/>
      <c r="AZ802" s="33"/>
      <c r="BA802" s="33"/>
      <c r="BB802" s="33"/>
      <c r="BC802" s="33"/>
      <c r="BD802" s="33"/>
      <c r="BE802" s="33"/>
      <c r="BF802" s="33"/>
      <c r="BG802" s="33"/>
      <c r="BH802" s="33"/>
      <c r="BI802" s="33"/>
      <c r="BJ802" s="33"/>
      <c r="BK802" s="33"/>
      <c r="BL802" s="33"/>
      <c r="BM802" s="33"/>
      <c r="BN802" s="33"/>
      <c r="BO802" s="33"/>
      <c r="BP802" s="33"/>
      <c r="BQ802" s="33"/>
      <c r="BR802" s="33"/>
      <c r="BS802" s="33"/>
      <c r="BT802" s="33"/>
      <c r="BU802" s="33"/>
      <c r="BV802" s="33"/>
      <c r="BW802" s="33"/>
      <c r="BX802" s="33"/>
      <c r="BY802" s="33"/>
      <c r="BZ802" s="33"/>
      <c r="CA802" s="33"/>
      <c r="CB802" s="33"/>
      <c r="CC802" s="33"/>
      <c r="CD802" s="33"/>
      <c r="CE802" s="33"/>
      <c r="CF802" s="33"/>
      <c r="CG802" s="33"/>
      <c r="CH802" s="33"/>
      <c r="CI802" s="33"/>
      <c r="CJ802" s="33"/>
      <c r="CK802" s="33"/>
      <c r="CL802" s="33"/>
      <c r="CM802" s="33"/>
      <c r="CN802" s="33"/>
      <c r="CO802" s="33"/>
      <c r="CP802" s="33"/>
      <c r="CQ802" s="33"/>
      <c r="CR802" s="33"/>
      <c r="CS802" s="33"/>
      <c r="CT802" s="33"/>
      <c r="CU802" s="33"/>
      <c r="CV802" s="33"/>
      <c r="CW802" s="33"/>
      <c r="CX802" s="33"/>
      <c r="CY802" s="33"/>
      <c r="CZ802" s="33"/>
      <c r="DA802" s="33"/>
      <c r="DB802" s="33"/>
      <c r="DC802" s="33"/>
      <c r="DD802" s="33"/>
      <c r="DE802" s="33"/>
      <c r="DF802" s="33"/>
      <c r="DG802" s="33"/>
      <c r="DH802" s="33"/>
      <c r="DI802" s="33"/>
      <c r="DJ802" s="33"/>
      <c r="DK802" s="33"/>
      <c r="DL802" s="33"/>
      <c r="DM802" s="33"/>
      <c r="DN802" s="33"/>
      <c r="DO802" s="33"/>
      <c r="DP802" s="33"/>
      <c r="DQ802" s="33"/>
      <c r="DR802" s="33"/>
      <c r="DS802" s="33"/>
      <c r="DT802" s="33"/>
      <c r="DU802" s="33"/>
      <c r="DV802" s="33"/>
      <c r="DW802" s="33"/>
      <c r="DX802" s="33"/>
      <c r="DY802" s="33"/>
      <c r="DZ802" s="33"/>
      <c r="EA802" s="33"/>
      <c r="EB802" s="33"/>
      <c r="EC802" s="33"/>
      <c r="ED802" s="33"/>
      <c r="EE802" s="33"/>
      <c r="EF802" s="33"/>
      <c r="EG802" s="33"/>
      <c r="EH802" s="33"/>
      <c r="EI802" s="33"/>
      <c r="EJ802" s="33"/>
      <c r="EK802" s="33"/>
      <c r="EL802" s="33"/>
      <c r="EM802" s="33"/>
      <c r="EN802" s="33"/>
      <c r="EO802" s="33"/>
      <c r="EP802" s="33"/>
      <c r="EQ802" s="33"/>
      <c r="ER802" s="33"/>
      <c r="ES802" s="33"/>
    </row>
    <row r="803">
      <c r="A803" s="33"/>
      <c r="B803" s="33"/>
      <c r="C803" s="33"/>
      <c r="D803" s="33"/>
      <c r="E803" s="33"/>
      <c r="F803" s="33"/>
      <c r="G803" s="85"/>
      <c r="H803" s="85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33"/>
      <c r="Y803" s="33"/>
      <c r="Z803" s="33"/>
      <c r="AA803" s="33"/>
      <c r="AB803" s="33"/>
      <c r="AC803" s="33"/>
      <c r="AD803" s="33"/>
      <c r="AE803" s="33"/>
      <c r="AF803" s="33"/>
      <c r="AG803" s="33"/>
      <c r="AH803" s="33"/>
      <c r="AI803" s="33"/>
      <c r="AJ803" s="33"/>
      <c r="AK803" s="33"/>
      <c r="AL803" s="33"/>
      <c r="AM803" s="33"/>
      <c r="AN803" s="33"/>
      <c r="AO803" s="33"/>
      <c r="AP803" s="33"/>
      <c r="AQ803" s="33"/>
      <c r="AR803" s="33"/>
      <c r="AS803" s="33"/>
      <c r="AT803" s="33"/>
      <c r="AU803" s="33"/>
      <c r="AV803" s="33"/>
      <c r="AW803" s="33"/>
      <c r="AX803" s="33"/>
      <c r="AY803" s="33"/>
      <c r="AZ803" s="33"/>
      <c r="BA803" s="33"/>
      <c r="BB803" s="33"/>
      <c r="BC803" s="33"/>
      <c r="BD803" s="33"/>
      <c r="BE803" s="33"/>
      <c r="BF803" s="33"/>
      <c r="BG803" s="33"/>
      <c r="BH803" s="33"/>
      <c r="BI803" s="33"/>
      <c r="BJ803" s="33"/>
      <c r="BK803" s="33"/>
      <c r="BL803" s="33"/>
      <c r="BM803" s="33"/>
      <c r="BN803" s="33"/>
      <c r="BO803" s="33"/>
      <c r="BP803" s="33"/>
      <c r="BQ803" s="33"/>
      <c r="BR803" s="33"/>
      <c r="BS803" s="33"/>
      <c r="BT803" s="33"/>
      <c r="BU803" s="33"/>
      <c r="BV803" s="33"/>
      <c r="BW803" s="33"/>
      <c r="BX803" s="33"/>
      <c r="BY803" s="33"/>
      <c r="BZ803" s="33"/>
      <c r="CA803" s="33"/>
      <c r="CB803" s="33"/>
      <c r="CC803" s="33"/>
      <c r="CD803" s="33"/>
      <c r="CE803" s="33"/>
      <c r="CF803" s="33"/>
      <c r="CG803" s="33"/>
      <c r="CH803" s="33"/>
      <c r="CI803" s="33"/>
      <c r="CJ803" s="33"/>
      <c r="CK803" s="33"/>
      <c r="CL803" s="33"/>
      <c r="CM803" s="33"/>
      <c r="CN803" s="33"/>
      <c r="CO803" s="33"/>
      <c r="CP803" s="33"/>
      <c r="CQ803" s="33"/>
      <c r="CR803" s="33"/>
      <c r="CS803" s="33"/>
      <c r="CT803" s="33"/>
      <c r="CU803" s="33"/>
      <c r="CV803" s="33"/>
      <c r="CW803" s="33"/>
      <c r="CX803" s="33"/>
      <c r="CY803" s="33"/>
      <c r="CZ803" s="33"/>
      <c r="DA803" s="33"/>
      <c r="DB803" s="33"/>
      <c r="DC803" s="33"/>
      <c r="DD803" s="33"/>
      <c r="DE803" s="33"/>
      <c r="DF803" s="33"/>
      <c r="DG803" s="33"/>
      <c r="DH803" s="33"/>
      <c r="DI803" s="33"/>
      <c r="DJ803" s="33"/>
      <c r="DK803" s="33"/>
      <c r="DL803" s="33"/>
      <c r="DM803" s="33"/>
      <c r="DN803" s="33"/>
      <c r="DO803" s="33"/>
      <c r="DP803" s="33"/>
      <c r="DQ803" s="33"/>
      <c r="DR803" s="33"/>
      <c r="DS803" s="33"/>
      <c r="DT803" s="33"/>
      <c r="DU803" s="33"/>
      <c r="DV803" s="33"/>
      <c r="DW803" s="33"/>
      <c r="DX803" s="33"/>
      <c r="DY803" s="33"/>
      <c r="DZ803" s="33"/>
      <c r="EA803" s="33"/>
      <c r="EB803" s="33"/>
      <c r="EC803" s="33"/>
      <c r="ED803" s="33"/>
      <c r="EE803" s="33"/>
      <c r="EF803" s="33"/>
      <c r="EG803" s="33"/>
      <c r="EH803" s="33"/>
      <c r="EI803" s="33"/>
      <c r="EJ803" s="33"/>
      <c r="EK803" s="33"/>
      <c r="EL803" s="33"/>
      <c r="EM803" s="33"/>
      <c r="EN803" s="33"/>
      <c r="EO803" s="33"/>
      <c r="EP803" s="33"/>
      <c r="EQ803" s="33"/>
      <c r="ER803" s="33"/>
      <c r="ES803" s="33"/>
    </row>
    <row r="804">
      <c r="A804" s="33"/>
      <c r="B804" s="33"/>
      <c r="C804" s="33"/>
      <c r="D804" s="33"/>
      <c r="E804" s="33"/>
      <c r="F804" s="33"/>
      <c r="G804" s="85"/>
      <c r="H804" s="85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33"/>
      <c r="Y804" s="33"/>
      <c r="Z804" s="33"/>
      <c r="AA804" s="33"/>
      <c r="AB804" s="33"/>
      <c r="AC804" s="33"/>
      <c r="AD804" s="33"/>
      <c r="AE804" s="33"/>
      <c r="AF804" s="33"/>
      <c r="AG804" s="33"/>
      <c r="AH804" s="33"/>
      <c r="AI804" s="33"/>
      <c r="AJ804" s="33"/>
      <c r="AK804" s="33"/>
      <c r="AL804" s="33"/>
      <c r="AM804" s="33"/>
      <c r="AN804" s="33"/>
      <c r="AO804" s="33"/>
      <c r="AP804" s="33"/>
      <c r="AQ804" s="33"/>
      <c r="AR804" s="33"/>
      <c r="AS804" s="33"/>
      <c r="AT804" s="33"/>
      <c r="AU804" s="33"/>
      <c r="AV804" s="33"/>
      <c r="AW804" s="33"/>
      <c r="AX804" s="33"/>
      <c r="AY804" s="33"/>
      <c r="AZ804" s="33"/>
      <c r="BA804" s="33"/>
      <c r="BB804" s="33"/>
      <c r="BC804" s="33"/>
      <c r="BD804" s="33"/>
      <c r="BE804" s="33"/>
      <c r="BF804" s="33"/>
      <c r="BG804" s="33"/>
      <c r="BH804" s="33"/>
      <c r="BI804" s="33"/>
      <c r="BJ804" s="33"/>
      <c r="BK804" s="33"/>
      <c r="BL804" s="33"/>
      <c r="BM804" s="33"/>
      <c r="BN804" s="33"/>
      <c r="BO804" s="33"/>
      <c r="BP804" s="33"/>
      <c r="BQ804" s="33"/>
      <c r="BR804" s="33"/>
      <c r="BS804" s="33"/>
      <c r="BT804" s="33"/>
      <c r="BU804" s="33"/>
      <c r="BV804" s="33"/>
      <c r="BW804" s="33"/>
      <c r="BX804" s="33"/>
      <c r="BY804" s="33"/>
      <c r="BZ804" s="33"/>
      <c r="CA804" s="33"/>
      <c r="CB804" s="33"/>
      <c r="CC804" s="33"/>
      <c r="CD804" s="33"/>
      <c r="CE804" s="33"/>
      <c r="CF804" s="33"/>
      <c r="CG804" s="33"/>
      <c r="CH804" s="33"/>
      <c r="CI804" s="33"/>
      <c r="CJ804" s="33"/>
      <c r="CK804" s="33"/>
      <c r="CL804" s="33"/>
      <c r="CM804" s="33"/>
      <c r="CN804" s="33"/>
      <c r="CO804" s="33"/>
      <c r="CP804" s="33"/>
      <c r="CQ804" s="33"/>
      <c r="CR804" s="33"/>
      <c r="CS804" s="33"/>
      <c r="CT804" s="33"/>
      <c r="CU804" s="33"/>
      <c r="CV804" s="33"/>
      <c r="CW804" s="33"/>
      <c r="CX804" s="33"/>
      <c r="CY804" s="33"/>
      <c r="CZ804" s="33"/>
      <c r="DA804" s="33"/>
      <c r="DB804" s="33"/>
      <c r="DC804" s="33"/>
      <c r="DD804" s="33"/>
      <c r="DE804" s="33"/>
      <c r="DF804" s="33"/>
      <c r="DG804" s="33"/>
      <c r="DH804" s="33"/>
      <c r="DI804" s="33"/>
      <c r="DJ804" s="33"/>
      <c r="DK804" s="33"/>
      <c r="DL804" s="33"/>
      <c r="DM804" s="33"/>
      <c r="DN804" s="33"/>
      <c r="DO804" s="33"/>
      <c r="DP804" s="33"/>
      <c r="DQ804" s="33"/>
      <c r="DR804" s="33"/>
      <c r="DS804" s="33"/>
      <c r="DT804" s="33"/>
      <c r="DU804" s="33"/>
      <c r="DV804" s="33"/>
      <c r="DW804" s="33"/>
      <c r="DX804" s="33"/>
      <c r="DY804" s="33"/>
      <c r="DZ804" s="33"/>
      <c r="EA804" s="33"/>
      <c r="EB804" s="33"/>
      <c r="EC804" s="33"/>
      <c r="ED804" s="33"/>
      <c r="EE804" s="33"/>
      <c r="EF804" s="33"/>
      <c r="EG804" s="33"/>
      <c r="EH804" s="33"/>
      <c r="EI804" s="33"/>
      <c r="EJ804" s="33"/>
      <c r="EK804" s="33"/>
      <c r="EL804" s="33"/>
      <c r="EM804" s="33"/>
      <c r="EN804" s="33"/>
      <c r="EO804" s="33"/>
      <c r="EP804" s="33"/>
      <c r="EQ804" s="33"/>
      <c r="ER804" s="33"/>
      <c r="ES804" s="33"/>
    </row>
    <row r="805">
      <c r="A805" s="33"/>
      <c r="B805" s="33"/>
      <c r="C805" s="33"/>
      <c r="D805" s="33"/>
      <c r="E805" s="33"/>
      <c r="F805" s="33"/>
      <c r="G805" s="85"/>
      <c r="H805" s="85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33"/>
      <c r="Y805" s="33"/>
      <c r="Z805" s="33"/>
      <c r="AA805" s="33"/>
      <c r="AB805" s="33"/>
      <c r="AC805" s="33"/>
      <c r="AD805" s="33"/>
      <c r="AE805" s="33"/>
      <c r="AF805" s="33"/>
      <c r="AG805" s="33"/>
      <c r="AH805" s="33"/>
      <c r="AI805" s="33"/>
      <c r="AJ805" s="33"/>
      <c r="AK805" s="33"/>
      <c r="AL805" s="33"/>
      <c r="AM805" s="33"/>
      <c r="AN805" s="33"/>
      <c r="AO805" s="33"/>
      <c r="AP805" s="33"/>
      <c r="AQ805" s="33"/>
      <c r="AR805" s="33"/>
      <c r="AS805" s="33"/>
      <c r="AT805" s="33"/>
      <c r="AU805" s="33"/>
      <c r="AV805" s="33"/>
      <c r="AW805" s="33"/>
      <c r="AX805" s="33"/>
      <c r="AY805" s="33"/>
      <c r="AZ805" s="33"/>
      <c r="BA805" s="33"/>
      <c r="BB805" s="33"/>
      <c r="BC805" s="33"/>
      <c r="BD805" s="33"/>
      <c r="BE805" s="33"/>
      <c r="BF805" s="33"/>
      <c r="BG805" s="33"/>
      <c r="BH805" s="33"/>
      <c r="BI805" s="33"/>
      <c r="BJ805" s="33"/>
      <c r="BK805" s="33"/>
      <c r="BL805" s="33"/>
      <c r="BM805" s="33"/>
      <c r="BN805" s="33"/>
      <c r="BO805" s="33"/>
      <c r="BP805" s="33"/>
      <c r="BQ805" s="33"/>
      <c r="BR805" s="33"/>
      <c r="BS805" s="33"/>
      <c r="BT805" s="33"/>
      <c r="BU805" s="33"/>
      <c r="BV805" s="33"/>
      <c r="BW805" s="33"/>
      <c r="BX805" s="33"/>
      <c r="BY805" s="33"/>
      <c r="BZ805" s="33"/>
      <c r="CA805" s="33"/>
      <c r="CB805" s="33"/>
      <c r="CC805" s="33"/>
      <c r="CD805" s="33"/>
      <c r="CE805" s="33"/>
      <c r="CF805" s="33"/>
      <c r="CG805" s="33"/>
      <c r="CH805" s="33"/>
      <c r="CI805" s="33"/>
      <c r="CJ805" s="33"/>
      <c r="CK805" s="33"/>
      <c r="CL805" s="33"/>
      <c r="CM805" s="33"/>
      <c r="CN805" s="33"/>
      <c r="CO805" s="33"/>
      <c r="CP805" s="33"/>
      <c r="CQ805" s="33"/>
      <c r="CR805" s="33"/>
      <c r="CS805" s="33"/>
      <c r="CT805" s="33"/>
      <c r="CU805" s="33"/>
      <c r="CV805" s="33"/>
      <c r="CW805" s="33"/>
      <c r="CX805" s="33"/>
      <c r="CY805" s="33"/>
      <c r="CZ805" s="33"/>
      <c r="DA805" s="33"/>
      <c r="DB805" s="33"/>
      <c r="DC805" s="33"/>
      <c r="DD805" s="33"/>
      <c r="DE805" s="33"/>
      <c r="DF805" s="33"/>
      <c r="DG805" s="33"/>
      <c r="DH805" s="33"/>
      <c r="DI805" s="33"/>
      <c r="DJ805" s="33"/>
      <c r="DK805" s="33"/>
      <c r="DL805" s="33"/>
      <c r="DM805" s="33"/>
      <c r="DN805" s="33"/>
      <c r="DO805" s="33"/>
      <c r="DP805" s="33"/>
      <c r="DQ805" s="33"/>
      <c r="DR805" s="33"/>
      <c r="DS805" s="33"/>
      <c r="DT805" s="33"/>
      <c r="DU805" s="33"/>
      <c r="DV805" s="33"/>
      <c r="DW805" s="33"/>
      <c r="DX805" s="33"/>
      <c r="DY805" s="33"/>
      <c r="DZ805" s="33"/>
      <c r="EA805" s="33"/>
      <c r="EB805" s="33"/>
      <c r="EC805" s="33"/>
      <c r="ED805" s="33"/>
      <c r="EE805" s="33"/>
      <c r="EF805" s="33"/>
      <c r="EG805" s="33"/>
      <c r="EH805" s="33"/>
      <c r="EI805" s="33"/>
      <c r="EJ805" s="33"/>
      <c r="EK805" s="33"/>
      <c r="EL805" s="33"/>
      <c r="EM805" s="33"/>
      <c r="EN805" s="33"/>
      <c r="EO805" s="33"/>
      <c r="EP805" s="33"/>
      <c r="EQ805" s="33"/>
      <c r="ER805" s="33"/>
      <c r="ES805" s="33"/>
    </row>
    <row r="806">
      <c r="A806" s="33"/>
      <c r="B806" s="33"/>
      <c r="C806" s="33"/>
      <c r="D806" s="33"/>
      <c r="E806" s="33"/>
      <c r="F806" s="33"/>
      <c r="G806" s="85"/>
      <c r="H806" s="85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33"/>
      <c r="Y806" s="33"/>
      <c r="Z806" s="33"/>
      <c r="AA806" s="33"/>
      <c r="AB806" s="33"/>
      <c r="AC806" s="33"/>
      <c r="AD806" s="33"/>
      <c r="AE806" s="33"/>
      <c r="AF806" s="33"/>
      <c r="AG806" s="33"/>
      <c r="AH806" s="33"/>
      <c r="AI806" s="33"/>
      <c r="AJ806" s="33"/>
      <c r="AK806" s="33"/>
      <c r="AL806" s="33"/>
      <c r="AM806" s="33"/>
      <c r="AN806" s="33"/>
      <c r="AO806" s="33"/>
      <c r="AP806" s="33"/>
      <c r="AQ806" s="33"/>
      <c r="AR806" s="33"/>
      <c r="AS806" s="33"/>
      <c r="AT806" s="33"/>
      <c r="AU806" s="33"/>
      <c r="AV806" s="33"/>
      <c r="AW806" s="33"/>
      <c r="AX806" s="33"/>
      <c r="AY806" s="33"/>
      <c r="AZ806" s="33"/>
      <c r="BA806" s="33"/>
      <c r="BB806" s="33"/>
      <c r="BC806" s="33"/>
      <c r="BD806" s="33"/>
      <c r="BE806" s="33"/>
      <c r="BF806" s="33"/>
      <c r="BG806" s="33"/>
      <c r="BH806" s="33"/>
      <c r="BI806" s="33"/>
      <c r="BJ806" s="33"/>
      <c r="BK806" s="33"/>
      <c r="BL806" s="33"/>
      <c r="BM806" s="33"/>
      <c r="BN806" s="33"/>
      <c r="BO806" s="33"/>
      <c r="BP806" s="33"/>
      <c r="BQ806" s="33"/>
      <c r="BR806" s="33"/>
      <c r="BS806" s="33"/>
      <c r="BT806" s="33"/>
      <c r="BU806" s="33"/>
      <c r="BV806" s="33"/>
      <c r="BW806" s="33"/>
      <c r="BX806" s="33"/>
      <c r="BY806" s="33"/>
      <c r="BZ806" s="33"/>
      <c r="CA806" s="33"/>
      <c r="CB806" s="33"/>
      <c r="CC806" s="33"/>
      <c r="CD806" s="33"/>
      <c r="CE806" s="33"/>
      <c r="CF806" s="33"/>
      <c r="CG806" s="33"/>
      <c r="CH806" s="33"/>
      <c r="CI806" s="33"/>
      <c r="CJ806" s="33"/>
      <c r="CK806" s="33"/>
      <c r="CL806" s="33"/>
      <c r="CM806" s="33"/>
      <c r="CN806" s="33"/>
      <c r="CO806" s="33"/>
      <c r="CP806" s="33"/>
      <c r="CQ806" s="33"/>
      <c r="CR806" s="33"/>
      <c r="CS806" s="33"/>
      <c r="CT806" s="33"/>
      <c r="CU806" s="33"/>
      <c r="CV806" s="33"/>
      <c r="CW806" s="33"/>
      <c r="CX806" s="33"/>
      <c r="CY806" s="33"/>
      <c r="CZ806" s="33"/>
      <c r="DA806" s="33"/>
      <c r="DB806" s="33"/>
      <c r="DC806" s="33"/>
      <c r="DD806" s="33"/>
      <c r="DE806" s="33"/>
      <c r="DF806" s="33"/>
      <c r="DG806" s="33"/>
      <c r="DH806" s="33"/>
      <c r="DI806" s="33"/>
      <c r="DJ806" s="33"/>
      <c r="DK806" s="33"/>
      <c r="DL806" s="33"/>
      <c r="DM806" s="33"/>
      <c r="DN806" s="33"/>
      <c r="DO806" s="33"/>
      <c r="DP806" s="33"/>
      <c r="DQ806" s="33"/>
      <c r="DR806" s="33"/>
      <c r="DS806" s="33"/>
      <c r="DT806" s="33"/>
      <c r="DU806" s="33"/>
      <c r="DV806" s="33"/>
      <c r="DW806" s="33"/>
      <c r="DX806" s="33"/>
      <c r="DY806" s="33"/>
      <c r="DZ806" s="33"/>
      <c r="EA806" s="33"/>
      <c r="EB806" s="33"/>
      <c r="EC806" s="33"/>
      <c r="ED806" s="33"/>
      <c r="EE806" s="33"/>
      <c r="EF806" s="33"/>
      <c r="EG806" s="33"/>
      <c r="EH806" s="33"/>
      <c r="EI806" s="33"/>
      <c r="EJ806" s="33"/>
      <c r="EK806" s="33"/>
      <c r="EL806" s="33"/>
      <c r="EM806" s="33"/>
      <c r="EN806" s="33"/>
      <c r="EO806" s="33"/>
      <c r="EP806" s="33"/>
      <c r="EQ806" s="33"/>
      <c r="ER806" s="33"/>
      <c r="ES806" s="33"/>
    </row>
    <row r="807">
      <c r="A807" s="33"/>
      <c r="B807" s="33"/>
      <c r="C807" s="33"/>
      <c r="D807" s="33"/>
      <c r="E807" s="33"/>
      <c r="F807" s="33"/>
      <c r="G807" s="85"/>
      <c r="H807" s="85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33"/>
      <c r="Y807" s="33"/>
      <c r="Z807" s="33"/>
      <c r="AA807" s="33"/>
      <c r="AB807" s="33"/>
      <c r="AC807" s="33"/>
      <c r="AD807" s="33"/>
      <c r="AE807" s="33"/>
      <c r="AF807" s="33"/>
      <c r="AG807" s="33"/>
      <c r="AH807" s="33"/>
      <c r="AI807" s="33"/>
      <c r="AJ807" s="33"/>
      <c r="AK807" s="33"/>
      <c r="AL807" s="33"/>
      <c r="AM807" s="33"/>
      <c r="AN807" s="33"/>
      <c r="AO807" s="33"/>
      <c r="AP807" s="33"/>
      <c r="AQ807" s="33"/>
      <c r="AR807" s="33"/>
      <c r="AS807" s="33"/>
      <c r="AT807" s="33"/>
      <c r="AU807" s="33"/>
      <c r="AV807" s="33"/>
      <c r="AW807" s="33"/>
      <c r="AX807" s="33"/>
      <c r="AY807" s="33"/>
      <c r="AZ807" s="33"/>
      <c r="BA807" s="33"/>
      <c r="BB807" s="33"/>
      <c r="BC807" s="33"/>
      <c r="BD807" s="33"/>
      <c r="BE807" s="33"/>
      <c r="BF807" s="33"/>
      <c r="BG807" s="33"/>
      <c r="BH807" s="33"/>
      <c r="BI807" s="33"/>
      <c r="BJ807" s="33"/>
      <c r="BK807" s="33"/>
      <c r="BL807" s="33"/>
      <c r="BM807" s="33"/>
      <c r="BN807" s="33"/>
      <c r="BO807" s="33"/>
      <c r="BP807" s="33"/>
      <c r="BQ807" s="33"/>
      <c r="BR807" s="33"/>
      <c r="BS807" s="33"/>
      <c r="BT807" s="33"/>
      <c r="BU807" s="33"/>
      <c r="BV807" s="33"/>
      <c r="BW807" s="33"/>
      <c r="BX807" s="33"/>
      <c r="BY807" s="33"/>
      <c r="BZ807" s="33"/>
      <c r="CA807" s="33"/>
      <c r="CB807" s="33"/>
      <c r="CC807" s="33"/>
      <c r="CD807" s="33"/>
      <c r="CE807" s="33"/>
      <c r="CF807" s="33"/>
      <c r="CG807" s="33"/>
      <c r="CH807" s="33"/>
      <c r="CI807" s="33"/>
      <c r="CJ807" s="33"/>
      <c r="CK807" s="33"/>
      <c r="CL807" s="33"/>
      <c r="CM807" s="33"/>
      <c r="CN807" s="33"/>
      <c r="CO807" s="33"/>
      <c r="CP807" s="33"/>
      <c r="CQ807" s="33"/>
      <c r="CR807" s="33"/>
      <c r="CS807" s="33"/>
      <c r="CT807" s="33"/>
      <c r="CU807" s="33"/>
      <c r="CV807" s="33"/>
      <c r="CW807" s="33"/>
      <c r="CX807" s="33"/>
      <c r="CY807" s="33"/>
      <c r="CZ807" s="33"/>
      <c r="DA807" s="33"/>
      <c r="DB807" s="33"/>
      <c r="DC807" s="33"/>
      <c r="DD807" s="33"/>
      <c r="DE807" s="33"/>
      <c r="DF807" s="33"/>
      <c r="DG807" s="33"/>
      <c r="DH807" s="33"/>
      <c r="DI807" s="33"/>
      <c r="DJ807" s="33"/>
      <c r="DK807" s="33"/>
      <c r="DL807" s="33"/>
      <c r="DM807" s="33"/>
      <c r="DN807" s="33"/>
      <c r="DO807" s="33"/>
      <c r="DP807" s="33"/>
      <c r="DQ807" s="33"/>
      <c r="DR807" s="33"/>
      <c r="DS807" s="33"/>
      <c r="DT807" s="33"/>
      <c r="DU807" s="33"/>
      <c r="DV807" s="33"/>
      <c r="DW807" s="33"/>
      <c r="DX807" s="33"/>
      <c r="DY807" s="33"/>
      <c r="DZ807" s="33"/>
      <c r="EA807" s="33"/>
      <c r="EB807" s="33"/>
      <c r="EC807" s="33"/>
      <c r="ED807" s="33"/>
      <c r="EE807" s="33"/>
      <c r="EF807" s="33"/>
      <c r="EG807" s="33"/>
      <c r="EH807" s="33"/>
      <c r="EI807" s="33"/>
      <c r="EJ807" s="33"/>
      <c r="EK807" s="33"/>
      <c r="EL807" s="33"/>
      <c r="EM807" s="33"/>
      <c r="EN807" s="33"/>
      <c r="EO807" s="33"/>
      <c r="EP807" s="33"/>
      <c r="EQ807" s="33"/>
      <c r="ER807" s="33"/>
      <c r="ES807" s="33"/>
    </row>
    <row r="808">
      <c r="A808" s="33"/>
      <c r="B808" s="33"/>
      <c r="C808" s="33"/>
      <c r="D808" s="33"/>
      <c r="E808" s="33"/>
      <c r="F808" s="33"/>
      <c r="G808" s="85"/>
      <c r="H808" s="85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33"/>
      <c r="Y808" s="33"/>
      <c r="Z808" s="33"/>
      <c r="AA808" s="33"/>
      <c r="AB808" s="33"/>
      <c r="AC808" s="33"/>
      <c r="AD808" s="33"/>
      <c r="AE808" s="33"/>
      <c r="AF808" s="33"/>
      <c r="AG808" s="33"/>
      <c r="AH808" s="33"/>
      <c r="AI808" s="33"/>
      <c r="AJ808" s="33"/>
      <c r="AK808" s="33"/>
      <c r="AL808" s="33"/>
      <c r="AM808" s="33"/>
      <c r="AN808" s="33"/>
      <c r="AO808" s="33"/>
      <c r="AP808" s="33"/>
      <c r="AQ808" s="33"/>
      <c r="AR808" s="33"/>
      <c r="AS808" s="33"/>
      <c r="AT808" s="33"/>
      <c r="AU808" s="33"/>
      <c r="AV808" s="33"/>
      <c r="AW808" s="33"/>
      <c r="AX808" s="33"/>
      <c r="AY808" s="33"/>
      <c r="AZ808" s="33"/>
      <c r="BA808" s="33"/>
      <c r="BB808" s="33"/>
      <c r="BC808" s="33"/>
      <c r="BD808" s="33"/>
      <c r="BE808" s="33"/>
      <c r="BF808" s="33"/>
      <c r="BG808" s="33"/>
      <c r="BH808" s="33"/>
      <c r="BI808" s="33"/>
      <c r="BJ808" s="33"/>
      <c r="BK808" s="33"/>
      <c r="BL808" s="33"/>
      <c r="BM808" s="33"/>
      <c r="BN808" s="33"/>
      <c r="BO808" s="33"/>
      <c r="BP808" s="33"/>
      <c r="BQ808" s="33"/>
      <c r="BR808" s="33"/>
      <c r="BS808" s="33"/>
      <c r="BT808" s="33"/>
      <c r="BU808" s="33"/>
      <c r="BV808" s="33"/>
      <c r="BW808" s="33"/>
      <c r="BX808" s="33"/>
      <c r="BY808" s="33"/>
      <c r="BZ808" s="33"/>
      <c r="CA808" s="33"/>
      <c r="CB808" s="33"/>
      <c r="CC808" s="33"/>
      <c r="CD808" s="33"/>
      <c r="CE808" s="33"/>
      <c r="CF808" s="33"/>
      <c r="CG808" s="33"/>
      <c r="CH808" s="33"/>
      <c r="CI808" s="33"/>
      <c r="CJ808" s="33"/>
      <c r="CK808" s="33"/>
      <c r="CL808" s="33"/>
      <c r="CM808" s="33"/>
      <c r="CN808" s="33"/>
      <c r="CO808" s="33"/>
      <c r="CP808" s="33"/>
      <c r="CQ808" s="33"/>
      <c r="CR808" s="33"/>
      <c r="CS808" s="33"/>
      <c r="CT808" s="33"/>
      <c r="CU808" s="33"/>
      <c r="CV808" s="33"/>
      <c r="CW808" s="33"/>
      <c r="CX808" s="33"/>
      <c r="CY808" s="33"/>
      <c r="CZ808" s="33"/>
      <c r="DA808" s="33"/>
      <c r="DB808" s="33"/>
      <c r="DC808" s="33"/>
      <c r="DD808" s="33"/>
      <c r="DE808" s="33"/>
      <c r="DF808" s="33"/>
      <c r="DG808" s="33"/>
      <c r="DH808" s="33"/>
      <c r="DI808" s="33"/>
      <c r="DJ808" s="33"/>
      <c r="DK808" s="33"/>
      <c r="DL808" s="33"/>
      <c r="DM808" s="33"/>
      <c r="DN808" s="33"/>
      <c r="DO808" s="33"/>
      <c r="DP808" s="33"/>
      <c r="DQ808" s="33"/>
      <c r="DR808" s="33"/>
      <c r="DS808" s="33"/>
      <c r="DT808" s="33"/>
      <c r="DU808" s="33"/>
      <c r="DV808" s="33"/>
      <c r="DW808" s="33"/>
      <c r="DX808" s="33"/>
      <c r="DY808" s="33"/>
      <c r="DZ808" s="33"/>
      <c r="EA808" s="33"/>
      <c r="EB808" s="33"/>
      <c r="EC808" s="33"/>
      <c r="ED808" s="33"/>
      <c r="EE808" s="33"/>
      <c r="EF808" s="33"/>
      <c r="EG808" s="33"/>
      <c r="EH808" s="33"/>
      <c r="EI808" s="33"/>
      <c r="EJ808" s="33"/>
      <c r="EK808" s="33"/>
      <c r="EL808" s="33"/>
      <c r="EM808" s="33"/>
      <c r="EN808" s="33"/>
      <c r="EO808" s="33"/>
      <c r="EP808" s="33"/>
      <c r="EQ808" s="33"/>
      <c r="ER808" s="33"/>
      <c r="ES808" s="33"/>
    </row>
    <row r="809">
      <c r="A809" s="33"/>
      <c r="B809" s="33"/>
      <c r="C809" s="33"/>
      <c r="D809" s="33"/>
      <c r="E809" s="33"/>
      <c r="F809" s="33"/>
      <c r="G809" s="85"/>
      <c r="H809" s="85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33"/>
      <c r="Y809" s="33"/>
      <c r="Z809" s="33"/>
      <c r="AA809" s="33"/>
      <c r="AB809" s="33"/>
      <c r="AC809" s="33"/>
      <c r="AD809" s="33"/>
      <c r="AE809" s="33"/>
      <c r="AF809" s="33"/>
      <c r="AG809" s="33"/>
      <c r="AH809" s="33"/>
      <c r="AI809" s="33"/>
      <c r="AJ809" s="33"/>
      <c r="AK809" s="33"/>
      <c r="AL809" s="33"/>
      <c r="AM809" s="33"/>
      <c r="AN809" s="33"/>
      <c r="AO809" s="33"/>
      <c r="AP809" s="33"/>
      <c r="AQ809" s="33"/>
      <c r="AR809" s="33"/>
      <c r="AS809" s="33"/>
      <c r="AT809" s="33"/>
      <c r="AU809" s="33"/>
      <c r="AV809" s="33"/>
      <c r="AW809" s="33"/>
      <c r="AX809" s="33"/>
      <c r="AY809" s="33"/>
      <c r="AZ809" s="33"/>
      <c r="BA809" s="33"/>
      <c r="BB809" s="33"/>
      <c r="BC809" s="33"/>
      <c r="BD809" s="33"/>
      <c r="BE809" s="33"/>
      <c r="BF809" s="33"/>
      <c r="BG809" s="33"/>
      <c r="BH809" s="33"/>
      <c r="BI809" s="33"/>
      <c r="BJ809" s="33"/>
      <c r="BK809" s="33"/>
      <c r="BL809" s="33"/>
      <c r="BM809" s="33"/>
      <c r="BN809" s="33"/>
      <c r="BO809" s="33"/>
      <c r="BP809" s="33"/>
      <c r="BQ809" s="33"/>
      <c r="BR809" s="33"/>
      <c r="BS809" s="33"/>
      <c r="BT809" s="33"/>
      <c r="BU809" s="33"/>
      <c r="BV809" s="33"/>
      <c r="BW809" s="33"/>
      <c r="BX809" s="33"/>
      <c r="BY809" s="33"/>
      <c r="BZ809" s="33"/>
      <c r="CA809" s="33"/>
      <c r="CB809" s="33"/>
      <c r="CC809" s="33"/>
      <c r="CD809" s="33"/>
      <c r="CE809" s="33"/>
      <c r="CF809" s="33"/>
      <c r="CG809" s="33"/>
      <c r="CH809" s="33"/>
      <c r="CI809" s="33"/>
      <c r="CJ809" s="33"/>
      <c r="CK809" s="33"/>
      <c r="CL809" s="33"/>
      <c r="CM809" s="33"/>
      <c r="CN809" s="33"/>
      <c r="CO809" s="33"/>
      <c r="CP809" s="33"/>
      <c r="CQ809" s="33"/>
      <c r="CR809" s="33"/>
      <c r="CS809" s="33"/>
      <c r="CT809" s="33"/>
      <c r="CU809" s="33"/>
      <c r="CV809" s="33"/>
      <c r="CW809" s="33"/>
      <c r="CX809" s="33"/>
      <c r="CY809" s="33"/>
      <c r="CZ809" s="33"/>
      <c r="DA809" s="33"/>
      <c r="DB809" s="33"/>
      <c r="DC809" s="33"/>
      <c r="DD809" s="33"/>
      <c r="DE809" s="33"/>
      <c r="DF809" s="33"/>
      <c r="DG809" s="33"/>
      <c r="DH809" s="33"/>
      <c r="DI809" s="33"/>
      <c r="DJ809" s="33"/>
      <c r="DK809" s="33"/>
      <c r="DL809" s="33"/>
      <c r="DM809" s="33"/>
      <c r="DN809" s="33"/>
      <c r="DO809" s="33"/>
      <c r="DP809" s="33"/>
      <c r="DQ809" s="33"/>
      <c r="DR809" s="33"/>
      <c r="DS809" s="33"/>
      <c r="DT809" s="33"/>
      <c r="DU809" s="33"/>
      <c r="DV809" s="33"/>
      <c r="DW809" s="33"/>
      <c r="DX809" s="33"/>
      <c r="DY809" s="33"/>
      <c r="DZ809" s="33"/>
      <c r="EA809" s="33"/>
      <c r="EB809" s="33"/>
      <c r="EC809" s="33"/>
      <c r="ED809" s="33"/>
      <c r="EE809" s="33"/>
      <c r="EF809" s="33"/>
      <c r="EG809" s="33"/>
      <c r="EH809" s="33"/>
      <c r="EI809" s="33"/>
      <c r="EJ809" s="33"/>
      <c r="EK809" s="33"/>
      <c r="EL809" s="33"/>
      <c r="EM809" s="33"/>
      <c r="EN809" s="33"/>
      <c r="EO809" s="33"/>
      <c r="EP809" s="33"/>
      <c r="EQ809" s="33"/>
      <c r="ER809" s="33"/>
      <c r="ES809" s="33"/>
    </row>
    <row r="810">
      <c r="A810" s="33"/>
      <c r="B810" s="33"/>
      <c r="C810" s="33"/>
      <c r="D810" s="33"/>
      <c r="E810" s="33"/>
      <c r="F810" s="33"/>
      <c r="G810" s="85"/>
      <c r="H810" s="85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33"/>
      <c r="Y810" s="33"/>
      <c r="Z810" s="33"/>
      <c r="AA810" s="33"/>
      <c r="AB810" s="33"/>
      <c r="AC810" s="33"/>
      <c r="AD810" s="33"/>
      <c r="AE810" s="33"/>
      <c r="AF810" s="33"/>
      <c r="AG810" s="33"/>
      <c r="AH810" s="33"/>
      <c r="AI810" s="33"/>
      <c r="AJ810" s="33"/>
      <c r="AK810" s="33"/>
      <c r="AL810" s="33"/>
      <c r="AM810" s="33"/>
      <c r="AN810" s="33"/>
      <c r="AO810" s="33"/>
      <c r="AP810" s="33"/>
      <c r="AQ810" s="33"/>
      <c r="AR810" s="33"/>
      <c r="AS810" s="33"/>
      <c r="AT810" s="33"/>
      <c r="AU810" s="33"/>
      <c r="AV810" s="33"/>
      <c r="AW810" s="33"/>
      <c r="AX810" s="33"/>
      <c r="AY810" s="33"/>
      <c r="AZ810" s="33"/>
      <c r="BA810" s="33"/>
      <c r="BB810" s="33"/>
      <c r="BC810" s="33"/>
      <c r="BD810" s="33"/>
      <c r="BE810" s="33"/>
      <c r="BF810" s="33"/>
      <c r="BG810" s="33"/>
      <c r="BH810" s="33"/>
      <c r="BI810" s="33"/>
      <c r="BJ810" s="33"/>
      <c r="BK810" s="33"/>
      <c r="BL810" s="33"/>
      <c r="BM810" s="33"/>
      <c r="BN810" s="33"/>
      <c r="BO810" s="33"/>
      <c r="BP810" s="33"/>
      <c r="BQ810" s="33"/>
      <c r="BR810" s="33"/>
      <c r="BS810" s="33"/>
      <c r="BT810" s="33"/>
      <c r="BU810" s="33"/>
      <c r="BV810" s="33"/>
      <c r="BW810" s="33"/>
      <c r="BX810" s="33"/>
      <c r="BY810" s="33"/>
      <c r="BZ810" s="33"/>
      <c r="CA810" s="33"/>
      <c r="CB810" s="33"/>
      <c r="CC810" s="33"/>
      <c r="CD810" s="33"/>
      <c r="CE810" s="33"/>
      <c r="CF810" s="33"/>
      <c r="CG810" s="33"/>
      <c r="CH810" s="33"/>
      <c r="CI810" s="33"/>
      <c r="CJ810" s="33"/>
      <c r="CK810" s="33"/>
      <c r="CL810" s="33"/>
      <c r="CM810" s="33"/>
      <c r="CN810" s="33"/>
      <c r="CO810" s="33"/>
      <c r="CP810" s="33"/>
      <c r="CQ810" s="33"/>
      <c r="CR810" s="33"/>
      <c r="CS810" s="33"/>
      <c r="CT810" s="33"/>
      <c r="CU810" s="33"/>
      <c r="CV810" s="33"/>
      <c r="CW810" s="33"/>
      <c r="CX810" s="33"/>
      <c r="CY810" s="33"/>
      <c r="CZ810" s="33"/>
      <c r="DA810" s="33"/>
      <c r="DB810" s="33"/>
      <c r="DC810" s="33"/>
      <c r="DD810" s="33"/>
      <c r="DE810" s="33"/>
      <c r="DF810" s="33"/>
      <c r="DG810" s="33"/>
      <c r="DH810" s="33"/>
      <c r="DI810" s="33"/>
      <c r="DJ810" s="33"/>
      <c r="DK810" s="33"/>
      <c r="DL810" s="33"/>
      <c r="DM810" s="33"/>
      <c r="DN810" s="33"/>
      <c r="DO810" s="33"/>
      <c r="DP810" s="33"/>
      <c r="DQ810" s="33"/>
      <c r="DR810" s="33"/>
      <c r="DS810" s="33"/>
      <c r="DT810" s="33"/>
      <c r="DU810" s="33"/>
      <c r="DV810" s="33"/>
      <c r="DW810" s="33"/>
      <c r="DX810" s="33"/>
      <c r="DY810" s="33"/>
      <c r="DZ810" s="33"/>
      <c r="EA810" s="33"/>
      <c r="EB810" s="33"/>
      <c r="EC810" s="33"/>
      <c r="ED810" s="33"/>
      <c r="EE810" s="33"/>
      <c r="EF810" s="33"/>
      <c r="EG810" s="33"/>
      <c r="EH810" s="33"/>
      <c r="EI810" s="33"/>
      <c r="EJ810" s="33"/>
      <c r="EK810" s="33"/>
      <c r="EL810" s="33"/>
      <c r="EM810" s="33"/>
      <c r="EN810" s="33"/>
      <c r="EO810" s="33"/>
      <c r="EP810" s="33"/>
      <c r="EQ810" s="33"/>
      <c r="ER810" s="33"/>
      <c r="ES810" s="33"/>
    </row>
    <row r="811">
      <c r="A811" s="33"/>
      <c r="B811" s="33"/>
      <c r="C811" s="33"/>
      <c r="D811" s="33"/>
      <c r="E811" s="33"/>
      <c r="F811" s="33"/>
      <c r="G811" s="85"/>
      <c r="H811" s="85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33"/>
      <c r="Y811" s="33"/>
      <c r="Z811" s="33"/>
      <c r="AA811" s="33"/>
      <c r="AB811" s="33"/>
      <c r="AC811" s="33"/>
      <c r="AD811" s="33"/>
      <c r="AE811" s="33"/>
      <c r="AF811" s="33"/>
      <c r="AG811" s="33"/>
      <c r="AH811" s="33"/>
      <c r="AI811" s="33"/>
      <c r="AJ811" s="33"/>
      <c r="AK811" s="33"/>
      <c r="AL811" s="33"/>
      <c r="AM811" s="33"/>
      <c r="AN811" s="33"/>
      <c r="AO811" s="33"/>
      <c r="AP811" s="33"/>
      <c r="AQ811" s="33"/>
      <c r="AR811" s="33"/>
      <c r="AS811" s="33"/>
      <c r="AT811" s="33"/>
      <c r="AU811" s="33"/>
      <c r="AV811" s="33"/>
      <c r="AW811" s="33"/>
      <c r="AX811" s="33"/>
      <c r="AY811" s="33"/>
      <c r="AZ811" s="33"/>
      <c r="BA811" s="33"/>
      <c r="BB811" s="33"/>
      <c r="BC811" s="33"/>
      <c r="BD811" s="33"/>
      <c r="BE811" s="33"/>
      <c r="BF811" s="33"/>
      <c r="BG811" s="33"/>
      <c r="BH811" s="33"/>
      <c r="BI811" s="33"/>
      <c r="BJ811" s="33"/>
      <c r="BK811" s="33"/>
      <c r="BL811" s="33"/>
      <c r="BM811" s="33"/>
      <c r="BN811" s="33"/>
      <c r="BO811" s="33"/>
      <c r="BP811" s="33"/>
      <c r="BQ811" s="33"/>
      <c r="BR811" s="33"/>
      <c r="BS811" s="33"/>
      <c r="BT811" s="33"/>
      <c r="BU811" s="33"/>
      <c r="BV811" s="33"/>
      <c r="BW811" s="33"/>
      <c r="BX811" s="33"/>
      <c r="BY811" s="33"/>
      <c r="BZ811" s="33"/>
      <c r="CA811" s="33"/>
      <c r="CB811" s="33"/>
      <c r="CC811" s="33"/>
      <c r="CD811" s="33"/>
      <c r="CE811" s="33"/>
      <c r="CF811" s="33"/>
      <c r="CG811" s="33"/>
      <c r="CH811" s="33"/>
      <c r="CI811" s="33"/>
      <c r="CJ811" s="33"/>
      <c r="CK811" s="33"/>
      <c r="CL811" s="33"/>
      <c r="CM811" s="33"/>
      <c r="CN811" s="33"/>
      <c r="CO811" s="33"/>
      <c r="CP811" s="33"/>
      <c r="CQ811" s="33"/>
      <c r="CR811" s="33"/>
      <c r="CS811" s="33"/>
      <c r="CT811" s="33"/>
      <c r="CU811" s="33"/>
      <c r="CV811" s="33"/>
      <c r="CW811" s="33"/>
      <c r="CX811" s="33"/>
      <c r="CY811" s="33"/>
      <c r="CZ811" s="33"/>
      <c r="DA811" s="33"/>
      <c r="DB811" s="33"/>
      <c r="DC811" s="33"/>
      <c r="DD811" s="33"/>
      <c r="DE811" s="33"/>
      <c r="DF811" s="33"/>
      <c r="DG811" s="33"/>
      <c r="DH811" s="33"/>
      <c r="DI811" s="33"/>
      <c r="DJ811" s="33"/>
      <c r="DK811" s="33"/>
      <c r="DL811" s="33"/>
      <c r="DM811" s="33"/>
      <c r="DN811" s="33"/>
      <c r="DO811" s="33"/>
      <c r="DP811" s="33"/>
      <c r="DQ811" s="33"/>
      <c r="DR811" s="33"/>
      <c r="DS811" s="33"/>
      <c r="DT811" s="33"/>
      <c r="DU811" s="33"/>
      <c r="DV811" s="33"/>
      <c r="DW811" s="33"/>
      <c r="DX811" s="33"/>
      <c r="DY811" s="33"/>
      <c r="DZ811" s="33"/>
      <c r="EA811" s="33"/>
      <c r="EB811" s="33"/>
      <c r="EC811" s="33"/>
      <c r="ED811" s="33"/>
      <c r="EE811" s="33"/>
      <c r="EF811" s="33"/>
      <c r="EG811" s="33"/>
      <c r="EH811" s="33"/>
      <c r="EI811" s="33"/>
      <c r="EJ811" s="33"/>
      <c r="EK811" s="33"/>
      <c r="EL811" s="33"/>
      <c r="EM811" s="33"/>
      <c r="EN811" s="33"/>
      <c r="EO811" s="33"/>
      <c r="EP811" s="33"/>
      <c r="EQ811" s="33"/>
      <c r="ER811" s="33"/>
      <c r="ES811" s="33"/>
    </row>
    <row r="812">
      <c r="A812" s="33"/>
      <c r="B812" s="33"/>
      <c r="C812" s="33"/>
      <c r="D812" s="33"/>
      <c r="E812" s="33"/>
      <c r="F812" s="33"/>
      <c r="G812" s="85"/>
      <c r="H812" s="85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33"/>
      <c r="Y812" s="33"/>
      <c r="Z812" s="33"/>
      <c r="AA812" s="33"/>
      <c r="AB812" s="33"/>
      <c r="AC812" s="33"/>
      <c r="AD812" s="33"/>
      <c r="AE812" s="33"/>
      <c r="AF812" s="33"/>
      <c r="AG812" s="33"/>
      <c r="AH812" s="33"/>
      <c r="AI812" s="33"/>
      <c r="AJ812" s="33"/>
      <c r="AK812" s="33"/>
      <c r="AL812" s="33"/>
      <c r="AM812" s="33"/>
      <c r="AN812" s="33"/>
      <c r="AO812" s="33"/>
      <c r="AP812" s="33"/>
      <c r="AQ812" s="33"/>
      <c r="AR812" s="33"/>
      <c r="AS812" s="33"/>
      <c r="AT812" s="33"/>
      <c r="AU812" s="33"/>
      <c r="AV812" s="33"/>
      <c r="AW812" s="33"/>
      <c r="AX812" s="33"/>
      <c r="AY812" s="33"/>
      <c r="AZ812" s="33"/>
      <c r="BA812" s="33"/>
      <c r="BB812" s="33"/>
      <c r="BC812" s="33"/>
      <c r="BD812" s="33"/>
      <c r="BE812" s="33"/>
      <c r="BF812" s="33"/>
      <c r="BG812" s="33"/>
      <c r="BH812" s="33"/>
      <c r="BI812" s="33"/>
      <c r="BJ812" s="33"/>
      <c r="BK812" s="33"/>
      <c r="BL812" s="33"/>
      <c r="BM812" s="33"/>
      <c r="BN812" s="33"/>
      <c r="BO812" s="33"/>
      <c r="BP812" s="33"/>
      <c r="BQ812" s="33"/>
      <c r="BR812" s="33"/>
      <c r="BS812" s="33"/>
      <c r="BT812" s="33"/>
      <c r="BU812" s="33"/>
      <c r="BV812" s="33"/>
      <c r="BW812" s="33"/>
      <c r="BX812" s="33"/>
      <c r="BY812" s="33"/>
      <c r="BZ812" s="33"/>
      <c r="CA812" s="33"/>
      <c r="CB812" s="33"/>
      <c r="CC812" s="33"/>
      <c r="CD812" s="33"/>
      <c r="CE812" s="33"/>
      <c r="CF812" s="33"/>
      <c r="CG812" s="33"/>
      <c r="CH812" s="33"/>
      <c r="CI812" s="33"/>
      <c r="CJ812" s="33"/>
      <c r="CK812" s="33"/>
      <c r="CL812" s="33"/>
      <c r="CM812" s="33"/>
      <c r="CN812" s="33"/>
      <c r="CO812" s="33"/>
      <c r="CP812" s="33"/>
      <c r="CQ812" s="33"/>
      <c r="CR812" s="33"/>
      <c r="CS812" s="33"/>
      <c r="CT812" s="33"/>
      <c r="CU812" s="33"/>
      <c r="CV812" s="33"/>
      <c r="CW812" s="33"/>
      <c r="CX812" s="33"/>
      <c r="CY812" s="33"/>
      <c r="CZ812" s="33"/>
      <c r="DA812" s="33"/>
      <c r="DB812" s="33"/>
      <c r="DC812" s="33"/>
      <c r="DD812" s="33"/>
      <c r="DE812" s="33"/>
      <c r="DF812" s="33"/>
      <c r="DG812" s="33"/>
      <c r="DH812" s="33"/>
      <c r="DI812" s="33"/>
      <c r="DJ812" s="33"/>
      <c r="DK812" s="33"/>
      <c r="DL812" s="33"/>
      <c r="DM812" s="33"/>
      <c r="DN812" s="33"/>
      <c r="DO812" s="33"/>
      <c r="DP812" s="33"/>
      <c r="DQ812" s="33"/>
      <c r="DR812" s="33"/>
      <c r="DS812" s="33"/>
      <c r="DT812" s="33"/>
      <c r="DU812" s="33"/>
      <c r="DV812" s="33"/>
      <c r="DW812" s="33"/>
      <c r="DX812" s="33"/>
      <c r="DY812" s="33"/>
      <c r="DZ812" s="33"/>
      <c r="EA812" s="33"/>
      <c r="EB812" s="33"/>
      <c r="EC812" s="33"/>
      <c r="ED812" s="33"/>
      <c r="EE812" s="33"/>
      <c r="EF812" s="33"/>
      <c r="EG812" s="33"/>
      <c r="EH812" s="33"/>
      <c r="EI812" s="33"/>
      <c r="EJ812" s="33"/>
      <c r="EK812" s="33"/>
      <c r="EL812" s="33"/>
      <c r="EM812" s="33"/>
      <c r="EN812" s="33"/>
      <c r="EO812" s="33"/>
      <c r="EP812" s="33"/>
      <c r="EQ812" s="33"/>
      <c r="ER812" s="33"/>
      <c r="ES812" s="33"/>
    </row>
    <row r="813">
      <c r="A813" s="33"/>
      <c r="B813" s="33"/>
      <c r="C813" s="33"/>
      <c r="D813" s="33"/>
      <c r="E813" s="33"/>
      <c r="F813" s="33"/>
      <c r="G813" s="85"/>
      <c r="H813" s="85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33"/>
      <c r="Y813" s="33"/>
      <c r="Z813" s="33"/>
      <c r="AA813" s="33"/>
      <c r="AB813" s="33"/>
      <c r="AC813" s="33"/>
      <c r="AD813" s="33"/>
      <c r="AE813" s="33"/>
      <c r="AF813" s="33"/>
      <c r="AG813" s="33"/>
      <c r="AH813" s="33"/>
      <c r="AI813" s="33"/>
      <c r="AJ813" s="33"/>
      <c r="AK813" s="33"/>
      <c r="AL813" s="33"/>
      <c r="AM813" s="33"/>
      <c r="AN813" s="33"/>
      <c r="AO813" s="33"/>
      <c r="AP813" s="33"/>
      <c r="AQ813" s="33"/>
      <c r="AR813" s="33"/>
      <c r="AS813" s="33"/>
      <c r="AT813" s="33"/>
      <c r="AU813" s="33"/>
      <c r="AV813" s="33"/>
      <c r="AW813" s="33"/>
      <c r="AX813" s="33"/>
      <c r="AY813" s="33"/>
      <c r="AZ813" s="33"/>
      <c r="BA813" s="33"/>
      <c r="BB813" s="33"/>
      <c r="BC813" s="33"/>
      <c r="BD813" s="33"/>
      <c r="BE813" s="33"/>
      <c r="BF813" s="33"/>
      <c r="BG813" s="33"/>
      <c r="BH813" s="33"/>
      <c r="BI813" s="33"/>
      <c r="BJ813" s="33"/>
      <c r="BK813" s="33"/>
      <c r="BL813" s="33"/>
      <c r="BM813" s="33"/>
      <c r="BN813" s="33"/>
      <c r="BO813" s="33"/>
      <c r="BP813" s="33"/>
      <c r="BQ813" s="33"/>
      <c r="BR813" s="33"/>
      <c r="BS813" s="33"/>
      <c r="BT813" s="33"/>
      <c r="BU813" s="33"/>
      <c r="BV813" s="33"/>
      <c r="BW813" s="33"/>
      <c r="BX813" s="33"/>
      <c r="BY813" s="33"/>
      <c r="BZ813" s="33"/>
      <c r="CA813" s="33"/>
      <c r="CB813" s="33"/>
      <c r="CC813" s="33"/>
      <c r="CD813" s="33"/>
      <c r="CE813" s="33"/>
      <c r="CF813" s="33"/>
      <c r="CG813" s="33"/>
      <c r="CH813" s="33"/>
      <c r="CI813" s="33"/>
      <c r="CJ813" s="33"/>
      <c r="CK813" s="33"/>
      <c r="CL813" s="33"/>
      <c r="CM813" s="33"/>
      <c r="CN813" s="33"/>
      <c r="CO813" s="33"/>
      <c r="CP813" s="33"/>
      <c r="CQ813" s="33"/>
      <c r="CR813" s="33"/>
      <c r="CS813" s="33"/>
      <c r="CT813" s="33"/>
      <c r="CU813" s="33"/>
      <c r="CV813" s="33"/>
      <c r="CW813" s="33"/>
      <c r="CX813" s="33"/>
      <c r="CY813" s="33"/>
      <c r="CZ813" s="33"/>
      <c r="DA813" s="33"/>
      <c r="DB813" s="33"/>
      <c r="DC813" s="33"/>
      <c r="DD813" s="33"/>
      <c r="DE813" s="33"/>
      <c r="DF813" s="33"/>
      <c r="DG813" s="33"/>
      <c r="DH813" s="33"/>
      <c r="DI813" s="33"/>
      <c r="DJ813" s="33"/>
      <c r="DK813" s="33"/>
      <c r="DL813" s="33"/>
      <c r="DM813" s="33"/>
      <c r="DN813" s="33"/>
      <c r="DO813" s="33"/>
      <c r="DP813" s="33"/>
      <c r="DQ813" s="33"/>
      <c r="DR813" s="33"/>
      <c r="DS813" s="33"/>
      <c r="DT813" s="33"/>
      <c r="DU813" s="33"/>
      <c r="DV813" s="33"/>
      <c r="DW813" s="33"/>
      <c r="DX813" s="33"/>
      <c r="DY813" s="33"/>
      <c r="DZ813" s="33"/>
      <c r="EA813" s="33"/>
      <c r="EB813" s="33"/>
      <c r="EC813" s="33"/>
      <c r="ED813" s="33"/>
      <c r="EE813" s="33"/>
      <c r="EF813" s="33"/>
      <c r="EG813" s="33"/>
      <c r="EH813" s="33"/>
      <c r="EI813" s="33"/>
      <c r="EJ813" s="33"/>
      <c r="EK813" s="33"/>
      <c r="EL813" s="33"/>
      <c r="EM813" s="33"/>
      <c r="EN813" s="33"/>
      <c r="EO813" s="33"/>
      <c r="EP813" s="33"/>
      <c r="EQ813" s="33"/>
      <c r="ER813" s="33"/>
      <c r="ES813" s="33"/>
    </row>
    <row r="814">
      <c r="A814" s="33"/>
      <c r="B814" s="33"/>
      <c r="C814" s="33"/>
      <c r="D814" s="33"/>
      <c r="E814" s="33"/>
      <c r="F814" s="33"/>
      <c r="G814" s="85"/>
      <c r="H814" s="85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33"/>
      <c r="Y814" s="33"/>
      <c r="Z814" s="33"/>
      <c r="AA814" s="33"/>
      <c r="AB814" s="33"/>
      <c r="AC814" s="33"/>
      <c r="AD814" s="33"/>
      <c r="AE814" s="33"/>
      <c r="AF814" s="33"/>
      <c r="AG814" s="33"/>
      <c r="AH814" s="33"/>
      <c r="AI814" s="33"/>
      <c r="AJ814" s="33"/>
      <c r="AK814" s="33"/>
      <c r="AL814" s="33"/>
      <c r="AM814" s="33"/>
      <c r="AN814" s="33"/>
      <c r="AO814" s="33"/>
      <c r="AP814" s="33"/>
      <c r="AQ814" s="33"/>
      <c r="AR814" s="33"/>
      <c r="AS814" s="33"/>
      <c r="AT814" s="33"/>
      <c r="AU814" s="33"/>
      <c r="AV814" s="33"/>
      <c r="AW814" s="33"/>
      <c r="AX814" s="33"/>
      <c r="AY814" s="33"/>
      <c r="AZ814" s="33"/>
      <c r="BA814" s="33"/>
      <c r="BB814" s="33"/>
      <c r="BC814" s="33"/>
      <c r="BD814" s="33"/>
      <c r="BE814" s="33"/>
      <c r="BF814" s="33"/>
      <c r="BG814" s="33"/>
      <c r="BH814" s="33"/>
      <c r="BI814" s="33"/>
      <c r="BJ814" s="33"/>
      <c r="BK814" s="33"/>
      <c r="BL814" s="33"/>
      <c r="BM814" s="33"/>
      <c r="BN814" s="33"/>
      <c r="BO814" s="33"/>
      <c r="BP814" s="33"/>
      <c r="BQ814" s="33"/>
      <c r="BR814" s="33"/>
      <c r="BS814" s="33"/>
      <c r="BT814" s="33"/>
      <c r="BU814" s="33"/>
      <c r="BV814" s="33"/>
      <c r="BW814" s="33"/>
      <c r="BX814" s="33"/>
      <c r="BY814" s="33"/>
      <c r="BZ814" s="33"/>
      <c r="CA814" s="33"/>
      <c r="CB814" s="33"/>
      <c r="CC814" s="33"/>
      <c r="CD814" s="33"/>
      <c r="CE814" s="33"/>
      <c r="CF814" s="33"/>
      <c r="CG814" s="33"/>
      <c r="CH814" s="33"/>
      <c r="CI814" s="33"/>
      <c r="CJ814" s="33"/>
      <c r="CK814" s="33"/>
      <c r="CL814" s="33"/>
      <c r="CM814" s="33"/>
      <c r="CN814" s="33"/>
      <c r="CO814" s="33"/>
      <c r="CP814" s="33"/>
      <c r="CQ814" s="33"/>
      <c r="CR814" s="33"/>
      <c r="CS814" s="33"/>
      <c r="CT814" s="33"/>
      <c r="CU814" s="33"/>
      <c r="CV814" s="33"/>
      <c r="CW814" s="33"/>
      <c r="CX814" s="33"/>
      <c r="CY814" s="33"/>
      <c r="CZ814" s="33"/>
      <c r="DA814" s="33"/>
      <c r="DB814" s="33"/>
      <c r="DC814" s="33"/>
      <c r="DD814" s="33"/>
      <c r="DE814" s="33"/>
      <c r="DF814" s="33"/>
      <c r="DG814" s="33"/>
      <c r="DH814" s="33"/>
      <c r="DI814" s="33"/>
      <c r="DJ814" s="33"/>
      <c r="DK814" s="33"/>
      <c r="DL814" s="33"/>
      <c r="DM814" s="33"/>
      <c r="DN814" s="33"/>
      <c r="DO814" s="33"/>
      <c r="DP814" s="33"/>
      <c r="DQ814" s="33"/>
      <c r="DR814" s="33"/>
      <c r="DS814" s="33"/>
      <c r="DT814" s="33"/>
      <c r="DU814" s="33"/>
      <c r="DV814" s="33"/>
      <c r="DW814" s="33"/>
      <c r="DX814" s="33"/>
      <c r="DY814" s="33"/>
      <c r="DZ814" s="33"/>
      <c r="EA814" s="33"/>
      <c r="EB814" s="33"/>
      <c r="EC814" s="33"/>
      <c r="ED814" s="33"/>
      <c r="EE814" s="33"/>
      <c r="EF814" s="33"/>
      <c r="EG814" s="33"/>
      <c r="EH814" s="33"/>
      <c r="EI814" s="33"/>
      <c r="EJ814" s="33"/>
      <c r="EK814" s="33"/>
      <c r="EL814" s="33"/>
      <c r="EM814" s="33"/>
      <c r="EN814" s="33"/>
      <c r="EO814" s="33"/>
      <c r="EP814" s="33"/>
      <c r="EQ814" s="33"/>
      <c r="ER814" s="33"/>
      <c r="ES814" s="33"/>
    </row>
    <row r="815">
      <c r="A815" s="33"/>
      <c r="B815" s="33"/>
      <c r="C815" s="33"/>
      <c r="D815" s="33"/>
      <c r="E815" s="33"/>
      <c r="F815" s="33"/>
      <c r="G815" s="85"/>
      <c r="H815" s="85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33"/>
      <c r="Y815" s="33"/>
      <c r="Z815" s="33"/>
      <c r="AA815" s="33"/>
      <c r="AB815" s="33"/>
      <c r="AC815" s="33"/>
      <c r="AD815" s="33"/>
      <c r="AE815" s="33"/>
      <c r="AF815" s="33"/>
      <c r="AG815" s="33"/>
      <c r="AH815" s="33"/>
      <c r="AI815" s="33"/>
      <c r="AJ815" s="33"/>
      <c r="AK815" s="33"/>
      <c r="AL815" s="33"/>
      <c r="AM815" s="33"/>
      <c r="AN815" s="33"/>
      <c r="AO815" s="33"/>
      <c r="AP815" s="33"/>
      <c r="AQ815" s="33"/>
      <c r="AR815" s="33"/>
      <c r="AS815" s="33"/>
      <c r="AT815" s="33"/>
      <c r="AU815" s="33"/>
      <c r="AV815" s="33"/>
      <c r="AW815" s="33"/>
      <c r="AX815" s="33"/>
      <c r="AY815" s="33"/>
      <c r="AZ815" s="33"/>
      <c r="BA815" s="33"/>
      <c r="BB815" s="33"/>
      <c r="BC815" s="33"/>
      <c r="BD815" s="33"/>
      <c r="BE815" s="33"/>
      <c r="BF815" s="33"/>
      <c r="BG815" s="33"/>
      <c r="BH815" s="33"/>
      <c r="BI815" s="33"/>
      <c r="BJ815" s="33"/>
      <c r="BK815" s="33"/>
      <c r="BL815" s="33"/>
      <c r="BM815" s="33"/>
      <c r="BN815" s="33"/>
      <c r="BO815" s="33"/>
      <c r="BP815" s="33"/>
      <c r="BQ815" s="33"/>
      <c r="BR815" s="33"/>
      <c r="BS815" s="33"/>
      <c r="BT815" s="33"/>
      <c r="BU815" s="33"/>
      <c r="BV815" s="33"/>
      <c r="BW815" s="33"/>
      <c r="BX815" s="33"/>
      <c r="BY815" s="33"/>
      <c r="BZ815" s="33"/>
      <c r="CA815" s="33"/>
      <c r="CB815" s="33"/>
      <c r="CC815" s="33"/>
      <c r="CD815" s="33"/>
      <c r="CE815" s="33"/>
      <c r="CF815" s="33"/>
      <c r="CG815" s="33"/>
      <c r="CH815" s="33"/>
      <c r="CI815" s="33"/>
      <c r="CJ815" s="33"/>
      <c r="CK815" s="33"/>
      <c r="CL815" s="33"/>
      <c r="CM815" s="33"/>
      <c r="CN815" s="33"/>
      <c r="CO815" s="33"/>
      <c r="CP815" s="33"/>
      <c r="CQ815" s="33"/>
      <c r="CR815" s="33"/>
      <c r="CS815" s="33"/>
      <c r="CT815" s="33"/>
      <c r="CU815" s="33"/>
      <c r="CV815" s="33"/>
      <c r="CW815" s="33"/>
      <c r="CX815" s="33"/>
      <c r="CY815" s="33"/>
      <c r="CZ815" s="33"/>
      <c r="DA815" s="33"/>
      <c r="DB815" s="33"/>
      <c r="DC815" s="33"/>
      <c r="DD815" s="33"/>
      <c r="DE815" s="33"/>
      <c r="DF815" s="33"/>
      <c r="DG815" s="33"/>
      <c r="DH815" s="33"/>
      <c r="DI815" s="33"/>
      <c r="DJ815" s="33"/>
      <c r="DK815" s="33"/>
      <c r="DL815" s="33"/>
      <c r="DM815" s="33"/>
      <c r="DN815" s="33"/>
      <c r="DO815" s="33"/>
      <c r="DP815" s="33"/>
      <c r="DQ815" s="33"/>
      <c r="DR815" s="33"/>
      <c r="DS815" s="33"/>
      <c r="DT815" s="33"/>
      <c r="DU815" s="33"/>
      <c r="DV815" s="33"/>
      <c r="DW815" s="33"/>
      <c r="DX815" s="33"/>
      <c r="DY815" s="33"/>
      <c r="DZ815" s="33"/>
      <c r="EA815" s="33"/>
      <c r="EB815" s="33"/>
      <c r="EC815" s="33"/>
      <c r="ED815" s="33"/>
      <c r="EE815" s="33"/>
      <c r="EF815" s="33"/>
      <c r="EG815" s="33"/>
      <c r="EH815" s="33"/>
      <c r="EI815" s="33"/>
      <c r="EJ815" s="33"/>
      <c r="EK815" s="33"/>
      <c r="EL815" s="33"/>
      <c r="EM815" s="33"/>
      <c r="EN815" s="33"/>
      <c r="EO815" s="33"/>
      <c r="EP815" s="33"/>
      <c r="EQ815" s="33"/>
      <c r="ER815" s="33"/>
      <c r="ES815" s="33"/>
    </row>
    <row r="816">
      <c r="A816" s="33"/>
      <c r="B816" s="33"/>
      <c r="C816" s="33"/>
      <c r="D816" s="33"/>
      <c r="E816" s="33"/>
      <c r="F816" s="33"/>
      <c r="G816" s="85"/>
      <c r="H816" s="85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33"/>
      <c r="Y816" s="33"/>
      <c r="Z816" s="33"/>
      <c r="AA816" s="33"/>
      <c r="AB816" s="33"/>
      <c r="AC816" s="33"/>
      <c r="AD816" s="33"/>
      <c r="AE816" s="33"/>
      <c r="AF816" s="33"/>
      <c r="AG816" s="33"/>
      <c r="AH816" s="33"/>
      <c r="AI816" s="33"/>
      <c r="AJ816" s="33"/>
      <c r="AK816" s="33"/>
      <c r="AL816" s="33"/>
      <c r="AM816" s="33"/>
      <c r="AN816" s="33"/>
      <c r="AO816" s="33"/>
      <c r="AP816" s="33"/>
      <c r="AQ816" s="33"/>
      <c r="AR816" s="33"/>
      <c r="AS816" s="33"/>
      <c r="AT816" s="33"/>
      <c r="AU816" s="33"/>
      <c r="AV816" s="33"/>
      <c r="AW816" s="33"/>
      <c r="AX816" s="33"/>
      <c r="AY816" s="33"/>
      <c r="AZ816" s="33"/>
      <c r="BA816" s="33"/>
      <c r="BB816" s="33"/>
      <c r="BC816" s="33"/>
      <c r="BD816" s="33"/>
      <c r="BE816" s="33"/>
      <c r="BF816" s="33"/>
      <c r="BG816" s="33"/>
      <c r="BH816" s="33"/>
      <c r="BI816" s="33"/>
      <c r="BJ816" s="33"/>
      <c r="BK816" s="33"/>
      <c r="BL816" s="33"/>
      <c r="BM816" s="33"/>
      <c r="BN816" s="33"/>
      <c r="BO816" s="33"/>
      <c r="BP816" s="33"/>
      <c r="BQ816" s="33"/>
      <c r="BR816" s="33"/>
      <c r="BS816" s="33"/>
      <c r="BT816" s="33"/>
      <c r="BU816" s="33"/>
      <c r="BV816" s="33"/>
      <c r="BW816" s="33"/>
      <c r="BX816" s="33"/>
      <c r="BY816" s="33"/>
      <c r="BZ816" s="33"/>
      <c r="CA816" s="33"/>
      <c r="CB816" s="33"/>
      <c r="CC816" s="33"/>
      <c r="CD816" s="33"/>
      <c r="CE816" s="33"/>
      <c r="CF816" s="33"/>
      <c r="CG816" s="33"/>
      <c r="CH816" s="33"/>
      <c r="CI816" s="33"/>
      <c r="CJ816" s="33"/>
      <c r="CK816" s="33"/>
      <c r="CL816" s="33"/>
      <c r="CM816" s="33"/>
      <c r="CN816" s="33"/>
      <c r="CO816" s="33"/>
      <c r="CP816" s="33"/>
      <c r="CQ816" s="33"/>
      <c r="CR816" s="33"/>
      <c r="CS816" s="33"/>
      <c r="CT816" s="33"/>
      <c r="CU816" s="33"/>
      <c r="CV816" s="33"/>
      <c r="CW816" s="33"/>
      <c r="CX816" s="33"/>
      <c r="CY816" s="33"/>
      <c r="CZ816" s="33"/>
      <c r="DA816" s="33"/>
      <c r="DB816" s="33"/>
      <c r="DC816" s="33"/>
      <c r="DD816" s="33"/>
      <c r="DE816" s="33"/>
      <c r="DF816" s="33"/>
      <c r="DG816" s="33"/>
      <c r="DH816" s="33"/>
      <c r="DI816" s="33"/>
      <c r="DJ816" s="33"/>
      <c r="DK816" s="33"/>
      <c r="DL816" s="33"/>
      <c r="DM816" s="33"/>
      <c r="DN816" s="33"/>
      <c r="DO816" s="33"/>
      <c r="DP816" s="33"/>
      <c r="DQ816" s="33"/>
      <c r="DR816" s="33"/>
      <c r="DS816" s="33"/>
      <c r="DT816" s="33"/>
      <c r="DU816" s="33"/>
      <c r="DV816" s="33"/>
      <c r="DW816" s="33"/>
      <c r="DX816" s="33"/>
      <c r="DY816" s="33"/>
      <c r="DZ816" s="33"/>
      <c r="EA816" s="33"/>
      <c r="EB816" s="33"/>
      <c r="EC816" s="33"/>
      <c r="ED816" s="33"/>
      <c r="EE816" s="33"/>
      <c r="EF816" s="33"/>
      <c r="EG816" s="33"/>
      <c r="EH816" s="33"/>
      <c r="EI816" s="33"/>
      <c r="EJ816" s="33"/>
      <c r="EK816" s="33"/>
      <c r="EL816" s="33"/>
      <c r="EM816" s="33"/>
      <c r="EN816" s="33"/>
      <c r="EO816" s="33"/>
      <c r="EP816" s="33"/>
      <c r="EQ816" s="33"/>
      <c r="ER816" s="33"/>
      <c r="ES816" s="33"/>
    </row>
    <row r="817">
      <c r="A817" s="33"/>
      <c r="B817" s="33"/>
      <c r="C817" s="33"/>
      <c r="D817" s="33"/>
      <c r="E817" s="33"/>
      <c r="F817" s="33"/>
      <c r="G817" s="85"/>
      <c r="H817" s="85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33"/>
      <c r="Y817" s="33"/>
      <c r="Z817" s="33"/>
      <c r="AA817" s="33"/>
      <c r="AB817" s="33"/>
      <c r="AC817" s="33"/>
      <c r="AD817" s="33"/>
      <c r="AE817" s="33"/>
      <c r="AF817" s="33"/>
      <c r="AG817" s="33"/>
      <c r="AH817" s="33"/>
      <c r="AI817" s="33"/>
      <c r="AJ817" s="33"/>
      <c r="AK817" s="33"/>
      <c r="AL817" s="33"/>
      <c r="AM817" s="33"/>
      <c r="AN817" s="33"/>
      <c r="AO817" s="33"/>
      <c r="AP817" s="33"/>
      <c r="AQ817" s="33"/>
      <c r="AR817" s="33"/>
      <c r="AS817" s="33"/>
      <c r="AT817" s="33"/>
      <c r="AU817" s="33"/>
      <c r="AV817" s="33"/>
      <c r="AW817" s="33"/>
      <c r="AX817" s="33"/>
      <c r="AY817" s="33"/>
      <c r="AZ817" s="33"/>
      <c r="BA817" s="33"/>
      <c r="BB817" s="33"/>
      <c r="BC817" s="33"/>
      <c r="BD817" s="33"/>
      <c r="BE817" s="33"/>
      <c r="BF817" s="33"/>
      <c r="BG817" s="33"/>
      <c r="BH817" s="33"/>
      <c r="BI817" s="33"/>
      <c r="BJ817" s="33"/>
      <c r="BK817" s="33"/>
      <c r="BL817" s="33"/>
      <c r="BM817" s="33"/>
      <c r="BN817" s="33"/>
      <c r="BO817" s="33"/>
      <c r="BP817" s="33"/>
      <c r="BQ817" s="33"/>
      <c r="BR817" s="33"/>
      <c r="BS817" s="33"/>
      <c r="BT817" s="33"/>
      <c r="BU817" s="33"/>
      <c r="BV817" s="33"/>
      <c r="BW817" s="33"/>
      <c r="BX817" s="33"/>
      <c r="BY817" s="33"/>
      <c r="BZ817" s="33"/>
      <c r="CA817" s="33"/>
      <c r="CB817" s="33"/>
      <c r="CC817" s="33"/>
      <c r="CD817" s="33"/>
      <c r="CE817" s="33"/>
      <c r="CF817" s="33"/>
      <c r="CG817" s="33"/>
      <c r="CH817" s="33"/>
      <c r="CI817" s="33"/>
      <c r="CJ817" s="33"/>
      <c r="CK817" s="33"/>
      <c r="CL817" s="33"/>
      <c r="CM817" s="33"/>
      <c r="CN817" s="33"/>
      <c r="CO817" s="33"/>
      <c r="CP817" s="33"/>
      <c r="CQ817" s="33"/>
      <c r="CR817" s="33"/>
      <c r="CS817" s="33"/>
      <c r="CT817" s="33"/>
      <c r="CU817" s="33"/>
      <c r="CV817" s="33"/>
      <c r="CW817" s="33"/>
      <c r="CX817" s="33"/>
      <c r="CY817" s="33"/>
      <c r="CZ817" s="33"/>
      <c r="DA817" s="33"/>
      <c r="DB817" s="33"/>
      <c r="DC817" s="33"/>
      <c r="DD817" s="33"/>
      <c r="DE817" s="33"/>
      <c r="DF817" s="33"/>
      <c r="DG817" s="33"/>
      <c r="DH817" s="33"/>
      <c r="DI817" s="33"/>
      <c r="DJ817" s="33"/>
      <c r="DK817" s="33"/>
      <c r="DL817" s="33"/>
      <c r="DM817" s="33"/>
      <c r="DN817" s="33"/>
      <c r="DO817" s="33"/>
      <c r="DP817" s="33"/>
      <c r="DQ817" s="33"/>
      <c r="DR817" s="33"/>
      <c r="DS817" s="33"/>
      <c r="DT817" s="33"/>
      <c r="DU817" s="33"/>
      <c r="DV817" s="33"/>
      <c r="DW817" s="33"/>
      <c r="DX817" s="33"/>
      <c r="DY817" s="33"/>
      <c r="DZ817" s="33"/>
      <c r="EA817" s="33"/>
      <c r="EB817" s="33"/>
      <c r="EC817" s="33"/>
      <c r="ED817" s="33"/>
      <c r="EE817" s="33"/>
      <c r="EF817" s="33"/>
      <c r="EG817" s="33"/>
      <c r="EH817" s="33"/>
      <c r="EI817" s="33"/>
      <c r="EJ817" s="33"/>
      <c r="EK817" s="33"/>
      <c r="EL817" s="33"/>
      <c r="EM817" s="33"/>
      <c r="EN817" s="33"/>
      <c r="EO817" s="33"/>
      <c r="EP817" s="33"/>
      <c r="EQ817" s="33"/>
      <c r="ER817" s="33"/>
      <c r="ES817" s="33"/>
    </row>
    <row r="818">
      <c r="A818" s="33"/>
      <c r="B818" s="33"/>
      <c r="C818" s="33"/>
      <c r="D818" s="33"/>
      <c r="E818" s="33"/>
      <c r="F818" s="33"/>
      <c r="G818" s="85"/>
      <c r="H818" s="85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33"/>
      <c r="Y818" s="33"/>
      <c r="Z818" s="33"/>
      <c r="AA818" s="33"/>
      <c r="AB818" s="33"/>
      <c r="AC818" s="33"/>
      <c r="AD818" s="33"/>
      <c r="AE818" s="33"/>
      <c r="AF818" s="33"/>
      <c r="AG818" s="33"/>
      <c r="AH818" s="33"/>
      <c r="AI818" s="33"/>
      <c r="AJ818" s="33"/>
      <c r="AK818" s="33"/>
      <c r="AL818" s="33"/>
      <c r="AM818" s="33"/>
      <c r="AN818" s="33"/>
      <c r="AO818" s="33"/>
      <c r="AP818" s="33"/>
      <c r="AQ818" s="33"/>
      <c r="AR818" s="33"/>
      <c r="AS818" s="33"/>
      <c r="AT818" s="33"/>
      <c r="AU818" s="33"/>
      <c r="AV818" s="33"/>
      <c r="AW818" s="33"/>
      <c r="AX818" s="33"/>
      <c r="AY818" s="33"/>
      <c r="AZ818" s="33"/>
      <c r="BA818" s="33"/>
      <c r="BB818" s="33"/>
      <c r="BC818" s="33"/>
      <c r="BD818" s="33"/>
      <c r="BE818" s="33"/>
      <c r="BF818" s="33"/>
      <c r="BG818" s="33"/>
      <c r="BH818" s="33"/>
      <c r="BI818" s="33"/>
      <c r="BJ818" s="33"/>
      <c r="BK818" s="33"/>
      <c r="BL818" s="33"/>
      <c r="BM818" s="33"/>
      <c r="BN818" s="33"/>
      <c r="BO818" s="33"/>
      <c r="BP818" s="33"/>
      <c r="BQ818" s="33"/>
      <c r="BR818" s="33"/>
      <c r="BS818" s="33"/>
      <c r="BT818" s="33"/>
      <c r="BU818" s="33"/>
      <c r="BV818" s="33"/>
      <c r="BW818" s="33"/>
      <c r="BX818" s="33"/>
      <c r="BY818" s="33"/>
      <c r="BZ818" s="33"/>
      <c r="CA818" s="33"/>
      <c r="CB818" s="33"/>
      <c r="CC818" s="33"/>
      <c r="CD818" s="33"/>
      <c r="CE818" s="33"/>
      <c r="CF818" s="33"/>
      <c r="CG818" s="33"/>
      <c r="CH818" s="33"/>
      <c r="CI818" s="33"/>
      <c r="CJ818" s="33"/>
      <c r="CK818" s="33"/>
      <c r="CL818" s="33"/>
      <c r="CM818" s="33"/>
      <c r="CN818" s="33"/>
      <c r="CO818" s="33"/>
      <c r="CP818" s="33"/>
      <c r="CQ818" s="33"/>
      <c r="CR818" s="33"/>
      <c r="CS818" s="33"/>
      <c r="CT818" s="33"/>
      <c r="CU818" s="33"/>
      <c r="CV818" s="33"/>
      <c r="CW818" s="33"/>
      <c r="CX818" s="33"/>
      <c r="CY818" s="33"/>
      <c r="CZ818" s="33"/>
      <c r="DA818" s="33"/>
      <c r="DB818" s="33"/>
      <c r="DC818" s="33"/>
      <c r="DD818" s="33"/>
      <c r="DE818" s="33"/>
      <c r="DF818" s="33"/>
      <c r="DG818" s="33"/>
      <c r="DH818" s="33"/>
      <c r="DI818" s="33"/>
      <c r="DJ818" s="33"/>
      <c r="DK818" s="33"/>
      <c r="DL818" s="33"/>
      <c r="DM818" s="33"/>
      <c r="DN818" s="33"/>
      <c r="DO818" s="33"/>
      <c r="DP818" s="33"/>
      <c r="DQ818" s="33"/>
      <c r="DR818" s="33"/>
      <c r="DS818" s="33"/>
      <c r="DT818" s="33"/>
      <c r="DU818" s="33"/>
      <c r="DV818" s="33"/>
      <c r="DW818" s="33"/>
      <c r="DX818" s="33"/>
      <c r="DY818" s="33"/>
      <c r="DZ818" s="33"/>
      <c r="EA818" s="33"/>
      <c r="EB818" s="33"/>
      <c r="EC818" s="33"/>
      <c r="ED818" s="33"/>
      <c r="EE818" s="33"/>
      <c r="EF818" s="33"/>
      <c r="EG818" s="33"/>
      <c r="EH818" s="33"/>
      <c r="EI818" s="33"/>
      <c r="EJ818" s="33"/>
      <c r="EK818" s="33"/>
      <c r="EL818" s="33"/>
      <c r="EM818" s="33"/>
      <c r="EN818" s="33"/>
      <c r="EO818" s="33"/>
      <c r="EP818" s="33"/>
      <c r="EQ818" s="33"/>
      <c r="ER818" s="33"/>
      <c r="ES818" s="33"/>
    </row>
    <row r="819">
      <c r="A819" s="33"/>
      <c r="B819" s="33"/>
      <c r="C819" s="33"/>
      <c r="D819" s="33"/>
      <c r="E819" s="33"/>
      <c r="F819" s="33"/>
      <c r="G819" s="85"/>
      <c r="H819" s="85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33"/>
      <c r="Y819" s="33"/>
      <c r="Z819" s="33"/>
      <c r="AA819" s="33"/>
      <c r="AB819" s="33"/>
      <c r="AC819" s="33"/>
      <c r="AD819" s="33"/>
      <c r="AE819" s="33"/>
      <c r="AF819" s="33"/>
      <c r="AG819" s="33"/>
      <c r="AH819" s="33"/>
      <c r="AI819" s="33"/>
      <c r="AJ819" s="33"/>
      <c r="AK819" s="33"/>
      <c r="AL819" s="33"/>
      <c r="AM819" s="33"/>
      <c r="AN819" s="33"/>
      <c r="AO819" s="33"/>
      <c r="AP819" s="33"/>
      <c r="AQ819" s="33"/>
      <c r="AR819" s="33"/>
      <c r="AS819" s="33"/>
      <c r="AT819" s="33"/>
      <c r="AU819" s="33"/>
      <c r="AV819" s="33"/>
      <c r="AW819" s="33"/>
      <c r="AX819" s="33"/>
      <c r="AY819" s="33"/>
      <c r="AZ819" s="33"/>
      <c r="BA819" s="33"/>
      <c r="BB819" s="33"/>
      <c r="BC819" s="33"/>
      <c r="BD819" s="33"/>
      <c r="BE819" s="33"/>
      <c r="BF819" s="33"/>
      <c r="BG819" s="33"/>
      <c r="BH819" s="33"/>
      <c r="BI819" s="33"/>
      <c r="BJ819" s="33"/>
      <c r="BK819" s="33"/>
      <c r="BL819" s="33"/>
      <c r="BM819" s="33"/>
      <c r="BN819" s="33"/>
      <c r="BO819" s="33"/>
      <c r="BP819" s="33"/>
      <c r="BQ819" s="33"/>
      <c r="BR819" s="33"/>
      <c r="BS819" s="33"/>
      <c r="BT819" s="33"/>
      <c r="BU819" s="33"/>
      <c r="BV819" s="33"/>
      <c r="BW819" s="33"/>
      <c r="BX819" s="33"/>
      <c r="BY819" s="33"/>
      <c r="BZ819" s="33"/>
      <c r="CA819" s="33"/>
      <c r="CB819" s="33"/>
      <c r="CC819" s="33"/>
      <c r="CD819" s="33"/>
      <c r="CE819" s="33"/>
      <c r="CF819" s="33"/>
      <c r="CG819" s="33"/>
      <c r="CH819" s="33"/>
      <c r="CI819" s="33"/>
      <c r="CJ819" s="33"/>
      <c r="CK819" s="33"/>
      <c r="CL819" s="33"/>
      <c r="CM819" s="33"/>
      <c r="CN819" s="33"/>
      <c r="CO819" s="33"/>
      <c r="CP819" s="33"/>
      <c r="CQ819" s="33"/>
      <c r="CR819" s="33"/>
      <c r="CS819" s="33"/>
      <c r="CT819" s="33"/>
      <c r="CU819" s="33"/>
      <c r="CV819" s="33"/>
      <c r="CW819" s="33"/>
      <c r="CX819" s="33"/>
      <c r="CY819" s="33"/>
      <c r="CZ819" s="33"/>
      <c r="DA819" s="33"/>
      <c r="DB819" s="33"/>
      <c r="DC819" s="33"/>
      <c r="DD819" s="33"/>
      <c r="DE819" s="33"/>
      <c r="DF819" s="33"/>
      <c r="DG819" s="33"/>
      <c r="DH819" s="33"/>
      <c r="DI819" s="33"/>
      <c r="DJ819" s="33"/>
      <c r="DK819" s="33"/>
      <c r="DL819" s="33"/>
      <c r="DM819" s="33"/>
      <c r="DN819" s="33"/>
      <c r="DO819" s="33"/>
      <c r="DP819" s="33"/>
      <c r="DQ819" s="33"/>
      <c r="DR819" s="33"/>
      <c r="DS819" s="33"/>
      <c r="DT819" s="33"/>
      <c r="DU819" s="33"/>
      <c r="DV819" s="33"/>
      <c r="DW819" s="33"/>
      <c r="DX819" s="33"/>
      <c r="DY819" s="33"/>
      <c r="DZ819" s="33"/>
      <c r="EA819" s="33"/>
      <c r="EB819" s="33"/>
      <c r="EC819" s="33"/>
      <c r="ED819" s="33"/>
      <c r="EE819" s="33"/>
      <c r="EF819" s="33"/>
      <c r="EG819" s="33"/>
      <c r="EH819" s="33"/>
      <c r="EI819" s="33"/>
      <c r="EJ819" s="33"/>
      <c r="EK819" s="33"/>
      <c r="EL819" s="33"/>
      <c r="EM819" s="33"/>
      <c r="EN819" s="33"/>
      <c r="EO819" s="33"/>
      <c r="EP819" s="33"/>
      <c r="EQ819" s="33"/>
      <c r="ER819" s="33"/>
      <c r="ES819" s="33"/>
    </row>
    <row r="820">
      <c r="A820" s="33"/>
      <c r="B820" s="33"/>
      <c r="C820" s="33"/>
      <c r="D820" s="33"/>
      <c r="E820" s="33"/>
      <c r="F820" s="33"/>
      <c r="G820" s="85"/>
      <c r="H820" s="85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33"/>
      <c r="Y820" s="33"/>
      <c r="Z820" s="33"/>
      <c r="AA820" s="33"/>
      <c r="AB820" s="33"/>
      <c r="AC820" s="33"/>
      <c r="AD820" s="33"/>
      <c r="AE820" s="33"/>
      <c r="AF820" s="33"/>
      <c r="AG820" s="33"/>
      <c r="AH820" s="33"/>
      <c r="AI820" s="33"/>
      <c r="AJ820" s="33"/>
      <c r="AK820" s="33"/>
      <c r="AL820" s="33"/>
      <c r="AM820" s="33"/>
      <c r="AN820" s="33"/>
      <c r="AO820" s="33"/>
      <c r="AP820" s="33"/>
      <c r="AQ820" s="33"/>
      <c r="AR820" s="33"/>
      <c r="AS820" s="33"/>
      <c r="AT820" s="33"/>
      <c r="AU820" s="33"/>
      <c r="AV820" s="33"/>
      <c r="AW820" s="33"/>
      <c r="AX820" s="33"/>
      <c r="AY820" s="33"/>
      <c r="AZ820" s="33"/>
      <c r="BA820" s="33"/>
      <c r="BB820" s="33"/>
      <c r="BC820" s="33"/>
      <c r="BD820" s="33"/>
      <c r="BE820" s="33"/>
      <c r="BF820" s="33"/>
      <c r="BG820" s="33"/>
      <c r="BH820" s="33"/>
      <c r="BI820" s="33"/>
      <c r="BJ820" s="33"/>
      <c r="BK820" s="33"/>
      <c r="BL820" s="33"/>
      <c r="BM820" s="33"/>
      <c r="BN820" s="33"/>
      <c r="BO820" s="33"/>
      <c r="BP820" s="33"/>
      <c r="BQ820" s="33"/>
      <c r="BR820" s="33"/>
      <c r="BS820" s="33"/>
      <c r="BT820" s="33"/>
      <c r="BU820" s="33"/>
      <c r="BV820" s="33"/>
      <c r="BW820" s="33"/>
      <c r="BX820" s="33"/>
      <c r="BY820" s="33"/>
      <c r="BZ820" s="33"/>
      <c r="CA820" s="33"/>
      <c r="CB820" s="33"/>
      <c r="CC820" s="33"/>
      <c r="CD820" s="33"/>
      <c r="CE820" s="33"/>
      <c r="CF820" s="33"/>
      <c r="CG820" s="33"/>
      <c r="CH820" s="33"/>
      <c r="CI820" s="33"/>
      <c r="CJ820" s="33"/>
      <c r="CK820" s="33"/>
      <c r="CL820" s="33"/>
      <c r="CM820" s="33"/>
      <c r="CN820" s="33"/>
      <c r="CO820" s="33"/>
      <c r="CP820" s="33"/>
      <c r="CQ820" s="33"/>
      <c r="CR820" s="33"/>
      <c r="CS820" s="33"/>
      <c r="CT820" s="33"/>
      <c r="CU820" s="33"/>
      <c r="CV820" s="33"/>
      <c r="CW820" s="33"/>
      <c r="CX820" s="33"/>
      <c r="CY820" s="33"/>
      <c r="CZ820" s="33"/>
      <c r="DA820" s="33"/>
      <c r="DB820" s="33"/>
      <c r="DC820" s="33"/>
      <c r="DD820" s="33"/>
      <c r="DE820" s="33"/>
      <c r="DF820" s="33"/>
      <c r="DG820" s="33"/>
      <c r="DH820" s="33"/>
      <c r="DI820" s="33"/>
      <c r="DJ820" s="33"/>
      <c r="DK820" s="33"/>
      <c r="DL820" s="33"/>
      <c r="DM820" s="33"/>
      <c r="DN820" s="33"/>
      <c r="DO820" s="33"/>
      <c r="DP820" s="33"/>
      <c r="DQ820" s="33"/>
      <c r="DR820" s="33"/>
      <c r="DS820" s="33"/>
      <c r="DT820" s="33"/>
      <c r="DU820" s="33"/>
      <c r="DV820" s="33"/>
      <c r="DW820" s="33"/>
      <c r="DX820" s="33"/>
      <c r="DY820" s="33"/>
      <c r="DZ820" s="33"/>
      <c r="EA820" s="33"/>
      <c r="EB820" s="33"/>
      <c r="EC820" s="33"/>
      <c r="ED820" s="33"/>
      <c r="EE820" s="33"/>
      <c r="EF820" s="33"/>
      <c r="EG820" s="33"/>
      <c r="EH820" s="33"/>
      <c r="EI820" s="33"/>
      <c r="EJ820" s="33"/>
      <c r="EK820" s="33"/>
      <c r="EL820" s="33"/>
      <c r="EM820" s="33"/>
      <c r="EN820" s="33"/>
      <c r="EO820" s="33"/>
      <c r="EP820" s="33"/>
      <c r="EQ820" s="33"/>
      <c r="ER820" s="33"/>
      <c r="ES820" s="33"/>
    </row>
    <row r="821">
      <c r="A821" s="33"/>
      <c r="B821" s="33"/>
      <c r="C821" s="33"/>
      <c r="D821" s="33"/>
      <c r="E821" s="33"/>
      <c r="F821" s="33"/>
      <c r="G821" s="85"/>
      <c r="H821" s="85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33"/>
      <c r="Y821" s="33"/>
      <c r="Z821" s="33"/>
      <c r="AA821" s="33"/>
      <c r="AB821" s="33"/>
      <c r="AC821" s="33"/>
      <c r="AD821" s="33"/>
      <c r="AE821" s="33"/>
      <c r="AF821" s="33"/>
      <c r="AG821" s="33"/>
      <c r="AH821" s="33"/>
      <c r="AI821" s="33"/>
      <c r="AJ821" s="33"/>
      <c r="AK821" s="33"/>
      <c r="AL821" s="33"/>
      <c r="AM821" s="33"/>
      <c r="AN821" s="33"/>
      <c r="AO821" s="33"/>
      <c r="AP821" s="33"/>
      <c r="AQ821" s="33"/>
      <c r="AR821" s="33"/>
      <c r="AS821" s="33"/>
      <c r="AT821" s="33"/>
      <c r="AU821" s="33"/>
      <c r="AV821" s="33"/>
      <c r="AW821" s="33"/>
      <c r="AX821" s="33"/>
      <c r="AY821" s="33"/>
      <c r="AZ821" s="33"/>
      <c r="BA821" s="33"/>
      <c r="BB821" s="33"/>
      <c r="BC821" s="33"/>
      <c r="BD821" s="33"/>
      <c r="BE821" s="33"/>
      <c r="BF821" s="33"/>
      <c r="BG821" s="33"/>
      <c r="BH821" s="33"/>
      <c r="BI821" s="33"/>
      <c r="BJ821" s="33"/>
      <c r="BK821" s="33"/>
      <c r="BL821" s="33"/>
      <c r="BM821" s="33"/>
      <c r="BN821" s="33"/>
      <c r="BO821" s="33"/>
      <c r="BP821" s="33"/>
      <c r="BQ821" s="33"/>
      <c r="BR821" s="33"/>
      <c r="BS821" s="33"/>
      <c r="BT821" s="33"/>
      <c r="BU821" s="33"/>
      <c r="BV821" s="33"/>
      <c r="BW821" s="33"/>
      <c r="BX821" s="33"/>
      <c r="BY821" s="33"/>
      <c r="BZ821" s="33"/>
      <c r="CA821" s="33"/>
      <c r="CB821" s="33"/>
      <c r="CC821" s="33"/>
      <c r="CD821" s="33"/>
      <c r="CE821" s="33"/>
      <c r="CF821" s="33"/>
      <c r="CG821" s="33"/>
      <c r="CH821" s="33"/>
      <c r="CI821" s="33"/>
      <c r="CJ821" s="33"/>
      <c r="CK821" s="33"/>
      <c r="CL821" s="33"/>
      <c r="CM821" s="33"/>
      <c r="CN821" s="33"/>
      <c r="CO821" s="33"/>
      <c r="CP821" s="33"/>
      <c r="CQ821" s="33"/>
      <c r="CR821" s="33"/>
      <c r="CS821" s="33"/>
      <c r="CT821" s="33"/>
      <c r="CU821" s="33"/>
      <c r="CV821" s="33"/>
      <c r="CW821" s="33"/>
      <c r="CX821" s="33"/>
      <c r="CY821" s="33"/>
      <c r="CZ821" s="33"/>
      <c r="DA821" s="33"/>
      <c r="DB821" s="33"/>
      <c r="DC821" s="33"/>
      <c r="DD821" s="33"/>
      <c r="DE821" s="33"/>
      <c r="DF821" s="33"/>
      <c r="DG821" s="33"/>
      <c r="DH821" s="33"/>
      <c r="DI821" s="33"/>
      <c r="DJ821" s="33"/>
      <c r="DK821" s="33"/>
      <c r="DL821" s="33"/>
      <c r="DM821" s="33"/>
      <c r="DN821" s="33"/>
      <c r="DO821" s="33"/>
      <c r="DP821" s="33"/>
      <c r="DQ821" s="33"/>
      <c r="DR821" s="33"/>
      <c r="DS821" s="33"/>
      <c r="DT821" s="33"/>
      <c r="DU821" s="33"/>
      <c r="DV821" s="33"/>
      <c r="DW821" s="33"/>
      <c r="DX821" s="33"/>
      <c r="DY821" s="33"/>
      <c r="DZ821" s="33"/>
      <c r="EA821" s="33"/>
      <c r="EB821" s="33"/>
      <c r="EC821" s="33"/>
      <c r="ED821" s="33"/>
      <c r="EE821" s="33"/>
      <c r="EF821" s="33"/>
      <c r="EG821" s="33"/>
      <c r="EH821" s="33"/>
      <c r="EI821" s="33"/>
      <c r="EJ821" s="33"/>
      <c r="EK821" s="33"/>
      <c r="EL821" s="33"/>
      <c r="EM821" s="33"/>
      <c r="EN821" s="33"/>
      <c r="EO821" s="33"/>
      <c r="EP821" s="33"/>
      <c r="EQ821" s="33"/>
      <c r="ER821" s="33"/>
      <c r="ES821" s="33"/>
    </row>
    <row r="822">
      <c r="A822" s="33"/>
      <c r="B822" s="33"/>
      <c r="C822" s="33"/>
      <c r="D822" s="33"/>
      <c r="E822" s="33"/>
      <c r="F822" s="33"/>
      <c r="G822" s="85"/>
      <c r="H822" s="85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33"/>
      <c r="Y822" s="33"/>
      <c r="Z822" s="33"/>
      <c r="AA822" s="33"/>
      <c r="AB822" s="33"/>
      <c r="AC822" s="33"/>
      <c r="AD822" s="33"/>
      <c r="AE822" s="33"/>
      <c r="AF822" s="33"/>
      <c r="AG822" s="33"/>
      <c r="AH822" s="33"/>
      <c r="AI822" s="33"/>
      <c r="AJ822" s="33"/>
      <c r="AK822" s="33"/>
      <c r="AL822" s="33"/>
      <c r="AM822" s="33"/>
      <c r="AN822" s="33"/>
      <c r="AO822" s="33"/>
      <c r="AP822" s="33"/>
      <c r="AQ822" s="33"/>
      <c r="AR822" s="33"/>
      <c r="AS822" s="33"/>
      <c r="AT822" s="33"/>
      <c r="AU822" s="33"/>
      <c r="AV822" s="33"/>
      <c r="AW822" s="33"/>
      <c r="AX822" s="33"/>
      <c r="AY822" s="33"/>
      <c r="AZ822" s="33"/>
      <c r="BA822" s="33"/>
      <c r="BB822" s="33"/>
      <c r="BC822" s="33"/>
      <c r="BD822" s="33"/>
      <c r="BE822" s="33"/>
      <c r="BF822" s="33"/>
      <c r="BG822" s="33"/>
      <c r="BH822" s="33"/>
      <c r="BI822" s="33"/>
      <c r="BJ822" s="33"/>
      <c r="BK822" s="33"/>
      <c r="BL822" s="33"/>
      <c r="BM822" s="33"/>
      <c r="BN822" s="33"/>
      <c r="BO822" s="33"/>
      <c r="BP822" s="33"/>
      <c r="BQ822" s="33"/>
      <c r="BR822" s="33"/>
      <c r="BS822" s="33"/>
      <c r="BT822" s="33"/>
      <c r="BU822" s="33"/>
      <c r="BV822" s="33"/>
      <c r="BW822" s="33"/>
      <c r="BX822" s="33"/>
      <c r="BY822" s="33"/>
      <c r="BZ822" s="33"/>
      <c r="CA822" s="33"/>
      <c r="CB822" s="33"/>
      <c r="CC822" s="33"/>
      <c r="CD822" s="33"/>
      <c r="CE822" s="33"/>
      <c r="CF822" s="33"/>
      <c r="CG822" s="33"/>
      <c r="CH822" s="33"/>
      <c r="CI822" s="33"/>
      <c r="CJ822" s="33"/>
      <c r="CK822" s="33"/>
      <c r="CL822" s="33"/>
      <c r="CM822" s="33"/>
      <c r="CN822" s="33"/>
      <c r="CO822" s="33"/>
      <c r="CP822" s="33"/>
      <c r="CQ822" s="33"/>
      <c r="CR822" s="33"/>
      <c r="CS822" s="33"/>
      <c r="CT822" s="33"/>
      <c r="CU822" s="33"/>
      <c r="CV822" s="33"/>
      <c r="CW822" s="33"/>
      <c r="CX822" s="33"/>
      <c r="CY822" s="33"/>
      <c r="CZ822" s="33"/>
      <c r="DA822" s="33"/>
      <c r="DB822" s="33"/>
      <c r="DC822" s="33"/>
      <c r="DD822" s="33"/>
      <c r="DE822" s="33"/>
      <c r="DF822" s="33"/>
      <c r="DG822" s="33"/>
      <c r="DH822" s="33"/>
      <c r="DI822" s="33"/>
      <c r="DJ822" s="33"/>
      <c r="DK822" s="33"/>
      <c r="DL822" s="33"/>
      <c r="DM822" s="33"/>
      <c r="DN822" s="33"/>
      <c r="DO822" s="33"/>
      <c r="DP822" s="33"/>
      <c r="DQ822" s="33"/>
      <c r="DR822" s="33"/>
      <c r="DS822" s="33"/>
      <c r="DT822" s="33"/>
      <c r="DU822" s="33"/>
      <c r="DV822" s="33"/>
      <c r="DW822" s="33"/>
      <c r="DX822" s="33"/>
      <c r="DY822" s="33"/>
      <c r="DZ822" s="33"/>
      <c r="EA822" s="33"/>
      <c r="EB822" s="33"/>
      <c r="EC822" s="33"/>
      <c r="ED822" s="33"/>
      <c r="EE822" s="33"/>
      <c r="EF822" s="33"/>
      <c r="EG822" s="33"/>
      <c r="EH822" s="33"/>
      <c r="EI822" s="33"/>
      <c r="EJ822" s="33"/>
      <c r="EK822" s="33"/>
      <c r="EL822" s="33"/>
      <c r="EM822" s="33"/>
      <c r="EN822" s="33"/>
      <c r="EO822" s="33"/>
      <c r="EP822" s="33"/>
      <c r="EQ822" s="33"/>
      <c r="ER822" s="33"/>
      <c r="ES822" s="33"/>
    </row>
    <row r="823">
      <c r="A823" s="33"/>
      <c r="B823" s="33"/>
      <c r="C823" s="33"/>
      <c r="D823" s="33"/>
      <c r="E823" s="33"/>
      <c r="F823" s="33"/>
      <c r="G823" s="85"/>
      <c r="H823" s="85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33"/>
      <c r="Y823" s="33"/>
      <c r="Z823" s="33"/>
      <c r="AA823" s="33"/>
      <c r="AB823" s="33"/>
      <c r="AC823" s="33"/>
      <c r="AD823" s="33"/>
      <c r="AE823" s="33"/>
      <c r="AF823" s="33"/>
      <c r="AG823" s="33"/>
      <c r="AH823" s="33"/>
      <c r="AI823" s="33"/>
      <c r="AJ823" s="33"/>
      <c r="AK823" s="33"/>
      <c r="AL823" s="33"/>
      <c r="AM823" s="33"/>
      <c r="AN823" s="33"/>
      <c r="AO823" s="33"/>
      <c r="AP823" s="33"/>
      <c r="AQ823" s="33"/>
      <c r="AR823" s="33"/>
      <c r="AS823" s="33"/>
      <c r="AT823" s="33"/>
      <c r="AU823" s="33"/>
      <c r="AV823" s="33"/>
      <c r="AW823" s="33"/>
      <c r="AX823" s="33"/>
      <c r="AY823" s="33"/>
      <c r="AZ823" s="33"/>
      <c r="BA823" s="33"/>
      <c r="BB823" s="33"/>
      <c r="BC823" s="33"/>
      <c r="BD823" s="33"/>
      <c r="BE823" s="33"/>
      <c r="BF823" s="33"/>
      <c r="BG823" s="33"/>
      <c r="BH823" s="33"/>
      <c r="BI823" s="33"/>
      <c r="BJ823" s="33"/>
      <c r="BK823" s="33"/>
      <c r="BL823" s="33"/>
      <c r="BM823" s="33"/>
      <c r="BN823" s="33"/>
      <c r="BO823" s="33"/>
      <c r="BP823" s="33"/>
      <c r="BQ823" s="33"/>
      <c r="BR823" s="33"/>
      <c r="BS823" s="33"/>
      <c r="BT823" s="33"/>
      <c r="BU823" s="33"/>
      <c r="BV823" s="33"/>
      <c r="BW823" s="33"/>
      <c r="BX823" s="33"/>
      <c r="BY823" s="33"/>
      <c r="BZ823" s="33"/>
      <c r="CA823" s="33"/>
      <c r="CB823" s="33"/>
      <c r="CC823" s="33"/>
      <c r="CD823" s="33"/>
      <c r="CE823" s="33"/>
      <c r="CF823" s="33"/>
      <c r="CG823" s="33"/>
      <c r="CH823" s="33"/>
      <c r="CI823" s="33"/>
      <c r="CJ823" s="33"/>
      <c r="CK823" s="33"/>
      <c r="CL823" s="33"/>
      <c r="CM823" s="33"/>
      <c r="CN823" s="33"/>
      <c r="CO823" s="33"/>
      <c r="CP823" s="33"/>
      <c r="CQ823" s="33"/>
      <c r="CR823" s="33"/>
      <c r="CS823" s="33"/>
      <c r="CT823" s="33"/>
      <c r="CU823" s="33"/>
      <c r="CV823" s="33"/>
      <c r="CW823" s="33"/>
      <c r="CX823" s="33"/>
      <c r="CY823" s="33"/>
      <c r="CZ823" s="33"/>
      <c r="DA823" s="33"/>
      <c r="DB823" s="33"/>
      <c r="DC823" s="33"/>
      <c r="DD823" s="33"/>
      <c r="DE823" s="33"/>
      <c r="DF823" s="33"/>
      <c r="DG823" s="33"/>
      <c r="DH823" s="33"/>
      <c r="DI823" s="33"/>
      <c r="DJ823" s="33"/>
      <c r="DK823" s="33"/>
      <c r="DL823" s="33"/>
      <c r="DM823" s="33"/>
      <c r="DN823" s="33"/>
      <c r="DO823" s="33"/>
      <c r="DP823" s="33"/>
      <c r="DQ823" s="33"/>
      <c r="DR823" s="33"/>
      <c r="DS823" s="33"/>
      <c r="DT823" s="33"/>
      <c r="DU823" s="33"/>
      <c r="DV823" s="33"/>
      <c r="DW823" s="33"/>
      <c r="DX823" s="33"/>
      <c r="DY823" s="33"/>
      <c r="DZ823" s="33"/>
      <c r="EA823" s="33"/>
      <c r="EB823" s="33"/>
      <c r="EC823" s="33"/>
      <c r="ED823" s="33"/>
      <c r="EE823" s="33"/>
      <c r="EF823" s="33"/>
      <c r="EG823" s="33"/>
      <c r="EH823" s="33"/>
      <c r="EI823" s="33"/>
      <c r="EJ823" s="33"/>
      <c r="EK823" s="33"/>
      <c r="EL823" s="33"/>
      <c r="EM823" s="33"/>
      <c r="EN823" s="33"/>
      <c r="EO823" s="33"/>
      <c r="EP823" s="33"/>
      <c r="EQ823" s="33"/>
      <c r="ER823" s="33"/>
      <c r="ES823" s="33"/>
    </row>
    <row r="824">
      <c r="A824" s="33"/>
      <c r="B824" s="33"/>
      <c r="C824" s="33"/>
      <c r="D824" s="33"/>
      <c r="E824" s="33"/>
      <c r="F824" s="33"/>
      <c r="G824" s="85"/>
      <c r="H824" s="85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33"/>
      <c r="Y824" s="33"/>
      <c r="Z824" s="33"/>
      <c r="AA824" s="33"/>
      <c r="AB824" s="33"/>
      <c r="AC824" s="33"/>
      <c r="AD824" s="33"/>
      <c r="AE824" s="33"/>
      <c r="AF824" s="33"/>
      <c r="AG824" s="33"/>
      <c r="AH824" s="33"/>
      <c r="AI824" s="33"/>
      <c r="AJ824" s="33"/>
      <c r="AK824" s="33"/>
      <c r="AL824" s="33"/>
      <c r="AM824" s="33"/>
      <c r="AN824" s="33"/>
      <c r="AO824" s="33"/>
      <c r="AP824" s="33"/>
      <c r="AQ824" s="33"/>
      <c r="AR824" s="33"/>
      <c r="AS824" s="33"/>
      <c r="AT824" s="33"/>
      <c r="AU824" s="33"/>
      <c r="AV824" s="33"/>
      <c r="AW824" s="33"/>
      <c r="AX824" s="33"/>
      <c r="AY824" s="33"/>
      <c r="AZ824" s="33"/>
      <c r="BA824" s="33"/>
      <c r="BB824" s="33"/>
      <c r="BC824" s="33"/>
      <c r="BD824" s="33"/>
      <c r="BE824" s="33"/>
      <c r="BF824" s="33"/>
      <c r="BG824" s="33"/>
      <c r="BH824" s="33"/>
      <c r="BI824" s="33"/>
      <c r="BJ824" s="33"/>
      <c r="BK824" s="33"/>
      <c r="BL824" s="33"/>
      <c r="BM824" s="33"/>
      <c r="BN824" s="33"/>
      <c r="BO824" s="33"/>
      <c r="BP824" s="33"/>
      <c r="BQ824" s="33"/>
      <c r="BR824" s="33"/>
      <c r="BS824" s="33"/>
      <c r="BT824" s="33"/>
      <c r="BU824" s="33"/>
      <c r="BV824" s="33"/>
      <c r="BW824" s="33"/>
      <c r="BX824" s="33"/>
      <c r="BY824" s="33"/>
      <c r="BZ824" s="33"/>
      <c r="CA824" s="33"/>
      <c r="CB824" s="33"/>
      <c r="CC824" s="33"/>
      <c r="CD824" s="33"/>
      <c r="CE824" s="33"/>
      <c r="CF824" s="33"/>
      <c r="CG824" s="33"/>
      <c r="CH824" s="33"/>
      <c r="CI824" s="33"/>
      <c r="CJ824" s="33"/>
      <c r="CK824" s="33"/>
      <c r="CL824" s="33"/>
      <c r="CM824" s="33"/>
      <c r="CN824" s="33"/>
      <c r="CO824" s="33"/>
      <c r="CP824" s="33"/>
      <c r="CQ824" s="33"/>
      <c r="CR824" s="33"/>
      <c r="CS824" s="33"/>
      <c r="CT824" s="33"/>
      <c r="CU824" s="33"/>
      <c r="CV824" s="33"/>
      <c r="CW824" s="33"/>
      <c r="CX824" s="33"/>
      <c r="CY824" s="33"/>
      <c r="CZ824" s="33"/>
      <c r="DA824" s="33"/>
      <c r="DB824" s="33"/>
      <c r="DC824" s="33"/>
      <c r="DD824" s="33"/>
      <c r="DE824" s="33"/>
      <c r="DF824" s="33"/>
      <c r="DG824" s="33"/>
      <c r="DH824" s="33"/>
      <c r="DI824" s="33"/>
      <c r="DJ824" s="33"/>
      <c r="DK824" s="33"/>
      <c r="DL824" s="33"/>
      <c r="DM824" s="33"/>
      <c r="DN824" s="33"/>
      <c r="DO824" s="33"/>
      <c r="DP824" s="33"/>
      <c r="DQ824" s="33"/>
      <c r="DR824" s="33"/>
      <c r="DS824" s="33"/>
      <c r="DT824" s="33"/>
      <c r="DU824" s="33"/>
      <c r="DV824" s="33"/>
      <c r="DW824" s="33"/>
      <c r="DX824" s="33"/>
      <c r="DY824" s="33"/>
      <c r="DZ824" s="33"/>
      <c r="EA824" s="33"/>
      <c r="EB824" s="33"/>
      <c r="EC824" s="33"/>
      <c r="ED824" s="33"/>
      <c r="EE824" s="33"/>
      <c r="EF824" s="33"/>
      <c r="EG824" s="33"/>
      <c r="EH824" s="33"/>
      <c r="EI824" s="33"/>
      <c r="EJ824" s="33"/>
      <c r="EK824" s="33"/>
      <c r="EL824" s="33"/>
      <c r="EM824" s="33"/>
      <c r="EN824" s="33"/>
      <c r="EO824" s="33"/>
      <c r="EP824" s="33"/>
      <c r="EQ824" s="33"/>
      <c r="ER824" s="33"/>
      <c r="ES824" s="33"/>
    </row>
    <row r="825">
      <c r="A825" s="33"/>
      <c r="B825" s="33"/>
      <c r="C825" s="33"/>
      <c r="D825" s="33"/>
      <c r="E825" s="33"/>
      <c r="F825" s="33"/>
      <c r="G825" s="85"/>
      <c r="H825" s="85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33"/>
      <c r="Y825" s="33"/>
      <c r="Z825" s="33"/>
      <c r="AA825" s="33"/>
      <c r="AB825" s="33"/>
      <c r="AC825" s="33"/>
      <c r="AD825" s="33"/>
      <c r="AE825" s="33"/>
      <c r="AF825" s="33"/>
      <c r="AG825" s="33"/>
      <c r="AH825" s="33"/>
      <c r="AI825" s="33"/>
      <c r="AJ825" s="33"/>
      <c r="AK825" s="33"/>
      <c r="AL825" s="33"/>
      <c r="AM825" s="33"/>
      <c r="AN825" s="33"/>
      <c r="AO825" s="33"/>
      <c r="AP825" s="33"/>
      <c r="AQ825" s="33"/>
      <c r="AR825" s="33"/>
      <c r="AS825" s="33"/>
      <c r="AT825" s="33"/>
      <c r="AU825" s="33"/>
      <c r="AV825" s="33"/>
      <c r="AW825" s="33"/>
      <c r="AX825" s="33"/>
      <c r="AY825" s="33"/>
      <c r="AZ825" s="33"/>
      <c r="BA825" s="33"/>
      <c r="BB825" s="33"/>
      <c r="BC825" s="33"/>
      <c r="BD825" s="33"/>
      <c r="BE825" s="33"/>
      <c r="BF825" s="33"/>
      <c r="BG825" s="33"/>
      <c r="BH825" s="33"/>
      <c r="BI825" s="33"/>
      <c r="BJ825" s="33"/>
      <c r="BK825" s="33"/>
      <c r="BL825" s="33"/>
      <c r="BM825" s="33"/>
      <c r="BN825" s="33"/>
      <c r="BO825" s="33"/>
      <c r="BP825" s="33"/>
      <c r="BQ825" s="33"/>
      <c r="BR825" s="33"/>
      <c r="BS825" s="33"/>
      <c r="BT825" s="33"/>
      <c r="BU825" s="33"/>
      <c r="BV825" s="33"/>
      <c r="BW825" s="33"/>
      <c r="BX825" s="33"/>
      <c r="BY825" s="33"/>
      <c r="BZ825" s="33"/>
      <c r="CA825" s="33"/>
      <c r="CB825" s="33"/>
      <c r="CC825" s="33"/>
      <c r="CD825" s="33"/>
      <c r="CE825" s="33"/>
      <c r="CF825" s="33"/>
      <c r="CG825" s="33"/>
      <c r="CH825" s="33"/>
      <c r="CI825" s="33"/>
      <c r="CJ825" s="33"/>
      <c r="CK825" s="33"/>
      <c r="CL825" s="33"/>
      <c r="CM825" s="33"/>
      <c r="CN825" s="33"/>
      <c r="CO825" s="33"/>
      <c r="CP825" s="33"/>
      <c r="CQ825" s="33"/>
      <c r="CR825" s="33"/>
      <c r="CS825" s="33"/>
      <c r="CT825" s="33"/>
      <c r="CU825" s="33"/>
      <c r="CV825" s="33"/>
      <c r="CW825" s="33"/>
      <c r="CX825" s="33"/>
      <c r="CY825" s="33"/>
      <c r="CZ825" s="33"/>
      <c r="DA825" s="33"/>
      <c r="DB825" s="33"/>
      <c r="DC825" s="33"/>
      <c r="DD825" s="33"/>
      <c r="DE825" s="33"/>
      <c r="DF825" s="33"/>
      <c r="DG825" s="33"/>
      <c r="DH825" s="33"/>
      <c r="DI825" s="33"/>
      <c r="DJ825" s="33"/>
      <c r="DK825" s="33"/>
      <c r="DL825" s="33"/>
      <c r="DM825" s="33"/>
      <c r="DN825" s="33"/>
      <c r="DO825" s="33"/>
      <c r="DP825" s="33"/>
      <c r="DQ825" s="33"/>
      <c r="DR825" s="33"/>
      <c r="DS825" s="33"/>
      <c r="DT825" s="33"/>
      <c r="DU825" s="33"/>
      <c r="DV825" s="33"/>
      <c r="DW825" s="33"/>
      <c r="DX825" s="33"/>
      <c r="DY825" s="33"/>
      <c r="DZ825" s="33"/>
      <c r="EA825" s="33"/>
      <c r="EB825" s="33"/>
      <c r="EC825" s="33"/>
      <c r="ED825" s="33"/>
      <c r="EE825" s="33"/>
      <c r="EF825" s="33"/>
      <c r="EG825" s="33"/>
      <c r="EH825" s="33"/>
      <c r="EI825" s="33"/>
      <c r="EJ825" s="33"/>
      <c r="EK825" s="33"/>
      <c r="EL825" s="33"/>
      <c r="EM825" s="33"/>
      <c r="EN825" s="33"/>
      <c r="EO825" s="33"/>
      <c r="EP825" s="33"/>
      <c r="EQ825" s="33"/>
      <c r="ER825" s="33"/>
      <c r="ES825" s="33"/>
    </row>
    <row r="826">
      <c r="A826" s="33"/>
      <c r="B826" s="33"/>
      <c r="C826" s="33"/>
      <c r="D826" s="33"/>
      <c r="E826" s="33"/>
      <c r="F826" s="33"/>
      <c r="G826" s="85"/>
      <c r="H826" s="85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33"/>
      <c r="Y826" s="33"/>
      <c r="Z826" s="33"/>
      <c r="AA826" s="33"/>
      <c r="AB826" s="33"/>
      <c r="AC826" s="33"/>
      <c r="AD826" s="33"/>
      <c r="AE826" s="33"/>
      <c r="AF826" s="33"/>
      <c r="AG826" s="33"/>
      <c r="AH826" s="33"/>
      <c r="AI826" s="33"/>
      <c r="AJ826" s="33"/>
      <c r="AK826" s="33"/>
      <c r="AL826" s="33"/>
      <c r="AM826" s="33"/>
      <c r="AN826" s="33"/>
      <c r="AO826" s="33"/>
      <c r="AP826" s="33"/>
      <c r="AQ826" s="33"/>
      <c r="AR826" s="33"/>
      <c r="AS826" s="33"/>
      <c r="AT826" s="33"/>
      <c r="AU826" s="33"/>
      <c r="AV826" s="33"/>
      <c r="AW826" s="33"/>
      <c r="AX826" s="33"/>
      <c r="AY826" s="33"/>
      <c r="AZ826" s="33"/>
      <c r="BA826" s="33"/>
      <c r="BB826" s="33"/>
      <c r="BC826" s="33"/>
      <c r="BD826" s="33"/>
      <c r="BE826" s="33"/>
      <c r="BF826" s="33"/>
      <c r="BG826" s="33"/>
      <c r="BH826" s="33"/>
      <c r="BI826" s="33"/>
      <c r="BJ826" s="33"/>
      <c r="BK826" s="33"/>
      <c r="BL826" s="33"/>
      <c r="BM826" s="33"/>
      <c r="BN826" s="33"/>
      <c r="BO826" s="33"/>
      <c r="BP826" s="33"/>
      <c r="BQ826" s="33"/>
      <c r="BR826" s="33"/>
      <c r="BS826" s="33"/>
      <c r="BT826" s="33"/>
      <c r="BU826" s="33"/>
      <c r="BV826" s="33"/>
      <c r="BW826" s="33"/>
      <c r="BX826" s="33"/>
      <c r="BY826" s="33"/>
      <c r="BZ826" s="33"/>
      <c r="CA826" s="33"/>
      <c r="CB826" s="33"/>
      <c r="CC826" s="33"/>
      <c r="CD826" s="33"/>
      <c r="CE826" s="33"/>
      <c r="CF826" s="33"/>
      <c r="CG826" s="33"/>
      <c r="CH826" s="33"/>
      <c r="CI826" s="33"/>
      <c r="CJ826" s="33"/>
      <c r="CK826" s="33"/>
      <c r="CL826" s="33"/>
      <c r="CM826" s="33"/>
      <c r="CN826" s="33"/>
      <c r="CO826" s="33"/>
      <c r="CP826" s="33"/>
      <c r="CQ826" s="33"/>
      <c r="CR826" s="33"/>
      <c r="CS826" s="33"/>
      <c r="CT826" s="33"/>
      <c r="CU826" s="33"/>
      <c r="CV826" s="33"/>
      <c r="CW826" s="33"/>
      <c r="CX826" s="33"/>
      <c r="CY826" s="33"/>
      <c r="CZ826" s="33"/>
      <c r="DA826" s="33"/>
      <c r="DB826" s="33"/>
      <c r="DC826" s="33"/>
      <c r="DD826" s="33"/>
      <c r="DE826" s="33"/>
      <c r="DF826" s="33"/>
      <c r="DG826" s="33"/>
      <c r="DH826" s="33"/>
      <c r="DI826" s="33"/>
      <c r="DJ826" s="33"/>
      <c r="DK826" s="33"/>
      <c r="DL826" s="33"/>
      <c r="DM826" s="33"/>
      <c r="DN826" s="33"/>
      <c r="DO826" s="33"/>
      <c r="DP826" s="33"/>
      <c r="DQ826" s="33"/>
      <c r="DR826" s="33"/>
      <c r="DS826" s="33"/>
      <c r="DT826" s="33"/>
      <c r="DU826" s="33"/>
      <c r="DV826" s="33"/>
      <c r="DW826" s="33"/>
      <c r="DX826" s="33"/>
      <c r="DY826" s="33"/>
      <c r="DZ826" s="33"/>
      <c r="EA826" s="33"/>
      <c r="EB826" s="33"/>
      <c r="EC826" s="33"/>
      <c r="ED826" s="33"/>
      <c r="EE826" s="33"/>
      <c r="EF826" s="33"/>
      <c r="EG826" s="33"/>
      <c r="EH826" s="33"/>
      <c r="EI826" s="33"/>
      <c r="EJ826" s="33"/>
      <c r="EK826" s="33"/>
      <c r="EL826" s="33"/>
      <c r="EM826" s="33"/>
      <c r="EN826" s="33"/>
      <c r="EO826" s="33"/>
      <c r="EP826" s="33"/>
      <c r="EQ826" s="33"/>
      <c r="ER826" s="33"/>
      <c r="ES826" s="33"/>
    </row>
    <row r="827">
      <c r="A827" s="33"/>
      <c r="B827" s="33"/>
      <c r="C827" s="33"/>
      <c r="D827" s="33"/>
      <c r="E827" s="33"/>
      <c r="F827" s="33"/>
      <c r="G827" s="85"/>
      <c r="H827" s="85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33"/>
      <c r="Y827" s="33"/>
      <c r="Z827" s="33"/>
      <c r="AA827" s="33"/>
      <c r="AB827" s="33"/>
      <c r="AC827" s="33"/>
      <c r="AD827" s="33"/>
      <c r="AE827" s="33"/>
      <c r="AF827" s="33"/>
      <c r="AG827" s="33"/>
      <c r="AH827" s="33"/>
      <c r="AI827" s="33"/>
      <c r="AJ827" s="33"/>
      <c r="AK827" s="33"/>
      <c r="AL827" s="33"/>
      <c r="AM827" s="33"/>
      <c r="AN827" s="33"/>
      <c r="AO827" s="33"/>
      <c r="AP827" s="33"/>
      <c r="AQ827" s="33"/>
      <c r="AR827" s="33"/>
      <c r="AS827" s="33"/>
      <c r="AT827" s="33"/>
      <c r="AU827" s="33"/>
      <c r="AV827" s="33"/>
      <c r="AW827" s="33"/>
      <c r="AX827" s="33"/>
      <c r="AY827" s="33"/>
      <c r="AZ827" s="33"/>
      <c r="BA827" s="33"/>
      <c r="BB827" s="33"/>
      <c r="BC827" s="33"/>
      <c r="BD827" s="33"/>
      <c r="BE827" s="33"/>
      <c r="BF827" s="33"/>
      <c r="BG827" s="33"/>
      <c r="BH827" s="33"/>
      <c r="BI827" s="33"/>
      <c r="BJ827" s="33"/>
      <c r="BK827" s="33"/>
      <c r="BL827" s="33"/>
      <c r="BM827" s="33"/>
      <c r="BN827" s="33"/>
      <c r="BO827" s="33"/>
      <c r="BP827" s="33"/>
      <c r="BQ827" s="33"/>
      <c r="BR827" s="33"/>
      <c r="BS827" s="33"/>
      <c r="BT827" s="33"/>
      <c r="BU827" s="33"/>
      <c r="BV827" s="33"/>
      <c r="BW827" s="33"/>
      <c r="BX827" s="33"/>
      <c r="BY827" s="33"/>
      <c r="BZ827" s="33"/>
      <c r="CA827" s="33"/>
      <c r="CB827" s="33"/>
      <c r="CC827" s="33"/>
      <c r="CD827" s="33"/>
      <c r="CE827" s="33"/>
      <c r="CF827" s="33"/>
      <c r="CG827" s="33"/>
      <c r="CH827" s="33"/>
      <c r="CI827" s="33"/>
      <c r="CJ827" s="33"/>
      <c r="CK827" s="33"/>
      <c r="CL827" s="33"/>
      <c r="CM827" s="33"/>
      <c r="CN827" s="33"/>
      <c r="CO827" s="33"/>
      <c r="CP827" s="33"/>
      <c r="CQ827" s="33"/>
      <c r="CR827" s="33"/>
      <c r="CS827" s="33"/>
      <c r="CT827" s="33"/>
      <c r="CU827" s="33"/>
      <c r="CV827" s="33"/>
      <c r="CW827" s="33"/>
      <c r="CX827" s="33"/>
      <c r="CY827" s="33"/>
      <c r="CZ827" s="33"/>
      <c r="DA827" s="33"/>
      <c r="DB827" s="33"/>
      <c r="DC827" s="33"/>
      <c r="DD827" s="33"/>
      <c r="DE827" s="33"/>
      <c r="DF827" s="33"/>
      <c r="DG827" s="33"/>
      <c r="DH827" s="33"/>
      <c r="DI827" s="33"/>
      <c r="DJ827" s="33"/>
      <c r="DK827" s="33"/>
      <c r="DL827" s="33"/>
      <c r="DM827" s="33"/>
      <c r="DN827" s="33"/>
      <c r="DO827" s="33"/>
      <c r="DP827" s="33"/>
      <c r="DQ827" s="33"/>
      <c r="DR827" s="33"/>
      <c r="DS827" s="33"/>
      <c r="DT827" s="33"/>
      <c r="DU827" s="33"/>
      <c r="DV827" s="33"/>
      <c r="DW827" s="33"/>
      <c r="DX827" s="33"/>
      <c r="DY827" s="33"/>
      <c r="DZ827" s="33"/>
      <c r="EA827" s="33"/>
      <c r="EB827" s="33"/>
      <c r="EC827" s="33"/>
      <c r="ED827" s="33"/>
      <c r="EE827" s="33"/>
      <c r="EF827" s="33"/>
      <c r="EG827" s="33"/>
      <c r="EH827" s="33"/>
      <c r="EI827" s="33"/>
      <c r="EJ827" s="33"/>
      <c r="EK827" s="33"/>
      <c r="EL827" s="33"/>
      <c r="EM827" s="33"/>
      <c r="EN827" s="33"/>
      <c r="EO827" s="33"/>
      <c r="EP827" s="33"/>
      <c r="EQ827" s="33"/>
      <c r="ER827" s="33"/>
      <c r="ES827" s="33"/>
    </row>
    <row r="828">
      <c r="A828" s="33"/>
      <c r="B828" s="33"/>
      <c r="C828" s="33"/>
      <c r="D828" s="33"/>
      <c r="E828" s="33"/>
      <c r="F828" s="33"/>
      <c r="G828" s="85"/>
      <c r="H828" s="85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33"/>
      <c r="Y828" s="33"/>
      <c r="Z828" s="33"/>
      <c r="AA828" s="33"/>
      <c r="AB828" s="33"/>
      <c r="AC828" s="33"/>
      <c r="AD828" s="33"/>
      <c r="AE828" s="33"/>
      <c r="AF828" s="33"/>
      <c r="AG828" s="33"/>
      <c r="AH828" s="33"/>
      <c r="AI828" s="33"/>
      <c r="AJ828" s="33"/>
      <c r="AK828" s="33"/>
      <c r="AL828" s="33"/>
      <c r="AM828" s="33"/>
      <c r="AN828" s="33"/>
      <c r="AO828" s="33"/>
      <c r="AP828" s="33"/>
      <c r="AQ828" s="33"/>
      <c r="AR828" s="33"/>
      <c r="AS828" s="33"/>
      <c r="AT828" s="33"/>
      <c r="AU828" s="33"/>
      <c r="AV828" s="33"/>
      <c r="AW828" s="33"/>
      <c r="AX828" s="33"/>
      <c r="AY828" s="33"/>
      <c r="AZ828" s="33"/>
      <c r="BA828" s="33"/>
      <c r="BB828" s="33"/>
      <c r="BC828" s="33"/>
      <c r="BD828" s="33"/>
      <c r="BE828" s="33"/>
      <c r="BF828" s="33"/>
      <c r="BG828" s="33"/>
      <c r="BH828" s="33"/>
      <c r="BI828" s="33"/>
      <c r="BJ828" s="33"/>
      <c r="BK828" s="33"/>
      <c r="BL828" s="33"/>
      <c r="BM828" s="33"/>
      <c r="BN828" s="33"/>
      <c r="BO828" s="33"/>
      <c r="BP828" s="33"/>
      <c r="BQ828" s="33"/>
      <c r="BR828" s="33"/>
      <c r="BS828" s="33"/>
      <c r="BT828" s="33"/>
      <c r="BU828" s="33"/>
      <c r="BV828" s="33"/>
      <c r="BW828" s="33"/>
      <c r="BX828" s="33"/>
      <c r="BY828" s="33"/>
      <c r="BZ828" s="33"/>
      <c r="CA828" s="33"/>
      <c r="CB828" s="33"/>
      <c r="CC828" s="33"/>
      <c r="CD828" s="33"/>
      <c r="CE828" s="33"/>
      <c r="CF828" s="33"/>
      <c r="CG828" s="33"/>
      <c r="CH828" s="33"/>
      <c r="CI828" s="33"/>
      <c r="CJ828" s="33"/>
      <c r="CK828" s="33"/>
      <c r="CL828" s="33"/>
      <c r="CM828" s="33"/>
      <c r="CN828" s="33"/>
      <c r="CO828" s="33"/>
      <c r="CP828" s="33"/>
      <c r="CQ828" s="33"/>
      <c r="CR828" s="33"/>
      <c r="CS828" s="33"/>
      <c r="CT828" s="33"/>
      <c r="CU828" s="33"/>
      <c r="CV828" s="33"/>
      <c r="CW828" s="33"/>
      <c r="CX828" s="33"/>
      <c r="CY828" s="33"/>
      <c r="CZ828" s="33"/>
      <c r="DA828" s="33"/>
      <c r="DB828" s="33"/>
      <c r="DC828" s="33"/>
      <c r="DD828" s="33"/>
      <c r="DE828" s="33"/>
      <c r="DF828" s="33"/>
      <c r="DG828" s="33"/>
      <c r="DH828" s="33"/>
      <c r="DI828" s="33"/>
      <c r="DJ828" s="33"/>
      <c r="DK828" s="33"/>
      <c r="DL828" s="33"/>
      <c r="DM828" s="33"/>
      <c r="DN828" s="33"/>
      <c r="DO828" s="33"/>
      <c r="DP828" s="33"/>
      <c r="DQ828" s="33"/>
      <c r="DR828" s="33"/>
      <c r="DS828" s="33"/>
      <c r="DT828" s="33"/>
      <c r="DU828" s="33"/>
      <c r="DV828" s="33"/>
      <c r="DW828" s="33"/>
      <c r="DX828" s="33"/>
      <c r="DY828" s="33"/>
      <c r="DZ828" s="33"/>
      <c r="EA828" s="33"/>
      <c r="EB828" s="33"/>
      <c r="EC828" s="33"/>
      <c r="ED828" s="33"/>
      <c r="EE828" s="33"/>
      <c r="EF828" s="33"/>
      <c r="EG828" s="33"/>
      <c r="EH828" s="33"/>
      <c r="EI828" s="33"/>
      <c r="EJ828" s="33"/>
      <c r="EK828" s="33"/>
      <c r="EL828" s="33"/>
      <c r="EM828" s="33"/>
      <c r="EN828" s="33"/>
      <c r="EO828" s="33"/>
      <c r="EP828" s="33"/>
      <c r="EQ828" s="33"/>
      <c r="ER828" s="33"/>
      <c r="ES828" s="33"/>
    </row>
    <row r="829">
      <c r="A829" s="33"/>
      <c r="B829" s="33"/>
      <c r="C829" s="33"/>
      <c r="D829" s="33"/>
      <c r="E829" s="33"/>
      <c r="F829" s="33"/>
      <c r="G829" s="85"/>
      <c r="H829" s="85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33"/>
      <c r="Y829" s="33"/>
      <c r="Z829" s="33"/>
      <c r="AA829" s="33"/>
      <c r="AB829" s="33"/>
      <c r="AC829" s="33"/>
      <c r="AD829" s="33"/>
      <c r="AE829" s="33"/>
      <c r="AF829" s="33"/>
      <c r="AG829" s="33"/>
      <c r="AH829" s="33"/>
      <c r="AI829" s="33"/>
      <c r="AJ829" s="33"/>
      <c r="AK829" s="33"/>
      <c r="AL829" s="33"/>
      <c r="AM829" s="33"/>
      <c r="AN829" s="33"/>
      <c r="AO829" s="33"/>
      <c r="AP829" s="33"/>
      <c r="AQ829" s="33"/>
      <c r="AR829" s="33"/>
      <c r="AS829" s="33"/>
      <c r="AT829" s="33"/>
      <c r="AU829" s="33"/>
      <c r="AV829" s="33"/>
      <c r="AW829" s="33"/>
      <c r="AX829" s="33"/>
      <c r="AY829" s="33"/>
      <c r="AZ829" s="33"/>
      <c r="BA829" s="33"/>
      <c r="BB829" s="33"/>
      <c r="BC829" s="33"/>
      <c r="BD829" s="33"/>
      <c r="BE829" s="33"/>
      <c r="BF829" s="33"/>
      <c r="BG829" s="33"/>
      <c r="BH829" s="33"/>
      <c r="BI829" s="33"/>
      <c r="BJ829" s="33"/>
      <c r="BK829" s="33"/>
      <c r="BL829" s="33"/>
      <c r="BM829" s="33"/>
      <c r="BN829" s="33"/>
      <c r="BO829" s="33"/>
      <c r="BP829" s="33"/>
      <c r="BQ829" s="33"/>
      <c r="BR829" s="33"/>
      <c r="BS829" s="33"/>
      <c r="BT829" s="33"/>
      <c r="BU829" s="33"/>
      <c r="BV829" s="33"/>
      <c r="BW829" s="33"/>
      <c r="BX829" s="33"/>
      <c r="BY829" s="33"/>
      <c r="BZ829" s="33"/>
      <c r="CA829" s="33"/>
      <c r="CB829" s="33"/>
      <c r="CC829" s="33"/>
      <c r="CD829" s="33"/>
      <c r="CE829" s="33"/>
      <c r="CF829" s="33"/>
      <c r="CG829" s="33"/>
      <c r="CH829" s="33"/>
      <c r="CI829" s="33"/>
      <c r="CJ829" s="33"/>
      <c r="CK829" s="33"/>
      <c r="CL829" s="33"/>
      <c r="CM829" s="33"/>
      <c r="CN829" s="33"/>
      <c r="CO829" s="33"/>
      <c r="CP829" s="33"/>
      <c r="CQ829" s="33"/>
      <c r="CR829" s="33"/>
      <c r="CS829" s="33"/>
      <c r="CT829" s="33"/>
      <c r="CU829" s="33"/>
      <c r="CV829" s="33"/>
      <c r="CW829" s="33"/>
      <c r="CX829" s="33"/>
      <c r="CY829" s="33"/>
      <c r="CZ829" s="33"/>
      <c r="DA829" s="33"/>
      <c r="DB829" s="33"/>
      <c r="DC829" s="33"/>
      <c r="DD829" s="33"/>
      <c r="DE829" s="33"/>
      <c r="DF829" s="33"/>
      <c r="DG829" s="33"/>
      <c r="DH829" s="33"/>
      <c r="DI829" s="33"/>
      <c r="DJ829" s="33"/>
      <c r="DK829" s="33"/>
      <c r="DL829" s="33"/>
      <c r="DM829" s="33"/>
      <c r="DN829" s="33"/>
      <c r="DO829" s="33"/>
      <c r="DP829" s="33"/>
      <c r="DQ829" s="33"/>
      <c r="DR829" s="33"/>
      <c r="DS829" s="33"/>
      <c r="DT829" s="33"/>
      <c r="DU829" s="33"/>
      <c r="DV829" s="33"/>
      <c r="DW829" s="33"/>
      <c r="DX829" s="33"/>
      <c r="DY829" s="33"/>
      <c r="DZ829" s="33"/>
      <c r="EA829" s="33"/>
      <c r="EB829" s="33"/>
      <c r="EC829" s="33"/>
      <c r="ED829" s="33"/>
      <c r="EE829" s="33"/>
      <c r="EF829" s="33"/>
      <c r="EG829" s="33"/>
      <c r="EH829" s="33"/>
      <c r="EI829" s="33"/>
      <c r="EJ829" s="33"/>
      <c r="EK829" s="33"/>
      <c r="EL829" s="33"/>
      <c r="EM829" s="33"/>
      <c r="EN829" s="33"/>
      <c r="EO829" s="33"/>
      <c r="EP829" s="33"/>
      <c r="EQ829" s="33"/>
      <c r="ER829" s="33"/>
      <c r="ES829" s="33"/>
    </row>
    <row r="830">
      <c r="A830" s="33"/>
      <c r="B830" s="33"/>
      <c r="C830" s="33"/>
      <c r="D830" s="33"/>
      <c r="E830" s="33"/>
      <c r="F830" s="33"/>
      <c r="G830" s="85"/>
      <c r="H830" s="85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33"/>
      <c r="Y830" s="33"/>
      <c r="Z830" s="33"/>
      <c r="AA830" s="33"/>
      <c r="AB830" s="33"/>
      <c r="AC830" s="33"/>
      <c r="AD830" s="33"/>
      <c r="AE830" s="33"/>
      <c r="AF830" s="33"/>
      <c r="AG830" s="33"/>
      <c r="AH830" s="33"/>
      <c r="AI830" s="33"/>
      <c r="AJ830" s="33"/>
      <c r="AK830" s="33"/>
      <c r="AL830" s="33"/>
      <c r="AM830" s="33"/>
      <c r="AN830" s="33"/>
      <c r="AO830" s="33"/>
      <c r="AP830" s="33"/>
      <c r="AQ830" s="33"/>
      <c r="AR830" s="33"/>
      <c r="AS830" s="33"/>
      <c r="AT830" s="33"/>
      <c r="AU830" s="33"/>
      <c r="AV830" s="33"/>
      <c r="AW830" s="33"/>
      <c r="AX830" s="33"/>
      <c r="AY830" s="33"/>
      <c r="AZ830" s="33"/>
      <c r="BA830" s="33"/>
      <c r="BB830" s="33"/>
      <c r="BC830" s="33"/>
      <c r="BD830" s="33"/>
      <c r="BE830" s="33"/>
      <c r="BF830" s="33"/>
      <c r="BG830" s="33"/>
      <c r="BH830" s="33"/>
      <c r="BI830" s="33"/>
      <c r="BJ830" s="33"/>
      <c r="BK830" s="33"/>
      <c r="BL830" s="33"/>
      <c r="BM830" s="33"/>
      <c r="BN830" s="33"/>
      <c r="BO830" s="33"/>
      <c r="BP830" s="33"/>
      <c r="BQ830" s="33"/>
      <c r="BR830" s="33"/>
      <c r="BS830" s="33"/>
      <c r="BT830" s="33"/>
      <c r="BU830" s="33"/>
      <c r="BV830" s="33"/>
      <c r="BW830" s="33"/>
      <c r="BX830" s="33"/>
      <c r="BY830" s="33"/>
      <c r="BZ830" s="33"/>
      <c r="CA830" s="33"/>
      <c r="CB830" s="33"/>
      <c r="CC830" s="33"/>
      <c r="CD830" s="33"/>
      <c r="CE830" s="33"/>
      <c r="CF830" s="33"/>
      <c r="CG830" s="33"/>
      <c r="CH830" s="33"/>
      <c r="CI830" s="33"/>
      <c r="CJ830" s="33"/>
      <c r="CK830" s="33"/>
      <c r="CL830" s="33"/>
      <c r="CM830" s="33"/>
      <c r="CN830" s="33"/>
      <c r="CO830" s="33"/>
      <c r="CP830" s="33"/>
      <c r="CQ830" s="33"/>
      <c r="CR830" s="33"/>
      <c r="CS830" s="33"/>
      <c r="CT830" s="33"/>
      <c r="CU830" s="33"/>
      <c r="CV830" s="33"/>
      <c r="CW830" s="33"/>
      <c r="CX830" s="33"/>
      <c r="CY830" s="33"/>
      <c r="CZ830" s="33"/>
      <c r="DA830" s="33"/>
      <c r="DB830" s="33"/>
      <c r="DC830" s="33"/>
      <c r="DD830" s="33"/>
      <c r="DE830" s="33"/>
      <c r="DF830" s="33"/>
      <c r="DG830" s="33"/>
      <c r="DH830" s="33"/>
      <c r="DI830" s="33"/>
      <c r="DJ830" s="33"/>
      <c r="DK830" s="33"/>
      <c r="DL830" s="33"/>
      <c r="DM830" s="33"/>
      <c r="DN830" s="33"/>
      <c r="DO830" s="33"/>
      <c r="DP830" s="33"/>
      <c r="DQ830" s="33"/>
      <c r="DR830" s="33"/>
      <c r="DS830" s="33"/>
      <c r="DT830" s="33"/>
      <c r="DU830" s="33"/>
      <c r="DV830" s="33"/>
      <c r="DW830" s="33"/>
      <c r="DX830" s="33"/>
      <c r="DY830" s="33"/>
      <c r="DZ830" s="33"/>
      <c r="EA830" s="33"/>
      <c r="EB830" s="33"/>
      <c r="EC830" s="33"/>
      <c r="ED830" s="33"/>
      <c r="EE830" s="33"/>
      <c r="EF830" s="33"/>
      <c r="EG830" s="33"/>
      <c r="EH830" s="33"/>
      <c r="EI830" s="33"/>
      <c r="EJ830" s="33"/>
      <c r="EK830" s="33"/>
      <c r="EL830" s="33"/>
      <c r="EM830" s="33"/>
      <c r="EN830" s="33"/>
      <c r="EO830" s="33"/>
      <c r="EP830" s="33"/>
      <c r="EQ830" s="33"/>
      <c r="ER830" s="33"/>
      <c r="ES830" s="33"/>
    </row>
    <row r="831">
      <c r="A831" s="33"/>
      <c r="B831" s="33"/>
      <c r="C831" s="33"/>
      <c r="D831" s="33"/>
      <c r="E831" s="33"/>
      <c r="F831" s="33"/>
      <c r="G831" s="85"/>
      <c r="H831" s="85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33"/>
      <c r="Y831" s="33"/>
      <c r="Z831" s="33"/>
      <c r="AA831" s="33"/>
      <c r="AB831" s="33"/>
      <c r="AC831" s="33"/>
      <c r="AD831" s="33"/>
      <c r="AE831" s="33"/>
      <c r="AF831" s="33"/>
      <c r="AG831" s="33"/>
      <c r="AH831" s="33"/>
      <c r="AI831" s="33"/>
      <c r="AJ831" s="33"/>
      <c r="AK831" s="33"/>
      <c r="AL831" s="33"/>
      <c r="AM831" s="33"/>
      <c r="AN831" s="33"/>
      <c r="AO831" s="33"/>
      <c r="AP831" s="33"/>
      <c r="AQ831" s="33"/>
      <c r="AR831" s="33"/>
      <c r="AS831" s="33"/>
      <c r="AT831" s="33"/>
      <c r="AU831" s="33"/>
      <c r="AV831" s="33"/>
      <c r="AW831" s="33"/>
      <c r="AX831" s="33"/>
      <c r="AY831" s="33"/>
      <c r="AZ831" s="33"/>
      <c r="BA831" s="33"/>
      <c r="BB831" s="33"/>
      <c r="BC831" s="33"/>
      <c r="BD831" s="33"/>
      <c r="BE831" s="33"/>
      <c r="BF831" s="33"/>
      <c r="BG831" s="33"/>
      <c r="BH831" s="33"/>
      <c r="BI831" s="33"/>
      <c r="BJ831" s="33"/>
      <c r="BK831" s="33"/>
      <c r="BL831" s="33"/>
      <c r="BM831" s="33"/>
      <c r="BN831" s="33"/>
      <c r="BO831" s="33"/>
      <c r="BP831" s="33"/>
      <c r="BQ831" s="33"/>
      <c r="BR831" s="33"/>
      <c r="BS831" s="33"/>
      <c r="BT831" s="33"/>
      <c r="BU831" s="33"/>
      <c r="BV831" s="33"/>
      <c r="BW831" s="33"/>
      <c r="BX831" s="33"/>
      <c r="BY831" s="33"/>
      <c r="BZ831" s="33"/>
      <c r="CA831" s="33"/>
      <c r="CB831" s="33"/>
      <c r="CC831" s="33"/>
      <c r="CD831" s="33"/>
      <c r="CE831" s="33"/>
      <c r="CF831" s="33"/>
      <c r="CG831" s="33"/>
      <c r="CH831" s="33"/>
      <c r="CI831" s="33"/>
      <c r="CJ831" s="33"/>
      <c r="CK831" s="33"/>
      <c r="CL831" s="33"/>
      <c r="CM831" s="33"/>
      <c r="CN831" s="33"/>
      <c r="CO831" s="33"/>
      <c r="CP831" s="33"/>
      <c r="CQ831" s="33"/>
      <c r="CR831" s="33"/>
      <c r="CS831" s="33"/>
      <c r="CT831" s="33"/>
      <c r="CU831" s="33"/>
      <c r="CV831" s="33"/>
      <c r="CW831" s="33"/>
      <c r="CX831" s="33"/>
      <c r="CY831" s="33"/>
      <c r="CZ831" s="33"/>
      <c r="DA831" s="33"/>
      <c r="DB831" s="33"/>
      <c r="DC831" s="33"/>
      <c r="DD831" s="33"/>
      <c r="DE831" s="33"/>
      <c r="DF831" s="33"/>
      <c r="DG831" s="33"/>
      <c r="DH831" s="33"/>
      <c r="DI831" s="33"/>
      <c r="DJ831" s="33"/>
      <c r="DK831" s="33"/>
      <c r="DL831" s="33"/>
      <c r="DM831" s="33"/>
      <c r="DN831" s="33"/>
      <c r="DO831" s="33"/>
      <c r="DP831" s="33"/>
      <c r="DQ831" s="33"/>
      <c r="DR831" s="33"/>
      <c r="DS831" s="33"/>
      <c r="DT831" s="33"/>
      <c r="DU831" s="33"/>
      <c r="DV831" s="33"/>
      <c r="DW831" s="33"/>
      <c r="DX831" s="33"/>
      <c r="DY831" s="33"/>
      <c r="DZ831" s="33"/>
      <c r="EA831" s="33"/>
      <c r="EB831" s="33"/>
      <c r="EC831" s="33"/>
      <c r="ED831" s="33"/>
      <c r="EE831" s="33"/>
      <c r="EF831" s="33"/>
      <c r="EG831" s="33"/>
      <c r="EH831" s="33"/>
      <c r="EI831" s="33"/>
      <c r="EJ831" s="33"/>
      <c r="EK831" s="33"/>
      <c r="EL831" s="33"/>
      <c r="EM831" s="33"/>
      <c r="EN831" s="33"/>
      <c r="EO831" s="33"/>
      <c r="EP831" s="33"/>
      <c r="EQ831" s="33"/>
      <c r="ER831" s="33"/>
      <c r="ES831" s="33"/>
    </row>
    <row r="832">
      <c r="A832" s="33"/>
      <c r="B832" s="33"/>
      <c r="C832" s="33"/>
      <c r="D832" s="33"/>
      <c r="E832" s="33"/>
      <c r="F832" s="33"/>
      <c r="G832" s="85"/>
      <c r="H832" s="85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33"/>
      <c r="Y832" s="33"/>
      <c r="Z832" s="33"/>
      <c r="AA832" s="33"/>
      <c r="AB832" s="33"/>
      <c r="AC832" s="33"/>
      <c r="AD832" s="33"/>
      <c r="AE832" s="33"/>
      <c r="AF832" s="33"/>
      <c r="AG832" s="33"/>
      <c r="AH832" s="33"/>
      <c r="AI832" s="33"/>
      <c r="AJ832" s="33"/>
      <c r="AK832" s="33"/>
      <c r="AL832" s="33"/>
      <c r="AM832" s="33"/>
      <c r="AN832" s="33"/>
      <c r="AO832" s="33"/>
      <c r="AP832" s="33"/>
      <c r="AQ832" s="33"/>
      <c r="AR832" s="33"/>
      <c r="AS832" s="33"/>
      <c r="AT832" s="33"/>
      <c r="AU832" s="33"/>
      <c r="AV832" s="33"/>
      <c r="AW832" s="33"/>
      <c r="AX832" s="33"/>
      <c r="AY832" s="33"/>
      <c r="AZ832" s="33"/>
      <c r="BA832" s="33"/>
      <c r="BB832" s="33"/>
      <c r="BC832" s="33"/>
      <c r="BD832" s="33"/>
      <c r="BE832" s="33"/>
      <c r="BF832" s="33"/>
      <c r="BG832" s="33"/>
      <c r="BH832" s="33"/>
      <c r="BI832" s="33"/>
      <c r="BJ832" s="33"/>
      <c r="BK832" s="33"/>
      <c r="BL832" s="33"/>
      <c r="BM832" s="33"/>
      <c r="BN832" s="33"/>
      <c r="BO832" s="33"/>
      <c r="BP832" s="33"/>
      <c r="BQ832" s="33"/>
      <c r="BR832" s="33"/>
      <c r="BS832" s="33"/>
      <c r="BT832" s="33"/>
      <c r="BU832" s="33"/>
      <c r="BV832" s="33"/>
      <c r="BW832" s="33"/>
      <c r="BX832" s="33"/>
      <c r="BY832" s="33"/>
      <c r="BZ832" s="33"/>
      <c r="CA832" s="33"/>
      <c r="CB832" s="33"/>
      <c r="CC832" s="33"/>
      <c r="CD832" s="33"/>
      <c r="CE832" s="33"/>
      <c r="CF832" s="33"/>
      <c r="CG832" s="33"/>
      <c r="CH832" s="33"/>
      <c r="CI832" s="33"/>
      <c r="CJ832" s="33"/>
      <c r="CK832" s="33"/>
      <c r="CL832" s="33"/>
      <c r="CM832" s="33"/>
      <c r="CN832" s="33"/>
      <c r="CO832" s="33"/>
      <c r="CP832" s="33"/>
      <c r="CQ832" s="33"/>
      <c r="CR832" s="33"/>
      <c r="CS832" s="33"/>
      <c r="CT832" s="33"/>
      <c r="CU832" s="33"/>
      <c r="CV832" s="33"/>
      <c r="CW832" s="33"/>
      <c r="CX832" s="33"/>
      <c r="CY832" s="33"/>
      <c r="CZ832" s="33"/>
      <c r="DA832" s="33"/>
      <c r="DB832" s="33"/>
      <c r="DC832" s="33"/>
      <c r="DD832" s="33"/>
      <c r="DE832" s="33"/>
      <c r="DF832" s="33"/>
      <c r="DG832" s="33"/>
      <c r="DH832" s="33"/>
      <c r="DI832" s="33"/>
      <c r="DJ832" s="33"/>
      <c r="DK832" s="33"/>
      <c r="DL832" s="33"/>
      <c r="DM832" s="33"/>
      <c r="DN832" s="33"/>
      <c r="DO832" s="33"/>
      <c r="DP832" s="33"/>
      <c r="DQ832" s="33"/>
      <c r="DR832" s="33"/>
      <c r="DS832" s="33"/>
      <c r="DT832" s="33"/>
      <c r="DU832" s="33"/>
      <c r="DV832" s="33"/>
      <c r="DW832" s="33"/>
      <c r="DX832" s="33"/>
      <c r="DY832" s="33"/>
      <c r="DZ832" s="33"/>
      <c r="EA832" s="33"/>
      <c r="EB832" s="33"/>
      <c r="EC832" s="33"/>
      <c r="ED832" s="33"/>
      <c r="EE832" s="33"/>
      <c r="EF832" s="33"/>
      <c r="EG832" s="33"/>
      <c r="EH832" s="33"/>
      <c r="EI832" s="33"/>
      <c r="EJ832" s="33"/>
      <c r="EK832" s="33"/>
      <c r="EL832" s="33"/>
      <c r="EM832" s="33"/>
      <c r="EN832" s="33"/>
      <c r="EO832" s="33"/>
      <c r="EP832" s="33"/>
      <c r="EQ832" s="33"/>
      <c r="ER832" s="33"/>
      <c r="ES832" s="33"/>
    </row>
    <row r="833">
      <c r="A833" s="33"/>
      <c r="B833" s="33"/>
      <c r="C833" s="33"/>
      <c r="D833" s="33"/>
      <c r="E833" s="33"/>
      <c r="F833" s="33"/>
      <c r="G833" s="85"/>
      <c r="H833" s="85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33"/>
      <c r="Y833" s="33"/>
      <c r="Z833" s="33"/>
      <c r="AA833" s="33"/>
      <c r="AB833" s="33"/>
      <c r="AC833" s="33"/>
      <c r="AD833" s="33"/>
      <c r="AE833" s="33"/>
      <c r="AF833" s="33"/>
      <c r="AG833" s="33"/>
      <c r="AH833" s="33"/>
      <c r="AI833" s="33"/>
      <c r="AJ833" s="33"/>
      <c r="AK833" s="33"/>
      <c r="AL833" s="33"/>
      <c r="AM833" s="33"/>
      <c r="AN833" s="33"/>
      <c r="AO833" s="33"/>
      <c r="AP833" s="33"/>
      <c r="AQ833" s="33"/>
      <c r="AR833" s="33"/>
      <c r="AS833" s="33"/>
      <c r="AT833" s="33"/>
      <c r="AU833" s="33"/>
      <c r="AV833" s="33"/>
      <c r="AW833" s="33"/>
      <c r="AX833" s="33"/>
      <c r="AY833" s="33"/>
      <c r="AZ833" s="33"/>
      <c r="BA833" s="33"/>
      <c r="BB833" s="33"/>
      <c r="BC833" s="33"/>
      <c r="BD833" s="33"/>
      <c r="BE833" s="33"/>
      <c r="BF833" s="33"/>
      <c r="BG833" s="33"/>
      <c r="BH833" s="33"/>
      <c r="BI833" s="33"/>
      <c r="BJ833" s="33"/>
      <c r="BK833" s="33"/>
      <c r="BL833" s="33"/>
      <c r="BM833" s="33"/>
      <c r="BN833" s="33"/>
      <c r="BO833" s="33"/>
      <c r="BP833" s="33"/>
      <c r="BQ833" s="33"/>
      <c r="BR833" s="33"/>
      <c r="BS833" s="33"/>
      <c r="BT833" s="33"/>
      <c r="BU833" s="33"/>
      <c r="BV833" s="33"/>
      <c r="BW833" s="33"/>
      <c r="BX833" s="33"/>
      <c r="BY833" s="33"/>
      <c r="BZ833" s="33"/>
      <c r="CA833" s="33"/>
      <c r="CB833" s="33"/>
      <c r="CC833" s="33"/>
      <c r="CD833" s="33"/>
      <c r="CE833" s="33"/>
      <c r="CF833" s="33"/>
      <c r="CG833" s="33"/>
      <c r="CH833" s="33"/>
      <c r="CI833" s="33"/>
      <c r="CJ833" s="33"/>
      <c r="CK833" s="33"/>
      <c r="CL833" s="33"/>
      <c r="CM833" s="33"/>
      <c r="CN833" s="33"/>
      <c r="CO833" s="33"/>
      <c r="CP833" s="33"/>
      <c r="CQ833" s="33"/>
      <c r="CR833" s="33"/>
      <c r="CS833" s="33"/>
      <c r="CT833" s="33"/>
      <c r="CU833" s="33"/>
      <c r="CV833" s="33"/>
      <c r="CW833" s="33"/>
      <c r="CX833" s="33"/>
      <c r="CY833" s="33"/>
      <c r="CZ833" s="33"/>
      <c r="DA833" s="33"/>
      <c r="DB833" s="33"/>
      <c r="DC833" s="33"/>
      <c r="DD833" s="33"/>
      <c r="DE833" s="33"/>
      <c r="DF833" s="33"/>
      <c r="DG833" s="33"/>
      <c r="DH833" s="33"/>
      <c r="DI833" s="33"/>
      <c r="DJ833" s="33"/>
      <c r="DK833" s="33"/>
      <c r="DL833" s="33"/>
      <c r="DM833" s="33"/>
      <c r="DN833" s="33"/>
      <c r="DO833" s="33"/>
      <c r="DP833" s="33"/>
      <c r="DQ833" s="33"/>
      <c r="DR833" s="33"/>
      <c r="DS833" s="33"/>
      <c r="DT833" s="33"/>
      <c r="DU833" s="33"/>
      <c r="DV833" s="33"/>
      <c r="DW833" s="33"/>
      <c r="DX833" s="33"/>
      <c r="DY833" s="33"/>
      <c r="DZ833" s="33"/>
      <c r="EA833" s="33"/>
      <c r="EB833" s="33"/>
      <c r="EC833" s="33"/>
      <c r="ED833" s="33"/>
      <c r="EE833" s="33"/>
      <c r="EF833" s="33"/>
      <c r="EG833" s="33"/>
      <c r="EH833" s="33"/>
      <c r="EI833" s="33"/>
      <c r="EJ833" s="33"/>
      <c r="EK833" s="33"/>
      <c r="EL833" s="33"/>
      <c r="EM833" s="33"/>
      <c r="EN833" s="33"/>
      <c r="EO833" s="33"/>
      <c r="EP833" s="33"/>
      <c r="EQ833" s="33"/>
      <c r="ER833" s="33"/>
      <c r="ES833" s="33"/>
    </row>
    <row r="834">
      <c r="A834" s="33"/>
      <c r="B834" s="33"/>
      <c r="C834" s="33"/>
      <c r="D834" s="33"/>
      <c r="E834" s="33"/>
      <c r="F834" s="33"/>
      <c r="G834" s="85"/>
      <c r="H834" s="85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33"/>
      <c r="Y834" s="33"/>
      <c r="Z834" s="33"/>
      <c r="AA834" s="33"/>
      <c r="AB834" s="33"/>
      <c r="AC834" s="33"/>
      <c r="AD834" s="33"/>
      <c r="AE834" s="33"/>
      <c r="AF834" s="33"/>
      <c r="AG834" s="33"/>
      <c r="AH834" s="33"/>
      <c r="AI834" s="33"/>
      <c r="AJ834" s="33"/>
      <c r="AK834" s="33"/>
      <c r="AL834" s="33"/>
      <c r="AM834" s="33"/>
      <c r="AN834" s="33"/>
      <c r="AO834" s="33"/>
      <c r="AP834" s="33"/>
      <c r="AQ834" s="33"/>
      <c r="AR834" s="33"/>
      <c r="AS834" s="33"/>
      <c r="AT834" s="33"/>
      <c r="AU834" s="33"/>
      <c r="AV834" s="33"/>
      <c r="AW834" s="33"/>
      <c r="AX834" s="33"/>
      <c r="AY834" s="33"/>
      <c r="AZ834" s="33"/>
      <c r="BA834" s="33"/>
      <c r="BB834" s="33"/>
      <c r="BC834" s="33"/>
      <c r="BD834" s="33"/>
      <c r="BE834" s="33"/>
      <c r="BF834" s="33"/>
      <c r="BG834" s="33"/>
      <c r="BH834" s="33"/>
      <c r="BI834" s="33"/>
      <c r="BJ834" s="33"/>
      <c r="BK834" s="33"/>
      <c r="BL834" s="33"/>
      <c r="BM834" s="33"/>
      <c r="BN834" s="33"/>
      <c r="BO834" s="33"/>
      <c r="BP834" s="33"/>
      <c r="BQ834" s="33"/>
      <c r="BR834" s="33"/>
      <c r="BS834" s="33"/>
      <c r="BT834" s="33"/>
      <c r="BU834" s="33"/>
      <c r="BV834" s="33"/>
      <c r="BW834" s="33"/>
      <c r="BX834" s="33"/>
      <c r="BY834" s="33"/>
      <c r="BZ834" s="33"/>
      <c r="CA834" s="33"/>
      <c r="CB834" s="33"/>
      <c r="CC834" s="33"/>
      <c r="CD834" s="33"/>
      <c r="CE834" s="33"/>
      <c r="CF834" s="33"/>
      <c r="CG834" s="33"/>
      <c r="CH834" s="33"/>
      <c r="CI834" s="33"/>
      <c r="CJ834" s="33"/>
      <c r="CK834" s="33"/>
      <c r="CL834" s="33"/>
      <c r="CM834" s="33"/>
      <c r="CN834" s="33"/>
      <c r="CO834" s="33"/>
      <c r="CP834" s="33"/>
      <c r="CQ834" s="33"/>
      <c r="CR834" s="33"/>
      <c r="CS834" s="33"/>
      <c r="CT834" s="33"/>
      <c r="CU834" s="33"/>
      <c r="CV834" s="33"/>
      <c r="CW834" s="33"/>
      <c r="CX834" s="33"/>
      <c r="CY834" s="33"/>
      <c r="CZ834" s="33"/>
      <c r="DA834" s="33"/>
      <c r="DB834" s="33"/>
      <c r="DC834" s="33"/>
      <c r="DD834" s="33"/>
      <c r="DE834" s="33"/>
      <c r="DF834" s="33"/>
      <c r="DG834" s="33"/>
      <c r="DH834" s="33"/>
      <c r="DI834" s="33"/>
      <c r="DJ834" s="33"/>
      <c r="DK834" s="33"/>
      <c r="DL834" s="33"/>
      <c r="DM834" s="33"/>
      <c r="DN834" s="33"/>
      <c r="DO834" s="33"/>
      <c r="DP834" s="33"/>
      <c r="DQ834" s="33"/>
      <c r="DR834" s="33"/>
      <c r="DS834" s="33"/>
      <c r="DT834" s="33"/>
      <c r="DU834" s="33"/>
      <c r="DV834" s="33"/>
      <c r="DW834" s="33"/>
      <c r="DX834" s="33"/>
      <c r="DY834" s="33"/>
      <c r="DZ834" s="33"/>
      <c r="EA834" s="33"/>
      <c r="EB834" s="33"/>
      <c r="EC834" s="33"/>
      <c r="ED834" s="33"/>
      <c r="EE834" s="33"/>
      <c r="EF834" s="33"/>
      <c r="EG834" s="33"/>
      <c r="EH834" s="33"/>
      <c r="EI834" s="33"/>
      <c r="EJ834" s="33"/>
      <c r="EK834" s="33"/>
      <c r="EL834" s="33"/>
      <c r="EM834" s="33"/>
      <c r="EN834" s="33"/>
      <c r="EO834" s="33"/>
      <c r="EP834" s="33"/>
      <c r="EQ834" s="33"/>
      <c r="ER834" s="33"/>
      <c r="ES834" s="33"/>
    </row>
    <row r="835">
      <c r="A835" s="33"/>
      <c r="B835" s="33"/>
      <c r="C835" s="33"/>
      <c r="D835" s="33"/>
      <c r="E835" s="33"/>
      <c r="F835" s="33"/>
      <c r="G835" s="85"/>
      <c r="H835" s="85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33"/>
      <c r="Y835" s="33"/>
      <c r="Z835" s="33"/>
      <c r="AA835" s="33"/>
      <c r="AB835" s="33"/>
      <c r="AC835" s="33"/>
      <c r="AD835" s="33"/>
      <c r="AE835" s="33"/>
      <c r="AF835" s="33"/>
      <c r="AG835" s="33"/>
      <c r="AH835" s="33"/>
      <c r="AI835" s="33"/>
      <c r="AJ835" s="33"/>
      <c r="AK835" s="33"/>
      <c r="AL835" s="33"/>
      <c r="AM835" s="33"/>
      <c r="AN835" s="33"/>
      <c r="AO835" s="33"/>
      <c r="AP835" s="33"/>
      <c r="AQ835" s="33"/>
      <c r="AR835" s="33"/>
      <c r="AS835" s="33"/>
      <c r="AT835" s="33"/>
      <c r="AU835" s="33"/>
      <c r="AV835" s="33"/>
      <c r="AW835" s="33"/>
      <c r="AX835" s="33"/>
      <c r="AY835" s="33"/>
      <c r="AZ835" s="33"/>
      <c r="BA835" s="33"/>
      <c r="BB835" s="33"/>
      <c r="BC835" s="33"/>
      <c r="BD835" s="33"/>
      <c r="BE835" s="33"/>
      <c r="BF835" s="33"/>
      <c r="BG835" s="33"/>
      <c r="BH835" s="33"/>
      <c r="BI835" s="33"/>
      <c r="BJ835" s="33"/>
      <c r="BK835" s="33"/>
      <c r="BL835" s="33"/>
      <c r="BM835" s="33"/>
      <c r="BN835" s="33"/>
      <c r="BO835" s="33"/>
      <c r="BP835" s="33"/>
      <c r="BQ835" s="33"/>
      <c r="BR835" s="33"/>
      <c r="BS835" s="33"/>
      <c r="BT835" s="33"/>
      <c r="BU835" s="33"/>
      <c r="BV835" s="33"/>
      <c r="BW835" s="33"/>
      <c r="BX835" s="33"/>
      <c r="BY835" s="33"/>
      <c r="BZ835" s="33"/>
      <c r="CA835" s="33"/>
      <c r="CB835" s="33"/>
      <c r="CC835" s="33"/>
      <c r="CD835" s="33"/>
      <c r="CE835" s="33"/>
      <c r="CF835" s="33"/>
      <c r="CG835" s="33"/>
      <c r="CH835" s="33"/>
      <c r="CI835" s="33"/>
      <c r="CJ835" s="33"/>
      <c r="CK835" s="33"/>
      <c r="CL835" s="33"/>
      <c r="CM835" s="33"/>
      <c r="CN835" s="33"/>
      <c r="CO835" s="33"/>
      <c r="CP835" s="33"/>
      <c r="CQ835" s="33"/>
      <c r="CR835" s="33"/>
      <c r="CS835" s="33"/>
      <c r="CT835" s="33"/>
      <c r="CU835" s="33"/>
      <c r="CV835" s="33"/>
      <c r="CW835" s="33"/>
      <c r="CX835" s="33"/>
      <c r="CY835" s="33"/>
      <c r="CZ835" s="33"/>
      <c r="DA835" s="33"/>
      <c r="DB835" s="33"/>
      <c r="DC835" s="33"/>
      <c r="DD835" s="33"/>
      <c r="DE835" s="33"/>
      <c r="DF835" s="33"/>
      <c r="DG835" s="33"/>
      <c r="DH835" s="33"/>
      <c r="DI835" s="33"/>
      <c r="DJ835" s="33"/>
      <c r="DK835" s="33"/>
      <c r="DL835" s="33"/>
      <c r="DM835" s="33"/>
      <c r="DN835" s="33"/>
      <c r="DO835" s="33"/>
      <c r="DP835" s="33"/>
      <c r="DQ835" s="33"/>
      <c r="DR835" s="33"/>
      <c r="DS835" s="33"/>
      <c r="DT835" s="33"/>
      <c r="DU835" s="33"/>
      <c r="DV835" s="33"/>
      <c r="DW835" s="33"/>
      <c r="DX835" s="33"/>
      <c r="DY835" s="33"/>
      <c r="DZ835" s="33"/>
      <c r="EA835" s="33"/>
      <c r="EB835" s="33"/>
      <c r="EC835" s="33"/>
      <c r="ED835" s="33"/>
      <c r="EE835" s="33"/>
      <c r="EF835" s="33"/>
      <c r="EG835" s="33"/>
      <c r="EH835" s="33"/>
      <c r="EI835" s="33"/>
      <c r="EJ835" s="33"/>
      <c r="EK835" s="33"/>
      <c r="EL835" s="33"/>
      <c r="EM835" s="33"/>
      <c r="EN835" s="33"/>
      <c r="EO835" s="33"/>
      <c r="EP835" s="33"/>
      <c r="EQ835" s="33"/>
      <c r="ER835" s="33"/>
      <c r="ES835" s="33"/>
    </row>
    <row r="836">
      <c r="A836" s="33"/>
      <c r="B836" s="33"/>
      <c r="C836" s="33"/>
      <c r="D836" s="33"/>
      <c r="E836" s="33"/>
      <c r="F836" s="33"/>
      <c r="G836" s="85"/>
      <c r="H836" s="85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33"/>
      <c r="Y836" s="33"/>
      <c r="Z836" s="33"/>
      <c r="AA836" s="33"/>
      <c r="AB836" s="33"/>
      <c r="AC836" s="33"/>
      <c r="AD836" s="33"/>
      <c r="AE836" s="33"/>
      <c r="AF836" s="33"/>
      <c r="AG836" s="33"/>
      <c r="AH836" s="33"/>
      <c r="AI836" s="33"/>
      <c r="AJ836" s="33"/>
      <c r="AK836" s="33"/>
      <c r="AL836" s="33"/>
      <c r="AM836" s="33"/>
      <c r="AN836" s="33"/>
      <c r="AO836" s="33"/>
      <c r="AP836" s="33"/>
      <c r="AQ836" s="33"/>
      <c r="AR836" s="33"/>
      <c r="AS836" s="33"/>
      <c r="AT836" s="33"/>
      <c r="AU836" s="33"/>
      <c r="AV836" s="33"/>
      <c r="AW836" s="33"/>
      <c r="AX836" s="33"/>
      <c r="AY836" s="33"/>
      <c r="AZ836" s="33"/>
      <c r="BA836" s="33"/>
      <c r="BB836" s="33"/>
      <c r="BC836" s="33"/>
      <c r="BD836" s="33"/>
      <c r="BE836" s="33"/>
      <c r="BF836" s="33"/>
      <c r="BG836" s="33"/>
      <c r="BH836" s="33"/>
      <c r="BI836" s="33"/>
      <c r="BJ836" s="33"/>
      <c r="BK836" s="33"/>
      <c r="BL836" s="33"/>
      <c r="BM836" s="33"/>
      <c r="BN836" s="33"/>
      <c r="BO836" s="33"/>
      <c r="BP836" s="33"/>
      <c r="BQ836" s="33"/>
      <c r="BR836" s="33"/>
      <c r="BS836" s="33"/>
      <c r="BT836" s="33"/>
      <c r="BU836" s="33"/>
      <c r="BV836" s="33"/>
      <c r="BW836" s="33"/>
      <c r="BX836" s="33"/>
      <c r="BY836" s="33"/>
      <c r="BZ836" s="33"/>
      <c r="CA836" s="33"/>
      <c r="CB836" s="33"/>
      <c r="CC836" s="33"/>
      <c r="CD836" s="33"/>
      <c r="CE836" s="33"/>
      <c r="CF836" s="33"/>
      <c r="CG836" s="33"/>
      <c r="CH836" s="33"/>
      <c r="CI836" s="33"/>
      <c r="CJ836" s="33"/>
      <c r="CK836" s="33"/>
      <c r="CL836" s="33"/>
      <c r="CM836" s="33"/>
      <c r="CN836" s="33"/>
      <c r="CO836" s="33"/>
      <c r="CP836" s="33"/>
      <c r="CQ836" s="33"/>
      <c r="CR836" s="33"/>
      <c r="CS836" s="33"/>
      <c r="CT836" s="33"/>
      <c r="CU836" s="33"/>
      <c r="CV836" s="33"/>
      <c r="CW836" s="33"/>
      <c r="CX836" s="33"/>
      <c r="CY836" s="33"/>
      <c r="CZ836" s="33"/>
      <c r="DA836" s="33"/>
      <c r="DB836" s="33"/>
      <c r="DC836" s="33"/>
      <c r="DD836" s="33"/>
      <c r="DE836" s="33"/>
      <c r="DF836" s="33"/>
      <c r="DG836" s="33"/>
      <c r="DH836" s="33"/>
      <c r="DI836" s="33"/>
      <c r="DJ836" s="33"/>
      <c r="DK836" s="33"/>
      <c r="DL836" s="33"/>
      <c r="DM836" s="33"/>
      <c r="DN836" s="33"/>
      <c r="DO836" s="33"/>
      <c r="DP836" s="33"/>
      <c r="DQ836" s="33"/>
      <c r="DR836" s="33"/>
      <c r="DS836" s="33"/>
      <c r="DT836" s="33"/>
      <c r="DU836" s="33"/>
      <c r="DV836" s="33"/>
      <c r="DW836" s="33"/>
      <c r="DX836" s="33"/>
      <c r="DY836" s="33"/>
      <c r="DZ836" s="33"/>
      <c r="EA836" s="33"/>
      <c r="EB836" s="33"/>
      <c r="EC836" s="33"/>
      <c r="ED836" s="33"/>
      <c r="EE836" s="33"/>
      <c r="EF836" s="33"/>
      <c r="EG836" s="33"/>
      <c r="EH836" s="33"/>
      <c r="EI836" s="33"/>
      <c r="EJ836" s="33"/>
      <c r="EK836" s="33"/>
      <c r="EL836" s="33"/>
      <c r="EM836" s="33"/>
      <c r="EN836" s="33"/>
      <c r="EO836" s="33"/>
      <c r="EP836" s="33"/>
      <c r="EQ836" s="33"/>
      <c r="ER836" s="33"/>
      <c r="ES836" s="33"/>
    </row>
    <row r="837">
      <c r="A837" s="33"/>
      <c r="B837" s="33"/>
      <c r="C837" s="33"/>
      <c r="D837" s="33"/>
      <c r="E837" s="33"/>
      <c r="F837" s="33"/>
      <c r="G837" s="85"/>
      <c r="H837" s="85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33"/>
      <c r="Y837" s="33"/>
      <c r="Z837" s="33"/>
      <c r="AA837" s="33"/>
      <c r="AB837" s="33"/>
      <c r="AC837" s="33"/>
      <c r="AD837" s="33"/>
      <c r="AE837" s="33"/>
      <c r="AF837" s="33"/>
      <c r="AG837" s="33"/>
      <c r="AH837" s="33"/>
      <c r="AI837" s="33"/>
      <c r="AJ837" s="33"/>
      <c r="AK837" s="33"/>
      <c r="AL837" s="33"/>
      <c r="AM837" s="33"/>
      <c r="AN837" s="33"/>
      <c r="AO837" s="33"/>
      <c r="AP837" s="33"/>
      <c r="AQ837" s="33"/>
      <c r="AR837" s="33"/>
      <c r="AS837" s="33"/>
      <c r="AT837" s="33"/>
      <c r="AU837" s="33"/>
      <c r="AV837" s="33"/>
      <c r="AW837" s="33"/>
      <c r="AX837" s="33"/>
      <c r="AY837" s="33"/>
      <c r="AZ837" s="33"/>
      <c r="BA837" s="33"/>
      <c r="BB837" s="33"/>
      <c r="BC837" s="33"/>
      <c r="BD837" s="33"/>
      <c r="BE837" s="33"/>
      <c r="BF837" s="33"/>
      <c r="BG837" s="33"/>
      <c r="BH837" s="33"/>
      <c r="BI837" s="33"/>
      <c r="BJ837" s="33"/>
      <c r="BK837" s="33"/>
      <c r="BL837" s="33"/>
      <c r="BM837" s="33"/>
      <c r="BN837" s="33"/>
      <c r="BO837" s="33"/>
      <c r="BP837" s="33"/>
      <c r="BQ837" s="33"/>
      <c r="BR837" s="33"/>
      <c r="BS837" s="33"/>
      <c r="BT837" s="33"/>
      <c r="BU837" s="33"/>
      <c r="BV837" s="33"/>
      <c r="BW837" s="33"/>
      <c r="BX837" s="33"/>
      <c r="BY837" s="33"/>
      <c r="BZ837" s="33"/>
      <c r="CA837" s="33"/>
      <c r="CB837" s="33"/>
      <c r="CC837" s="33"/>
      <c r="CD837" s="33"/>
      <c r="CE837" s="33"/>
      <c r="CF837" s="33"/>
      <c r="CG837" s="33"/>
      <c r="CH837" s="33"/>
      <c r="CI837" s="33"/>
      <c r="CJ837" s="33"/>
      <c r="CK837" s="33"/>
      <c r="CL837" s="33"/>
      <c r="CM837" s="33"/>
      <c r="CN837" s="33"/>
      <c r="CO837" s="33"/>
      <c r="CP837" s="33"/>
      <c r="CQ837" s="33"/>
      <c r="CR837" s="33"/>
      <c r="CS837" s="33"/>
      <c r="CT837" s="33"/>
      <c r="CU837" s="33"/>
      <c r="CV837" s="33"/>
      <c r="CW837" s="33"/>
      <c r="CX837" s="33"/>
      <c r="CY837" s="33"/>
      <c r="CZ837" s="33"/>
      <c r="DA837" s="33"/>
      <c r="DB837" s="33"/>
      <c r="DC837" s="33"/>
      <c r="DD837" s="33"/>
      <c r="DE837" s="33"/>
      <c r="DF837" s="33"/>
      <c r="DG837" s="33"/>
      <c r="DH837" s="33"/>
      <c r="DI837" s="33"/>
      <c r="DJ837" s="33"/>
      <c r="DK837" s="33"/>
      <c r="DL837" s="33"/>
      <c r="DM837" s="33"/>
      <c r="DN837" s="33"/>
      <c r="DO837" s="33"/>
      <c r="DP837" s="33"/>
      <c r="DQ837" s="33"/>
      <c r="DR837" s="33"/>
      <c r="DS837" s="33"/>
      <c r="DT837" s="33"/>
      <c r="DU837" s="33"/>
      <c r="DV837" s="33"/>
      <c r="DW837" s="33"/>
      <c r="DX837" s="33"/>
      <c r="DY837" s="33"/>
      <c r="DZ837" s="33"/>
      <c r="EA837" s="33"/>
      <c r="EB837" s="33"/>
      <c r="EC837" s="33"/>
      <c r="ED837" s="33"/>
      <c r="EE837" s="33"/>
      <c r="EF837" s="33"/>
      <c r="EG837" s="33"/>
      <c r="EH837" s="33"/>
      <c r="EI837" s="33"/>
      <c r="EJ837" s="33"/>
      <c r="EK837" s="33"/>
      <c r="EL837" s="33"/>
      <c r="EM837" s="33"/>
      <c r="EN837" s="33"/>
      <c r="EO837" s="33"/>
      <c r="EP837" s="33"/>
      <c r="EQ837" s="33"/>
      <c r="ER837" s="33"/>
      <c r="ES837" s="33"/>
    </row>
    <row r="838">
      <c r="A838" s="33"/>
      <c r="B838" s="33"/>
      <c r="C838" s="33"/>
      <c r="D838" s="33"/>
      <c r="E838" s="33"/>
      <c r="F838" s="33"/>
      <c r="G838" s="85"/>
      <c r="H838" s="85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33"/>
      <c r="Y838" s="33"/>
      <c r="Z838" s="33"/>
      <c r="AA838" s="33"/>
      <c r="AB838" s="33"/>
      <c r="AC838" s="33"/>
      <c r="AD838" s="33"/>
      <c r="AE838" s="33"/>
      <c r="AF838" s="33"/>
      <c r="AG838" s="33"/>
      <c r="AH838" s="33"/>
      <c r="AI838" s="33"/>
      <c r="AJ838" s="33"/>
      <c r="AK838" s="33"/>
      <c r="AL838" s="33"/>
      <c r="AM838" s="33"/>
      <c r="AN838" s="33"/>
      <c r="AO838" s="33"/>
      <c r="AP838" s="33"/>
      <c r="AQ838" s="33"/>
      <c r="AR838" s="33"/>
      <c r="AS838" s="33"/>
      <c r="AT838" s="33"/>
      <c r="AU838" s="33"/>
      <c r="AV838" s="33"/>
      <c r="AW838" s="33"/>
      <c r="AX838" s="33"/>
      <c r="AY838" s="33"/>
      <c r="AZ838" s="33"/>
      <c r="BA838" s="33"/>
      <c r="BB838" s="33"/>
      <c r="BC838" s="33"/>
      <c r="BD838" s="33"/>
      <c r="BE838" s="33"/>
      <c r="BF838" s="33"/>
      <c r="BG838" s="33"/>
      <c r="BH838" s="33"/>
      <c r="BI838" s="33"/>
      <c r="BJ838" s="33"/>
      <c r="BK838" s="33"/>
      <c r="BL838" s="33"/>
      <c r="BM838" s="33"/>
      <c r="BN838" s="33"/>
      <c r="BO838" s="33"/>
      <c r="BP838" s="33"/>
      <c r="BQ838" s="33"/>
      <c r="BR838" s="33"/>
      <c r="BS838" s="33"/>
      <c r="BT838" s="33"/>
      <c r="BU838" s="33"/>
      <c r="BV838" s="33"/>
      <c r="BW838" s="33"/>
      <c r="BX838" s="33"/>
      <c r="BY838" s="33"/>
      <c r="BZ838" s="33"/>
      <c r="CA838" s="33"/>
      <c r="CB838" s="33"/>
      <c r="CC838" s="33"/>
      <c r="CD838" s="33"/>
      <c r="CE838" s="33"/>
      <c r="CF838" s="33"/>
      <c r="CG838" s="33"/>
      <c r="CH838" s="33"/>
      <c r="CI838" s="33"/>
      <c r="CJ838" s="33"/>
      <c r="CK838" s="33"/>
      <c r="CL838" s="33"/>
      <c r="CM838" s="33"/>
      <c r="CN838" s="33"/>
      <c r="CO838" s="33"/>
      <c r="CP838" s="33"/>
      <c r="CQ838" s="33"/>
      <c r="CR838" s="33"/>
      <c r="CS838" s="33"/>
      <c r="CT838" s="33"/>
      <c r="CU838" s="33"/>
      <c r="CV838" s="33"/>
      <c r="CW838" s="33"/>
      <c r="CX838" s="33"/>
      <c r="CY838" s="33"/>
      <c r="CZ838" s="33"/>
      <c r="DA838" s="33"/>
      <c r="DB838" s="33"/>
      <c r="DC838" s="33"/>
      <c r="DD838" s="33"/>
      <c r="DE838" s="33"/>
      <c r="DF838" s="33"/>
      <c r="DG838" s="33"/>
      <c r="DH838" s="33"/>
      <c r="DI838" s="33"/>
      <c r="DJ838" s="33"/>
      <c r="DK838" s="33"/>
      <c r="DL838" s="33"/>
      <c r="DM838" s="33"/>
      <c r="DN838" s="33"/>
      <c r="DO838" s="33"/>
      <c r="DP838" s="33"/>
      <c r="DQ838" s="33"/>
      <c r="DR838" s="33"/>
      <c r="DS838" s="33"/>
      <c r="DT838" s="33"/>
      <c r="DU838" s="33"/>
      <c r="DV838" s="33"/>
      <c r="DW838" s="33"/>
      <c r="DX838" s="33"/>
      <c r="DY838" s="33"/>
      <c r="DZ838" s="33"/>
      <c r="EA838" s="33"/>
      <c r="EB838" s="33"/>
      <c r="EC838" s="33"/>
      <c r="ED838" s="33"/>
      <c r="EE838" s="33"/>
      <c r="EF838" s="33"/>
      <c r="EG838" s="33"/>
      <c r="EH838" s="33"/>
      <c r="EI838" s="33"/>
      <c r="EJ838" s="33"/>
      <c r="EK838" s="33"/>
      <c r="EL838" s="33"/>
      <c r="EM838" s="33"/>
      <c r="EN838" s="33"/>
      <c r="EO838" s="33"/>
      <c r="EP838" s="33"/>
      <c r="EQ838" s="33"/>
      <c r="ER838" s="33"/>
      <c r="ES838" s="33"/>
    </row>
    <row r="839">
      <c r="A839" s="33"/>
      <c r="B839" s="33"/>
      <c r="C839" s="33"/>
      <c r="D839" s="33"/>
      <c r="E839" s="33"/>
      <c r="F839" s="33"/>
      <c r="G839" s="85"/>
      <c r="H839" s="85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33"/>
      <c r="Y839" s="33"/>
      <c r="Z839" s="33"/>
      <c r="AA839" s="33"/>
      <c r="AB839" s="33"/>
      <c r="AC839" s="33"/>
      <c r="AD839" s="33"/>
      <c r="AE839" s="33"/>
      <c r="AF839" s="33"/>
      <c r="AG839" s="33"/>
      <c r="AH839" s="33"/>
      <c r="AI839" s="33"/>
      <c r="AJ839" s="33"/>
      <c r="AK839" s="33"/>
      <c r="AL839" s="33"/>
      <c r="AM839" s="33"/>
      <c r="AN839" s="33"/>
      <c r="AO839" s="33"/>
      <c r="AP839" s="33"/>
      <c r="AQ839" s="33"/>
      <c r="AR839" s="33"/>
      <c r="AS839" s="33"/>
      <c r="AT839" s="33"/>
      <c r="AU839" s="33"/>
      <c r="AV839" s="33"/>
      <c r="AW839" s="33"/>
      <c r="AX839" s="33"/>
      <c r="AY839" s="33"/>
      <c r="AZ839" s="33"/>
      <c r="BA839" s="33"/>
      <c r="BB839" s="33"/>
      <c r="BC839" s="33"/>
      <c r="BD839" s="33"/>
      <c r="BE839" s="33"/>
      <c r="BF839" s="33"/>
      <c r="BG839" s="33"/>
      <c r="BH839" s="33"/>
      <c r="BI839" s="33"/>
      <c r="BJ839" s="33"/>
      <c r="BK839" s="33"/>
      <c r="BL839" s="33"/>
      <c r="BM839" s="33"/>
      <c r="BN839" s="33"/>
      <c r="BO839" s="33"/>
      <c r="BP839" s="33"/>
      <c r="BQ839" s="33"/>
      <c r="BR839" s="33"/>
      <c r="BS839" s="33"/>
      <c r="BT839" s="33"/>
      <c r="BU839" s="33"/>
      <c r="BV839" s="33"/>
      <c r="BW839" s="33"/>
      <c r="BX839" s="33"/>
      <c r="BY839" s="33"/>
      <c r="BZ839" s="33"/>
      <c r="CA839" s="33"/>
      <c r="CB839" s="33"/>
      <c r="CC839" s="33"/>
      <c r="CD839" s="33"/>
      <c r="CE839" s="33"/>
      <c r="CF839" s="33"/>
      <c r="CG839" s="33"/>
      <c r="CH839" s="33"/>
      <c r="CI839" s="33"/>
      <c r="CJ839" s="33"/>
      <c r="CK839" s="33"/>
      <c r="CL839" s="33"/>
      <c r="CM839" s="33"/>
      <c r="CN839" s="33"/>
      <c r="CO839" s="33"/>
      <c r="CP839" s="33"/>
      <c r="CQ839" s="33"/>
      <c r="CR839" s="33"/>
      <c r="CS839" s="33"/>
      <c r="CT839" s="33"/>
      <c r="CU839" s="33"/>
      <c r="CV839" s="33"/>
      <c r="CW839" s="33"/>
      <c r="CX839" s="33"/>
      <c r="CY839" s="33"/>
      <c r="CZ839" s="33"/>
      <c r="DA839" s="33"/>
      <c r="DB839" s="33"/>
      <c r="DC839" s="33"/>
      <c r="DD839" s="33"/>
      <c r="DE839" s="33"/>
      <c r="DF839" s="33"/>
      <c r="DG839" s="33"/>
      <c r="DH839" s="33"/>
      <c r="DI839" s="33"/>
      <c r="DJ839" s="33"/>
      <c r="DK839" s="33"/>
      <c r="DL839" s="33"/>
      <c r="DM839" s="33"/>
      <c r="DN839" s="33"/>
      <c r="DO839" s="33"/>
      <c r="DP839" s="33"/>
      <c r="DQ839" s="33"/>
      <c r="DR839" s="33"/>
      <c r="DS839" s="33"/>
      <c r="DT839" s="33"/>
      <c r="DU839" s="33"/>
      <c r="DV839" s="33"/>
      <c r="DW839" s="33"/>
      <c r="DX839" s="33"/>
      <c r="DY839" s="33"/>
      <c r="DZ839" s="33"/>
      <c r="EA839" s="33"/>
      <c r="EB839" s="33"/>
      <c r="EC839" s="33"/>
      <c r="ED839" s="33"/>
      <c r="EE839" s="33"/>
      <c r="EF839" s="33"/>
      <c r="EG839" s="33"/>
      <c r="EH839" s="33"/>
      <c r="EI839" s="33"/>
      <c r="EJ839" s="33"/>
      <c r="EK839" s="33"/>
      <c r="EL839" s="33"/>
      <c r="EM839" s="33"/>
      <c r="EN839" s="33"/>
      <c r="EO839" s="33"/>
      <c r="EP839" s="33"/>
      <c r="EQ839" s="33"/>
      <c r="ER839" s="33"/>
      <c r="ES839" s="33"/>
    </row>
    <row r="840">
      <c r="A840" s="33"/>
      <c r="B840" s="33"/>
      <c r="C840" s="33"/>
      <c r="D840" s="33"/>
      <c r="E840" s="33"/>
      <c r="F840" s="33"/>
      <c r="G840" s="85"/>
      <c r="H840" s="85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33"/>
      <c r="Y840" s="33"/>
      <c r="Z840" s="33"/>
      <c r="AA840" s="33"/>
      <c r="AB840" s="33"/>
      <c r="AC840" s="33"/>
      <c r="AD840" s="33"/>
      <c r="AE840" s="33"/>
      <c r="AF840" s="33"/>
      <c r="AG840" s="33"/>
      <c r="AH840" s="33"/>
      <c r="AI840" s="33"/>
      <c r="AJ840" s="33"/>
      <c r="AK840" s="33"/>
      <c r="AL840" s="33"/>
      <c r="AM840" s="33"/>
      <c r="AN840" s="33"/>
      <c r="AO840" s="33"/>
      <c r="AP840" s="33"/>
      <c r="AQ840" s="33"/>
      <c r="AR840" s="33"/>
      <c r="AS840" s="33"/>
      <c r="AT840" s="33"/>
      <c r="AU840" s="33"/>
      <c r="AV840" s="33"/>
      <c r="AW840" s="33"/>
      <c r="AX840" s="33"/>
      <c r="AY840" s="33"/>
      <c r="AZ840" s="33"/>
      <c r="BA840" s="33"/>
      <c r="BB840" s="33"/>
      <c r="BC840" s="33"/>
      <c r="BD840" s="33"/>
      <c r="BE840" s="33"/>
      <c r="BF840" s="33"/>
      <c r="BG840" s="33"/>
      <c r="BH840" s="33"/>
      <c r="BI840" s="33"/>
      <c r="BJ840" s="33"/>
      <c r="BK840" s="33"/>
      <c r="BL840" s="33"/>
      <c r="BM840" s="33"/>
      <c r="BN840" s="33"/>
      <c r="BO840" s="33"/>
      <c r="BP840" s="33"/>
      <c r="BQ840" s="33"/>
      <c r="BR840" s="33"/>
      <c r="BS840" s="33"/>
      <c r="BT840" s="33"/>
      <c r="BU840" s="33"/>
      <c r="BV840" s="33"/>
      <c r="BW840" s="33"/>
      <c r="BX840" s="33"/>
      <c r="BY840" s="33"/>
      <c r="BZ840" s="33"/>
      <c r="CA840" s="33"/>
      <c r="CB840" s="33"/>
      <c r="CC840" s="33"/>
      <c r="CD840" s="33"/>
      <c r="CE840" s="33"/>
      <c r="CF840" s="33"/>
      <c r="CG840" s="33"/>
      <c r="CH840" s="33"/>
      <c r="CI840" s="33"/>
      <c r="CJ840" s="33"/>
      <c r="CK840" s="33"/>
      <c r="CL840" s="33"/>
      <c r="CM840" s="33"/>
      <c r="CN840" s="33"/>
      <c r="CO840" s="33"/>
      <c r="CP840" s="33"/>
      <c r="CQ840" s="33"/>
      <c r="CR840" s="33"/>
      <c r="CS840" s="33"/>
      <c r="CT840" s="33"/>
      <c r="CU840" s="33"/>
      <c r="CV840" s="33"/>
      <c r="CW840" s="33"/>
      <c r="CX840" s="33"/>
      <c r="CY840" s="33"/>
      <c r="CZ840" s="33"/>
      <c r="DA840" s="33"/>
      <c r="DB840" s="33"/>
      <c r="DC840" s="33"/>
      <c r="DD840" s="33"/>
      <c r="DE840" s="33"/>
      <c r="DF840" s="33"/>
      <c r="DG840" s="33"/>
      <c r="DH840" s="33"/>
      <c r="DI840" s="33"/>
      <c r="DJ840" s="33"/>
      <c r="DK840" s="33"/>
      <c r="DL840" s="33"/>
      <c r="DM840" s="33"/>
      <c r="DN840" s="33"/>
      <c r="DO840" s="33"/>
      <c r="DP840" s="33"/>
      <c r="DQ840" s="33"/>
      <c r="DR840" s="33"/>
      <c r="DS840" s="33"/>
      <c r="DT840" s="33"/>
      <c r="DU840" s="33"/>
      <c r="DV840" s="33"/>
      <c r="DW840" s="33"/>
      <c r="DX840" s="33"/>
      <c r="DY840" s="33"/>
      <c r="DZ840" s="33"/>
      <c r="EA840" s="33"/>
      <c r="EB840" s="33"/>
      <c r="EC840" s="33"/>
      <c r="ED840" s="33"/>
      <c r="EE840" s="33"/>
      <c r="EF840" s="33"/>
      <c r="EG840" s="33"/>
      <c r="EH840" s="33"/>
      <c r="EI840" s="33"/>
      <c r="EJ840" s="33"/>
      <c r="EK840" s="33"/>
      <c r="EL840" s="33"/>
      <c r="EM840" s="33"/>
      <c r="EN840" s="33"/>
      <c r="EO840" s="33"/>
      <c r="EP840" s="33"/>
      <c r="EQ840" s="33"/>
      <c r="ER840" s="33"/>
      <c r="ES840" s="33"/>
    </row>
    <row r="841">
      <c r="A841" s="33"/>
      <c r="B841" s="33"/>
      <c r="C841" s="33"/>
      <c r="D841" s="33"/>
      <c r="E841" s="33"/>
      <c r="F841" s="33"/>
      <c r="G841" s="85"/>
      <c r="H841" s="85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33"/>
      <c r="Y841" s="33"/>
      <c r="Z841" s="33"/>
      <c r="AA841" s="33"/>
      <c r="AB841" s="33"/>
      <c r="AC841" s="33"/>
      <c r="AD841" s="33"/>
      <c r="AE841" s="33"/>
      <c r="AF841" s="33"/>
      <c r="AG841" s="33"/>
      <c r="AH841" s="33"/>
      <c r="AI841" s="33"/>
      <c r="AJ841" s="33"/>
      <c r="AK841" s="33"/>
      <c r="AL841" s="33"/>
      <c r="AM841" s="33"/>
      <c r="AN841" s="33"/>
      <c r="AO841" s="33"/>
      <c r="AP841" s="33"/>
      <c r="AQ841" s="33"/>
      <c r="AR841" s="33"/>
      <c r="AS841" s="33"/>
      <c r="AT841" s="33"/>
      <c r="AU841" s="33"/>
      <c r="AV841" s="33"/>
      <c r="AW841" s="33"/>
      <c r="AX841" s="33"/>
      <c r="AY841" s="33"/>
      <c r="AZ841" s="33"/>
      <c r="BA841" s="33"/>
      <c r="BB841" s="33"/>
      <c r="BC841" s="33"/>
      <c r="BD841" s="33"/>
      <c r="BE841" s="33"/>
      <c r="BF841" s="33"/>
      <c r="BG841" s="33"/>
      <c r="BH841" s="33"/>
      <c r="BI841" s="33"/>
      <c r="BJ841" s="33"/>
      <c r="BK841" s="33"/>
      <c r="BL841" s="33"/>
      <c r="BM841" s="33"/>
      <c r="BN841" s="33"/>
      <c r="BO841" s="33"/>
      <c r="BP841" s="33"/>
      <c r="BQ841" s="33"/>
      <c r="BR841" s="33"/>
      <c r="BS841" s="33"/>
      <c r="BT841" s="33"/>
      <c r="BU841" s="33"/>
      <c r="BV841" s="33"/>
      <c r="BW841" s="33"/>
      <c r="BX841" s="33"/>
      <c r="BY841" s="33"/>
      <c r="BZ841" s="33"/>
      <c r="CA841" s="33"/>
      <c r="CB841" s="33"/>
      <c r="CC841" s="33"/>
      <c r="CD841" s="33"/>
      <c r="CE841" s="33"/>
      <c r="CF841" s="33"/>
      <c r="CG841" s="33"/>
      <c r="CH841" s="33"/>
      <c r="CI841" s="33"/>
      <c r="CJ841" s="33"/>
      <c r="CK841" s="33"/>
      <c r="CL841" s="33"/>
      <c r="CM841" s="33"/>
      <c r="CN841" s="33"/>
      <c r="CO841" s="33"/>
      <c r="CP841" s="33"/>
      <c r="CQ841" s="33"/>
      <c r="CR841" s="33"/>
      <c r="CS841" s="33"/>
      <c r="CT841" s="33"/>
      <c r="CU841" s="33"/>
      <c r="CV841" s="33"/>
      <c r="CW841" s="33"/>
      <c r="CX841" s="33"/>
      <c r="CY841" s="33"/>
      <c r="CZ841" s="33"/>
      <c r="DA841" s="33"/>
      <c r="DB841" s="33"/>
      <c r="DC841" s="33"/>
      <c r="DD841" s="33"/>
      <c r="DE841" s="33"/>
      <c r="DF841" s="33"/>
      <c r="DG841" s="33"/>
      <c r="DH841" s="33"/>
      <c r="DI841" s="33"/>
      <c r="DJ841" s="33"/>
      <c r="DK841" s="33"/>
      <c r="DL841" s="33"/>
      <c r="DM841" s="33"/>
      <c r="DN841" s="33"/>
      <c r="DO841" s="33"/>
      <c r="DP841" s="33"/>
      <c r="DQ841" s="33"/>
      <c r="DR841" s="33"/>
      <c r="DS841" s="33"/>
      <c r="DT841" s="33"/>
      <c r="DU841" s="33"/>
      <c r="DV841" s="33"/>
      <c r="DW841" s="33"/>
      <c r="DX841" s="33"/>
      <c r="DY841" s="33"/>
      <c r="DZ841" s="33"/>
      <c r="EA841" s="33"/>
      <c r="EB841" s="33"/>
      <c r="EC841" s="33"/>
      <c r="ED841" s="33"/>
      <c r="EE841" s="33"/>
      <c r="EF841" s="33"/>
      <c r="EG841" s="33"/>
      <c r="EH841" s="33"/>
      <c r="EI841" s="33"/>
      <c r="EJ841" s="33"/>
      <c r="EK841" s="33"/>
      <c r="EL841" s="33"/>
      <c r="EM841" s="33"/>
      <c r="EN841" s="33"/>
      <c r="EO841" s="33"/>
      <c r="EP841" s="33"/>
      <c r="EQ841" s="33"/>
      <c r="ER841" s="33"/>
      <c r="ES841" s="33"/>
    </row>
    <row r="842">
      <c r="A842" s="33"/>
      <c r="B842" s="33"/>
      <c r="C842" s="33"/>
      <c r="D842" s="33"/>
      <c r="E842" s="33"/>
      <c r="F842" s="33"/>
      <c r="G842" s="85"/>
      <c r="H842" s="85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33"/>
      <c r="Y842" s="33"/>
      <c r="Z842" s="33"/>
      <c r="AA842" s="33"/>
      <c r="AB842" s="33"/>
      <c r="AC842" s="33"/>
      <c r="AD842" s="33"/>
      <c r="AE842" s="33"/>
      <c r="AF842" s="33"/>
      <c r="AG842" s="33"/>
      <c r="AH842" s="33"/>
      <c r="AI842" s="33"/>
      <c r="AJ842" s="33"/>
      <c r="AK842" s="33"/>
      <c r="AL842" s="33"/>
      <c r="AM842" s="33"/>
      <c r="AN842" s="33"/>
      <c r="AO842" s="33"/>
      <c r="AP842" s="33"/>
      <c r="AQ842" s="33"/>
      <c r="AR842" s="33"/>
      <c r="AS842" s="33"/>
      <c r="AT842" s="33"/>
      <c r="AU842" s="33"/>
      <c r="AV842" s="33"/>
      <c r="AW842" s="33"/>
      <c r="AX842" s="33"/>
      <c r="AY842" s="33"/>
      <c r="AZ842" s="33"/>
      <c r="BA842" s="33"/>
      <c r="BB842" s="33"/>
      <c r="BC842" s="33"/>
      <c r="BD842" s="33"/>
      <c r="BE842" s="33"/>
      <c r="BF842" s="33"/>
      <c r="BG842" s="33"/>
      <c r="BH842" s="33"/>
      <c r="BI842" s="33"/>
      <c r="BJ842" s="33"/>
      <c r="BK842" s="33"/>
      <c r="BL842" s="33"/>
      <c r="BM842" s="33"/>
      <c r="BN842" s="33"/>
      <c r="BO842" s="33"/>
      <c r="BP842" s="33"/>
      <c r="BQ842" s="33"/>
      <c r="BR842" s="33"/>
      <c r="BS842" s="33"/>
      <c r="BT842" s="33"/>
      <c r="BU842" s="33"/>
      <c r="BV842" s="33"/>
      <c r="BW842" s="33"/>
      <c r="BX842" s="33"/>
      <c r="BY842" s="33"/>
      <c r="BZ842" s="33"/>
      <c r="CA842" s="33"/>
      <c r="CB842" s="33"/>
      <c r="CC842" s="33"/>
      <c r="CD842" s="33"/>
      <c r="CE842" s="33"/>
      <c r="CF842" s="33"/>
      <c r="CG842" s="33"/>
      <c r="CH842" s="33"/>
      <c r="CI842" s="33"/>
      <c r="CJ842" s="33"/>
      <c r="CK842" s="33"/>
      <c r="CL842" s="33"/>
      <c r="CM842" s="33"/>
      <c r="CN842" s="33"/>
      <c r="CO842" s="33"/>
      <c r="CP842" s="33"/>
      <c r="CQ842" s="33"/>
      <c r="CR842" s="33"/>
      <c r="CS842" s="33"/>
      <c r="CT842" s="33"/>
      <c r="CU842" s="33"/>
      <c r="CV842" s="33"/>
      <c r="CW842" s="33"/>
      <c r="CX842" s="33"/>
      <c r="CY842" s="33"/>
      <c r="CZ842" s="33"/>
      <c r="DA842" s="33"/>
      <c r="DB842" s="33"/>
      <c r="DC842" s="33"/>
      <c r="DD842" s="33"/>
      <c r="DE842" s="33"/>
      <c r="DF842" s="33"/>
      <c r="DG842" s="33"/>
      <c r="DH842" s="33"/>
      <c r="DI842" s="33"/>
      <c r="DJ842" s="33"/>
      <c r="DK842" s="33"/>
      <c r="DL842" s="33"/>
      <c r="DM842" s="33"/>
      <c r="DN842" s="33"/>
      <c r="DO842" s="33"/>
      <c r="DP842" s="33"/>
      <c r="DQ842" s="33"/>
      <c r="DR842" s="33"/>
      <c r="DS842" s="33"/>
      <c r="DT842" s="33"/>
      <c r="DU842" s="33"/>
      <c r="DV842" s="33"/>
      <c r="DW842" s="33"/>
      <c r="DX842" s="33"/>
      <c r="DY842" s="33"/>
      <c r="DZ842" s="33"/>
      <c r="EA842" s="33"/>
      <c r="EB842" s="33"/>
      <c r="EC842" s="33"/>
      <c r="ED842" s="33"/>
      <c r="EE842" s="33"/>
      <c r="EF842" s="33"/>
      <c r="EG842" s="33"/>
      <c r="EH842" s="33"/>
      <c r="EI842" s="33"/>
      <c r="EJ842" s="33"/>
      <c r="EK842" s="33"/>
      <c r="EL842" s="33"/>
      <c r="EM842" s="33"/>
      <c r="EN842" s="33"/>
      <c r="EO842" s="33"/>
      <c r="EP842" s="33"/>
      <c r="EQ842" s="33"/>
      <c r="ER842" s="33"/>
      <c r="ES842" s="33"/>
    </row>
    <row r="843">
      <c r="A843" s="33"/>
      <c r="B843" s="33"/>
      <c r="C843" s="33"/>
      <c r="D843" s="33"/>
      <c r="E843" s="33"/>
      <c r="F843" s="33"/>
      <c r="G843" s="85"/>
      <c r="H843" s="85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33"/>
      <c r="Y843" s="33"/>
      <c r="Z843" s="33"/>
      <c r="AA843" s="33"/>
      <c r="AB843" s="33"/>
      <c r="AC843" s="33"/>
      <c r="AD843" s="33"/>
      <c r="AE843" s="33"/>
      <c r="AF843" s="33"/>
      <c r="AG843" s="33"/>
      <c r="AH843" s="33"/>
      <c r="AI843" s="33"/>
      <c r="AJ843" s="33"/>
      <c r="AK843" s="33"/>
      <c r="AL843" s="33"/>
      <c r="AM843" s="33"/>
      <c r="AN843" s="33"/>
      <c r="AO843" s="33"/>
      <c r="AP843" s="33"/>
      <c r="AQ843" s="33"/>
      <c r="AR843" s="33"/>
      <c r="AS843" s="33"/>
      <c r="AT843" s="33"/>
      <c r="AU843" s="33"/>
      <c r="AV843" s="33"/>
      <c r="AW843" s="33"/>
      <c r="AX843" s="33"/>
      <c r="AY843" s="33"/>
      <c r="AZ843" s="33"/>
      <c r="BA843" s="33"/>
      <c r="BB843" s="33"/>
      <c r="BC843" s="33"/>
      <c r="BD843" s="33"/>
      <c r="BE843" s="33"/>
      <c r="BF843" s="33"/>
      <c r="BG843" s="33"/>
      <c r="BH843" s="33"/>
      <c r="BI843" s="33"/>
      <c r="BJ843" s="33"/>
      <c r="BK843" s="33"/>
      <c r="BL843" s="33"/>
      <c r="BM843" s="33"/>
      <c r="BN843" s="33"/>
      <c r="BO843" s="33"/>
      <c r="BP843" s="33"/>
      <c r="BQ843" s="33"/>
      <c r="BR843" s="33"/>
      <c r="BS843" s="33"/>
      <c r="BT843" s="33"/>
      <c r="BU843" s="33"/>
      <c r="BV843" s="33"/>
      <c r="BW843" s="33"/>
      <c r="BX843" s="33"/>
      <c r="BY843" s="33"/>
      <c r="BZ843" s="33"/>
      <c r="CA843" s="33"/>
      <c r="CB843" s="33"/>
      <c r="CC843" s="33"/>
      <c r="CD843" s="33"/>
      <c r="CE843" s="33"/>
      <c r="CF843" s="33"/>
      <c r="CG843" s="33"/>
      <c r="CH843" s="33"/>
      <c r="CI843" s="33"/>
      <c r="CJ843" s="33"/>
      <c r="CK843" s="33"/>
      <c r="CL843" s="33"/>
      <c r="CM843" s="33"/>
      <c r="CN843" s="33"/>
      <c r="CO843" s="33"/>
      <c r="CP843" s="33"/>
      <c r="CQ843" s="33"/>
      <c r="CR843" s="33"/>
      <c r="CS843" s="33"/>
      <c r="CT843" s="33"/>
      <c r="CU843" s="33"/>
      <c r="CV843" s="33"/>
      <c r="CW843" s="33"/>
      <c r="CX843" s="33"/>
      <c r="CY843" s="33"/>
      <c r="CZ843" s="33"/>
      <c r="DA843" s="33"/>
      <c r="DB843" s="33"/>
      <c r="DC843" s="33"/>
      <c r="DD843" s="33"/>
      <c r="DE843" s="33"/>
      <c r="DF843" s="33"/>
      <c r="DG843" s="33"/>
      <c r="DH843" s="33"/>
      <c r="DI843" s="33"/>
      <c r="DJ843" s="33"/>
      <c r="DK843" s="33"/>
      <c r="DL843" s="33"/>
      <c r="DM843" s="33"/>
      <c r="DN843" s="33"/>
      <c r="DO843" s="33"/>
      <c r="DP843" s="33"/>
      <c r="DQ843" s="33"/>
      <c r="DR843" s="33"/>
      <c r="DS843" s="33"/>
      <c r="DT843" s="33"/>
      <c r="DU843" s="33"/>
      <c r="DV843" s="33"/>
      <c r="DW843" s="33"/>
      <c r="DX843" s="33"/>
      <c r="DY843" s="33"/>
      <c r="DZ843" s="33"/>
      <c r="EA843" s="33"/>
      <c r="EB843" s="33"/>
      <c r="EC843" s="33"/>
      <c r="ED843" s="33"/>
      <c r="EE843" s="33"/>
      <c r="EF843" s="33"/>
      <c r="EG843" s="33"/>
      <c r="EH843" s="33"/>
      <c r="EI843" s="33"/>
      <c r="EJ843" s="33"/>
      <c r="EK843" s="33"/>
      <c r="EL843" s="33"/>
      <c r="EM843" s="33"/>
      <c r="EN843" s="33"/>
      <c r="EO843" s="33"/>
      <c r="EP843" s="33"/>
      <c r="EQ843" s="33"/>
      <c r="ER843" s="33"/>
      <c r="ES843" s="33"/>
    </row>
    <row r="844">
      <c r="A844" s="33"/>
      <c r="B844" s="33"/>
      <c r="C844" s="33"/>
      <c r="D844" s="33"/>
      <c r="E844" s="33"/>
      <c r="F844" s="33"/>
      <c r="G844" s="85"/>
      <c r="H844" s="85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33"/>
      <c r="Y844" s="33"/>
      <c r="Z844" s="33"/>
      <c r="AA844" s="33"/>
      <c r="AB844" s="33"/>
      <c r="AC844" s="33"/>
      <c r="AD844" s="33"/>
      <c r="AE844" s="33"/>
      <c r="AF844" s="33"/>
      <c r="AG844" s="33"/>
      <c r="AH844" s="33"/>
      <c r="AI844" s="33"/>
      <c r="AJ844" s="33"/>
      <c r="AK844" s="33"/>
      <c r="AL844" s="33"/>
      <c r="AM844" s="33"/>
      <c r="AN844" s="33"/>
      <c r="AO844" s="33"/>
      <c r="AP844" s="33"/>
      <c r="AQ844" s="33"/>
      <c r="AR844" s="33"/>
      <c r="AS844" s="33"/>
      <c r="AT844" s="33"/>
      <c r="AU844" s="33"/>
      <c r="AV844" s="33"/>
      <c r="AW844" s="33"/>
      <c r="AX844" s="33"/>
      <c r="AY844" s="33"/>
      <c r="AZ844" s="33"/>
      <c r="BA844" s="33"/>
      <c r="BB844" s="33"/>
      <c r="BC844" s="33"/>
      <c r="BD844" s="33"/>
      <c r="BE844" s="33"/>
      <c r="BF844" s="33"/>
      <c r="BG844" s="33"/>
      <c r="BH844" s="33"/>
      <c r="BI844" s="33"/>
      <c r="BJ844" s="33"/>
      <c r="BK844" s="33"/>
      <c r="BL844" s="33"/>
      <c r="BM844" s="33"/>
      <c r="BN844" s="33"/>
      <c r="BO844" s="33"/>
      <c r="BP844" s="33"/>
      <c r="BQ844" s="33"/>
      <c r="BR844" s="33"/>
      <c r="BS844" s="33"/>
      <c r="BT844" s="33"/>
      <c r="BU844" s="33"/>
      <c r="BV844" s="33"/>
      <c r="BW844" s="33"/>
      <c r="BX844" s="33"/>
      <c r="BY844" s="33"/>
      <c r="BZ844" s="33"/>
      <c r="CA844" s="33"/>
      <c r="CB844" s="33"/>
      <c r="CC844" s="33"/>
      <c r="CD844" s="33"/>
      <c r="CE844" s="33"/>
      <c r="CF844" s="33"/>
      <c r="CG844" s="33"/>
      <c r="CH844" s="33"/>
      <c r="CI844" s="33"/>
      <c r="CJ844" s="33"/>
      <c r="CK844" s="33"/>
      <c r="CL844" s="33"/>
      <c r="CM844" s="33"/>
      <c r="CN844" s="33"/>
      <c r="CO844" s="33"/>
      <c r="CP844" s="33"/>
      <c r="CQ844" s="33"/>
      <c r="CR844" s="33"/>
      <c r="CS844" s="33"/>
      <c r="CT844" s="33"/>
      <c r="CU844" s="33"/>
      <c r="CV844" s="33"/>
      <c r="CW844" s="33"/>
      <c r="CX844" s="33"/>
      <c r="CY844" s="33"/>
      <c r="CZ844" s="33"/>
      <c r="DA844" s="33"/>
      <c r="DB844" s="33"/>
      <c r="DC844" s="33"/>
      <c r="DD844" s="33"/>
      <c r="DE844" s="33"/>
      <c r="DF844" s="33"/>
      <c r="DG844" s="33"/>
      <c r="DH844" s="33"/>
      <c r="DI844" s="33"/>
      <c r="DJ844" s="33"/>
      <c r="DK844" s="33"/>
      <c r="DL844" s="33"/>
      <c r="DM844" s="33"/>
      <c r="DN844" s="33"/>
      <c r="DO844" s="33"/>
      <c r="DP844" s="33"/>
      <c r="DQ844" s="33"/>
      <c r="DR844" s="33"/>
      <c r="DS844" s="33"/>
      <c r="DT844" s="33"/>
      <c r="DU844" s="33"/>
      <c r="DV844" s="33"/>
      <c r="DW844" s="33"/>
      <c r="DX844" s="33"/>
      <c r="DY844" s="33"/>
      <c r="DZ844" s="33"/>
      <c r="EA844" s="33"/>
      <c r="EB844" s="33"/>
      <c r="EC844" s="33"/>
      <c r="ED844" s="33"/>
      <c r="EE844" s="33"/>
      <c r="EF844" s="33"/>
      <c r="EG844" s="33"/>
      <c r="EH844" s="33"/>
      <c r="EI844" s="33"/>
      <c r="EJ844" s="33"/>
      <c r="EK844" s="33"/>
      <c r="EL844" s="33"/>
      <c r="EM844" s="33"/>
      <c r="EN844" s="33"/>
      <c r="EO844" s="33"/>
      <c r="EP844" s="33"/>
      <c r="EQ844" s="33"/>
      <c r="ER844" s="33"/>
      <c r="ES844" s="33"/>
    </row>
    <row r="845">
      <c r="A845" s="33"/>
      <c r="B845" s="33"/>
      <c r="C845" s="33"/>
      <c r="D845" s="33"/>
      <c r="E845" s="33"/>
      <c r="F845" s="33"/>
      <c r="G845" s="85"/>
      <c r="H845" s="85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33"/>
      <c r="Y845" s="33"/>
      <c r="Z845" s="33"/>
      <c r="AA845" s="33"/>
      <c r="AB845" s="33"/>
      <c r="AC845" s="33"/>
      <c r="AD845" s="33"/>
      <c r="AE845" s="33"/>
      <c r="AF845" s="33"/>
      <c r="AG845" s="33"/>
      <c r="AH845" s="33"/>
      <c r="AI845" s="33"/>
      <c r="AJ845" s="33"/>
      <c r="AK845" s="33"/>
      <c r="AL845" s="33"/>
      <c r="AM845" s="33"/>
      <c r="AN845" s="33"/>
      <c r="AO845" s="33"/>
      <c r="AP845" s="33"/>
      <c r="AQ845" s="33"/>
      <c r="AR845" s="33"/>
      <c r="AS845" s="33"/>
      <c r="AT845" s="33"/>
      <c r="AU845" s="33"/>
      <c r="AV845" s="33"/>
      <c r="AW845" s="33"/>
      <c r="AX845" s="33"/>
      <c r="AY845" s="33"/>
      <c r="AZ845" s="33"/>
      <c r="BA845" s="33"/>
      <c r="BB845" s="33"/>
      <c r="BC845" s="33"/>
      <c r="BD845" s="33"/>
      <c r="BE845" s="33"/>
      <c r="BF845" s="33"/>
      <c r="BG845" s="33"/>
      <c r="BH845" s="33"/>
      <c r="BI845" s="33"/>
      <c r="BJ845" s="33"/>
      <c r="BK845" s="33"/>
      <c r="BL845" s="33"/>
      <c r="BM845" s="33"/>
      <c r="BN845" s="33"/>
      <c r="BO845" s="33"/>
      <c r="BP845" s="33"/>
      <c r="BQ845" s="33"/>
      <c r="BR845" s="33"/>
      <c r="BS845" s="33"/>
      <c r="BT845" s="33"/>
      <c r="BU845" s="33"/>
      <c r="BV845" s="33"/>
      <c r="BW845" s="33"/>
      <c r="BX845" s="33"/>
      <c r="BY845" s="33"/>
      <c r="BZ845" s="33"/>
      <c r="CA845" s="33"/>
      <c r="CB845" s="33"/>
      <c r="CC845" s="33"/>
      <c r="CD845" s="33"/>
      <c r="CE845" s="33"/>
      <c r="CF845" s="33"/>
      <c r="CG845" s="33"/>
      <c r="CH845" s="33"/>
      <c r="CI845" s="33"/>
      <c r="CJ845" s="33"/>
      <c r="CK845" s="33"/>
      <c r="CL845" s="33"/>
      <c r="CM845" s="33"/>
      <c r="CN845" s="33"/>
      <c r="CO845" s="33"/>
      <c r="CP845" s="33"/>
      <c r="CQ845" s="33"/>
      <c r="CR845" s="33"/>
      <c r="CS845" s="33"/>
      <c r="CT845" s="33"/>
      <c r="CU845" s="33"/>
      <c r="CV845" s="33"/>
      <c r="CW845" s="33"/>
      <c r="CX845" s="33"/>
      <c r="CY845" s="33"/>
      <c r="CZ845" s="33"/>
      <c r="DA845" s="33"/>
      <c r="DB845" s="33"/>
      <c r="DC845" s="33"/>
      <c r="DD845" s="33"/>
      <c r="DE845" s="33"/>
      <c r="DF845" s="33"/>
      <c r="DG845" s="33"/>
      <c r="DH845" s="33"/>
      <c r="DI845" s="33"/>
      <c r="DJ845" s="33"/>
      <c r="DK845" s="33"/>
      <c r="DL845" s="33"/>
      <c r="DM845" s="33"/>
      <c r="DN845" s="33"/>
      <c r="DO845" s="33"/>
      <c r="DP845" s="33"/>
      <c r="DQ845" s="33"/>
      <c r="DR845" s="33"/>
      <c r="DS845" s="33"/>
      <c r="DT845" s="33"/>
      <c r="DU845" s="33"/>
      <c r="DV845" s="33"/>
      <c r="DW845" s="33"/>
      <c r="DX845" s="33"/>
      <c r="DY845" s="33"/>
      <c r="DZ845" s="33"/>
      <c r="EA845" s="33"/>
      <c r="EB845" s="33"/>
      <c r="EC845" s="33"/>
      <c r="ED845" s="33"/>
      <c r="EE845" s="33"/>
      <c r="EF845" s="33"/>
      <c r="EG845" s="33"/>
      <c r="EH845" s="33"/>
      <c r="EI845" s="33"/>
      <c r="EJ845" s="33"/>
      <c r="EK845" s="33"/>
      <c r="EL845" s="33"/>
      <c r="EM845" s="33"/>
      <c r="EN845" s="33"/>
      <c r="EO845" s="33"/>
      <c r="EP845" s="33"/>
      <c r="EQ845" s="33"/>
      <c r="ER845" s="33"/>
      <c r="ES845" s="33"/>
    </row>
    <row r="846">
      <c r="A846" s="33"/>
      <c r="B846" s="33"/>
      <c r="C846" s="33"/>
      <c r="D846" s="33"/>
      <c r="E846" s="33"/>
      <c r="F846" s="33"/>
      <c r="G846" s="85"/>
      <c r="H846" s="85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33"/>
      <c r="Y846" s="33"/>
      <c r="Z846" s="33"/>
      <c r="AA846" s="33"/>
      <c r="AB846" s="33"/>
      <c r="AC846" s="33"/>
      <c r="AD846" s="33"/>
      <c r="AE846" s="33"/>
      <c r="AF846" s="33"/>
      <c r="AG846" s="33"/>
      <c r="AH846" s="33"/>
      <c r="AI846" s="33"/>
      <c r="AJ846" s="33"/>
      <c r="AK846" s="33"/>
      <c r="AL846" s="33"/>
      <c r="AM846" s="33"/>
      <c r="AN846" s="33"/>
      <c r="AO846" s="33"/>
      <c r="AP846" s="33"/>
      <c r="AQ846" s="33"/>
      <c r="AR846" s="33"/>
      <c r="AS846" s="33"/>
      <c r="AT846" s="33"/>
      <c r="AU846" s="33"/>
      <c r="AV846" s="33"/>
      <c r="AW846" s="33"/>
      <c r="AX846" s="33"/>
      <c r="AY846" s="33"/>
      <c r="AZ846" s="33"/>
      <c r="BA846" s="33"/>
      <c r="BB846" s="33"/>
      <c r="BC846" s="33"/>
      <c r="BD846" s="33"/>
      <c r="BE846" s="33"/>
      <c r="BF846" s="33"/>
      <c r="BG846" s="33"/>
      <c r="BH846" s="33"/>
      <c r="BI846" s="33"/>
      <c r="BJ846" s="33"/>
      <c r="BK846" s="33"/>
      <c r="BL846" s="33"/>
      <c r="BM846" s="33"/>
      <c r="BN846" s="33"/>
      <c r="BO846" s="33"/>
      <c r="BP846" s="33"/>
      <c r="BQ846" s="33"/>
      <c r="BR846" s="33"/>
      <c r="BS846" s="33"/>
      <c r="BT846" s="33"/>
      <c r="BU846" s="33"/>
      <c r="BV846" s="33"/>
      <c r="BW846" s="33"/>
      <c r="BX846" s="33"/>
      <c r="BY846" s="33"/>
      <c r="BZ846" s="33"/>
      <c r="CA846" s="33"/>
      <c r="CB846" s="33"/>
      <c r="CC846" s="33"/>
      <c r="CD846" s="33"/>
      <c r="CE846" s="33"/>
      <c r="CF846" s="33"/>
      <c r="CG846" s="33"/>
      <c r="CH846" s="33"/>
      <c r="CI846" s="33"/>
      <c r="CJ846" s="33"/>
      <c r="CK846" s="33"/>
      <c r="CL846" s="33"/>
      <c r="CM846" s="33"/>
      <c r="CN846" s="33"/>
      <c r="CO846" s="33"/>
      <c r="CP846" s="33"/>
      <c r="CQ846" s="33"/>
      <c r="CR846" s="33"/>
      <c r="CS846" s="33"/>
      <c r="CT846" s="33"/>
      <c r="CU846" s="33"/>
      <c r="CV846" s="33"/>
      <c r="CW846" s="33"/>
      <c r="CX846" s="33"/>
      <c r="CY846" s="33"/>
      <c r="CZ846" s="33"/>
      <c r="DA846" s="33"/>
      <c r="DB846" s="33"/>
      <c r="DC846" s="33"/>
      <c r="DD846" s="33"/>
      <c r="DE846" s="33"/>
      <c r="DF846" s="33"/>
      <c r="DG846" s="33"/>
      <c r="DH846" s="33"/>
      <c r="DI846" s="33"/>
      <c r="DJ846" s="33"/>
      <c r="DK846" s="33"/>
      <c r="DL846" s="33"/>
      <c r="DM846" s="33"/>
      <c r="DN846" s="33"/>
      <c r="DO846" s="33"/>
      <c r="DP846" s="33"/>
      <c r="DQ846" s="33"/>
      <c r="DR846" s="33"/>
      <c r="DS846" s="33"/>
      <c r="DT846" s="33"/>
      <c r="DU846" s="33"/>
      <c r="DV846" s="33"/>
      <c r="DW846" s="33"/>
      <c r="DX846" s="33"/>
      <c r="DY846" s="33"/>
      <c r="DZ846" s="33"/>
      <c r="EA846" s="33"/>
      <c r="EB846" s="33"/>
      <c r="EC846" s="33"/>
      <c r="ED846" s="33"/>
      <c r="EE846" s="33"/>
      <c r="EF846" s="33"/>
      <c r="EG846" s="33"/>
      <c r="EH846" s="33"/>
      <c r="EI846" s="33"/>
      <c r="EJ846" s="33"/>
      <c r="EK846" s="33"/>
      <c r="EL846" s="33"/>
      <c r="EM846" s="33"/>
      <c r="EN846" s="33"/>
      <c r="EO846" s="33"/>
      <c r="EP846" s="33"/>
      <c r="EQ846" s="33"/>
      <c r="ER846" s="33"/>
      <c r="ES846" s="33"/>
    </row>
    <row r="847">
      <c r="A847" s="33"/>
      <c r="B847" s="33"/>
      <c r="C847" s="33"/>
      <c r="D847" s="33"/>
      <c r="E847" s="33"/>
      <c r="F847" s="33"/>
      <c r="G847" s="85"/>
      <c r="H847" s="85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33"/>
      <c r="Y847" s="33"/>
      <c r="Z847" s="33"/>
      <c r="AA847" s="33"/>
      <c r="AB847" s="33"/>
      <c r="AC847" s="33"/>
      <c r="AD847" s="33"/>
      <c r="AE847" s="33"/>
      <c r="AF847" s="33"/>
      <c r="AG847" s="33"/>
      <c r="AH847" s="33"/>
      <c r="AI847" s="33"/>
      <c r="AJ847" s="33"/>
      <c r="AK847" s="33"/>
      <c r="AL847" s="33"/>
      <c r="AM847" s="33"/>
      <c r="AN847" s="33"/>
      <c r="AO847" s="33"/>
      <c r="AP847" s="33"/>
      <c r="AQ847" s="33"/>
      <c r="AR847" s="33"/>
      <c r="AS847" s="33"/>
      <c r="AT847" s="33"/>
      <c r="AU847" s="33"/>
      <c r="AV847" s="33"/>
      <c r="AW847" s="33"/>
      <c r="AX847" s="33"/>
      <c r="AY847" s="33"/>
      <c r="AZ847" s="33"/>
      <c r="BA847" s="33"/>
      <c r="BB847" s="33"/>
      <c r="BC847" s="33"/>
      <c r="BD847" s="33"/>
      <c r="BE847" s="33"/>
      <c r="BF847" s="33"/>
      <c r="BG847" s="33"/>
      <c r="BH847" s="33"/>
      <c r="BI847" s="33"/>
      <c r="BJ847" s="33"/>
      <c r="BK847" s="33"/>
      <c r="BL847" s="33"/>
      <c r="BM847" s="33"/>
      <c r="BN847" s="33"/>
      <c r="BO847" s="33"/>
      <c r="BP847" s="33"/>
      <c r="BQ847" s="33"/>
      <c r="BR847" s="33"/>
      <c r="BS847" s="33"/>
      <c r="BT847" s="33"/>
      <c r="BU847" s="33"/>
      <c r="BV847" s="33"/>
      <c r="BW847" s="33"/>
      <c r="BX847" s="33"/>
      <c r="BY847" s="33"/>
      <c r="BZ847" s="33"/>
      <c r="CA847" s="33"/>
      <c r="CB847" s="33"/>
      <c r="CC847" s="33"/>
      <c r="CD847" s="33"/>
      <c r="CE847" s="33"/>
      <c r="CF847" s="33"/>
      <c r="CG847" s="33"/>
      <c r="CH847" s="33"/>
      <c r="CI847" s="33"/>
      <c r="CJ847" s="33"/>
      <c r="CK847" s="33"/>
      <c r="CL847" s="33"/>
      <c r="CM847" s="33"/>
      <c r="CN847" s="33"/>
      <c r="CO847" s="33"/>
      <c r="CP847" s="33"/>
      <c r="CQ847" s="33"/>
      <c r="CR847" s="33"/>
      <c r="CS847" s="33"/>
      <c r="CT847" s="33"/>
      <c r="CU847" s="33"/>
      <c r="CV847" s="33"/>
      <c r="CW847" s="33"/>
      <c r="CX847" s="33"/>
      <c r="CY847" s="33"/>
      <c r="CZ847" s="33"/>
      <c r="DA847" s="33"/>
      <c r="DB847" s="33"/>
      <c r="DC847" s="33"/>
      <c r="DD847" s="33"/>
      <c r="DE847" s="33"/>
      <c r="DF847" s="33"/>
      <c r="DG847" s="33"/>
      <c r="DH847" s="33"/>
      <c r="DI847" s="33"/>
      <c r="DJ847" s="33"/>
      <c r="DK847" s="33"/>
      <c r="DL847" s="33"/>
      <c r="DM847" s="33"/>
      <c r="DN847" s="33"/>
      <c r="DO847" s="33"/>
      <c r="DP847" s="33"/>
      <c r="DQ847" s="33"/>
      <c r="DR847" s="33"/>
      <c r="DS847" s="33"/>
      <c r="DT847" s="33"/>
      <c r="DU847" s="33"/>
      <c r="DV847" s="33"/>
      <c r="DW847" s="33"/>
      <c r="DX847" s="33"/>
      <c r="DY847" s="33"/>
      <c r="DZ847" s="33"/>
      <c r="EA847" s="33"/>
      <c r="EB847" s="33"/>
      <c r="EC847" s="33"/>
      <c r="ED847" s="33"/>
      <c r="EE847" s="33"/>
      <c r="EF847" s="33"/>
      <c r="EG847" s="33"/>
      <c r="EH847" s="33"/>
      <c r="EI847" s="33"/>
      <c r="EJ847" s="33"/>
      <c r="EK847" s="33"/>
      <c r="EL847" s="33"/>
      <c r="EM847" s="33"/>
      <c r="EN847" s="33"/>
      <c r="EO847" s="33"/>
      <c r="EP847" s="33"/>
      <c r="EQ847" s="33"/>
      <c r="ER847" s="33"/>
      <c r="ES847" s="33"/>
    </row>
    <row r="848">
      <c r="A848" s="33"/>
      <c r="B848" s="33"/>
      <c r="C848" s="33"/>
      <c r="D848" s="33"/>
      <c r="E848" s="33"/>
      <c r="F848" s="33"/>
      <c r="G848" s="85"/>
      <c r="H848" s="85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33"/>
      <c r="Y848" s="33"/>
      <c r="Z848" s="33"/>
      <c r="AA848" s="33"/>
      <c r="AB848" s="33"/>
      <c r="AC848" s="33"/>
      <c r="AD848" s="33"/>
      <c r="AE848" s="33"/>
      <c r="AF848" s="33"/>
      <c r="AG848" s="33"/>
      <c r="AH848" s="33"/>
      <c r="AI848" s="33"/>
      <c r="AJ848" s="33"/>
      <c r="AK848" s="33"/>
      <c r="AL848" s="33"/>
      <c r="AM848" s="33"/>
      <c r="AN848" s="33"/>
      <c r="AO848" s="33"/>
      <c r="AP848" s="33"/>
      <c r="AQ848" s="33"/>
      <c r="AR848" s="33"/>
      <c r="AS848" s="33"/>
      <c r="AT848" s="33"/>
      <c r="AU848" s="33"/>
      <c r="AV848" s="33"/>
      <c r="AW848" s="33"/>
      <c r="AX848" s="33"/>
      <c r="AY848" s="33"/>
      <c r="AZ848" s="33"/>
      <c r="BA848" s="33"/>
      <c r="BB848" s="33"/>
      <c r="BC848" s="33"/>
      <c r="BD848" s="33"/>
      <c r="BE848" s="33"/>
      <c r="BF848" s="33"/>
      <c r="BG848" s="33"/>
      <c r="BH848" s="33"/>
      <c r="BI848" s="33"/>
      <c r="BJ848" s="33"/>
      <c r="BK848" s="33"/>
      <c r="BL848" s="33"/>
      <c r="BM848" s="33"/>
      <c r="BN848" s="33"/>
      <c r="BO848" s="33"/>
      <c r="BP848" s="33"/>
      <c r="BQ848" s="33"/>
      <c r="BR848" s="33"/>
      <c r="BS848" s="33"/>
      <c r="BT848" s="33"/>
      <c r="BU848" s="33"/>
      <c r="BV848" s="33"/>
      <c r="BW848" s="33"/>
      <c r="BX848" s="33"/>
      <c r="BY848" s="33"/>
      <c r="BZ848" s="33"/>
      <c r="CA848" s="33"/>
      <c r="CB848" s="33"/>
      <c r="CC848" s="33"/>
      <c r="CD848" s="33"/>
      <c r="CE848" s="33"/>
      <c r="CF848" s="33"/>
      <c r="CG848" s="33"/>
      <c r="CH848" s="33"/>
      <c r="CI848" s="33"/>
      <c r="CJ848" s="33"/>
      <c r="CK848" s="33"/>
      <c r="CL848" s="33"/>
      <c r="CM848" s="33"/>
      <c r="CN848" s="33"/>
      <c r="CO848" s="33"/>
      <c r="CP848" s="33"/>
      <c r="CQ848" s="33"/>
      <c r="CR848" s="33"/>
      <c r="CS848" s="33"/>
      <c r="CT848" s="33"/>
      <c r="CU848" s="33"/>
      <c r="CV848" s="33"/>
      <c r="CW848" s="33"/>
      <c r="CX848" s="33"/>
      <c r="CY848" s="33"/>
      <c r="CZ848" s="33"/>
      <c r="DA848" s="33"/>
      <c r="DB848" s="33"/>
      <c r="DC848" s="33"/>
      <c r="DD848" s="33"/>
      <c r="DE848" s="33"/>
      <c r="DF848" s="33"/>
      <c r="DG848" s="33"/>
      <c r="DH848" s="33"/>
      <c r="DI848" s="33"/>
      <c r="DJ848" s="33"/>
      <c r="DK848" s="33"/>
      <c r="DL848" s="33"/>
      <c r="DM848" s="33"/>
      <c r="DN848" s="33"/>
      <c r="DO848" s="33"/>
      <c r="DP848" s="33"/>
      <c r="DQ848" s="33"/>
      <c r="DR848" s="33"/>
      <c r="DS848" s="33"/>
      <c r="DT848" s="33"/>
      <c r="DU848" s="33"/>
      <c r="DV848" s="33"/>
      <c r="DW848" s="33"/>
      <c r="DX848" s="33"/>
      <c r="DY848" s="33"/>
      <c r="DZ848" s="33"/>
      <c r="EA848" s="33"/>
      <c r="EB848" s="33"/>
      <c r="EC848" s="33"/>
      <c r="ED848" s="33"/>
      <c r="EE848" s="33"/>
      <c r="EF848" s="33"/>
      <c r="EG848" s="33"/>
      <c r="EH848" s="33"/>
      <c r="EI848" s="33"/>
      <c r="EJ848" s="33"/>
      <c r="EK848" s="33"/>
      <c r="EL848" s="33"/>
      <c r="EM848" s="33"/>
      <c r="EN848" s="33"/>
      <c r="EO848" s="33"/>
      <c r="EP848" s="33"/>
      <c r="EQ848" s="33"/>
      <c r="ER848" s="33"/>
      <c r="ES848" s="33"/>
    </row>
    <row r="849">
      <c r="A849" s="33"/>
      <c r="B849" s="33"/>
      <c r="C849" s="33"/>
      <c r="D849" s="33"/>
      <c r="E849" s="33"/>
      <c r="F849" s="33"/>
      <c r="G849" s="85"/>
      <c r="H849" s="85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33"/>
      <c r="Y849" s="33"/>
      <c r="Z849" s="33"/>
      <c r="AA849" s="33"/>
      <c r="AB849" s="33"/>
      <c r="AC849" s="33"/>
      <c r="AD849" s="33"/>
      <c r="AE849" s="33"/>
      <c r="AF849" s="33"/>
      <c r="AG849" s="33"/>
      <c r="AH849" s="33"/>
      <c r="AI849" s="33"/>
      <c r="AJ849" s="33"/>
      <c r="AK849" s="33"/>
      <c r="AL849" s="33"/>
      <c r="AM849" s="33"/>
      <c r="AN849" s="33"/>
      <c r="AO849" s="33"/>
      <c r="AP849" s="33"/>
      <c r="AQ849" s="33"/>
      <c r="AR849" s="33"/>
      <c r="AS849" s="33"/>
      <c r="AT849" s="33"/>
      <c r="AU849" s="33"/>
      <c r="AV849" s="33"/>
      <c r="AW849" s="33"/>
      <c r="AX849" s="33"/>
      <c r="AY849" s="33"/>
      <c r="AZ849" s="33"/>
      <c r="BA849" s="33"/>
      <c r="BB849" s="33"/>
      <c r="BC849" s="33"/>
      <c r="BD849" s="33"/>
      <c r="BE849" s="33"/>
      <c r="BF849" s="33"/>
      <c r="BG849" s="33"/>
      <c r="BH849" s="33"/>
      <c r="BI849" s="33"/>
      <c r="BJ849" s="33"/>
      <c r="BK849" s="33"/>
      <c r="BL849" s="33"/>
      <c r="BM849" s="33"/>
      <c r="BN849" s="33"/>
      <c r="BO849" s="33"/>
      <c r="BP849" s="33"/>
      <c r="BQ849" s="33"/>
      <c r="BR849" s="33"/>
      <c r="BS849" s="33"/>
      <c r="BT849" s="33"/>
      <c r="BU849" s="33"/>
      <c r="BV849" s="33"/>
      <c r="BW849" s="33"/>
      <c r="BX849" s="33"/>
      <c r="BY849" s="33"/>
      <c r="BZ849" s="33"/>
      <c r="CA849" s="33"/>
      <c r="CB849" s="33"/>
      <c r="CC849" s="33"/>
      <c r="CD849" s="33"/>
      <c r="CE849" s="33"/>
      <c r="CF849" s="33"/>
      <c r="CG849" s="33"/>
      <c r="CH849" s="33"/>
      <c r="CI849" s="33"/>
      <c r="CJ849" s="33"/>
      <c r="CK849" s="33"/>
      <c r="CL849" s="33"/>
      <c r="CM849" s="33"/>
      <c r="CN849" s="33"/>
      <c r="CO849" s="33"/>
      <c r="CP849" s="33"/>
      <c r="CQ849" s="33"/>
      <c r="CR849" s="33"/>
      <c r="CS849" s="33"/>
      <c r="CT849" s="33"/>
      <c r="CU849" s="33"/>
      <c r="CV849" s="33"/>
      <c r="CW849" s="33"/>
      <c r="CX849" s="33"/>
      <c r="CY849" s="33"/>
      <c r="CZ849" s="33"/>
      <c r="DA849" s="33"/>
      <c r="DB849" s="33"/>
      <c r="DC849" s="33"/>
      <c r="DD849" s="33"/>
      <c r="DE849" s="33"/>
      <c r="DF849" s="33"/>
      <c r="DG849" s="33"/>
      <c r="DH849" s="33"/>
      <c r="DI849" s="33"/>
      <c r="DJ849" s="33"/>
      <c r="DK849" s="33"/>
      <c r="DL849" s="33"/>
      <c r="DM849" s="33"/>
      <c r="DN849" s="33"/>
      <c r="DO849" s="33"/>
      <c r="DP849" s="33"/>
      <c r="DQ849" s="33"/>
      <c r="DR849" s="33"/>
      <c r="DS849" s="33"/>
      <c r="DT849" s="33"/>
      <c r="DU849" s="33"/>
      <c r="DV849" s="33"/>
      <c r="DW849" s="33"/>
      <c r="DX849" s="33"/>
      <c r="DY849" s="33"/>
      <c r="DZ849" s="33"/>
      <c r="EA849" s="33"/>
      <c r="EB849" s="33"/>
      <c r="EC849" s="33"/>
      <c r="ED849" s="33"/>
      <c r="EE849" s="33"/>
      <c r="EF849" s="33"/>
      <c r="EG849" s="33"/>
      <c r="EH849" s="33"/>
      <c r="EI849" s="33"/>
      <c r="EJ849" s="33"/>
      <c r="EK849" s="33"/>
      <c r="EL849" s="33"/>
      <c r="EM849" s="33"/>
      <c r="EN849" s="33"/>
      <c r="EO849" s="33"/>
      <c r="EP849" s="33"/>
      <c r="EQ849" s="33"/>
      <c r="ER849" s="33"/>
      <c r="ES849" s="33"/>
    </row>
    <row r="850">
      <c r="A850" s="33"/>
      <c r="B850" s="33"/>
      <c r="C850" s="33"/>
      <c r="D850" s="33"/>
      <c r="E850" s="33"/>
      <c r="F850" s="33"/>
      <c r="G850" s="85"/>
      <c r="H850" s="85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33"/>
      <c r="Y850" s="33"/>
      <c r="Z850" s="33"/>
      <c r="AA850" s="33"/>
      <c r="AB850" s="33"/>
      <c r="AC850" s="33"/>
      <c r="AD850" s="33"/>
      <c r="AE850" s="33"/>
      <c r="AF850" s="33"/>
      <c r="AG850" s="33"/>
      <c r="AH850" s="33"/>
      <c r="AI850" s="33"/>
      <c r="AJ850" s="33"/>
      <c r="AK850" s="33"/>
      <c r="AL850" s="33"/>
      <c r="AM850" s="33"/>
      <c r="AN850" s="33"/>
      <c r="AO850" s="33"/>
      <c r="AP850" s="33"/>
      <c r="AQ850" s="33"/>
      <c r="AR850" s="33"/>
      <c r="AS850" s="33"/>
      <c r="AT850" s="33"/>
      <c r="AU850" s="33"/>
      <c r="AV850" s="33"/>
      <c r="AW850" s="33"/>
      <c r="AX850" s="33"/>
      <c r="AY850" s="33"/>
      <c r="AZ850" s="33"/>
      <c r="BA850" s="33"/>
      <c r="BB850" s="33"/>
      <c r="BC850" s="33"/>
      <c r="BD850" s="33"/>
      <c r="BE850" s="33"/>
      <c r="BF850" s="33"/>
      <c r="BG850" s="33"/>
      <c r="BH850" s="33"/>
      <c r="BI850" s="33"/>
      <c r="BJ850" s="33"/>
      <c r="BK850" s="33"/>
      <c r="BL850" s="33"/>
      <c r="BM850" s="33"/>
      <c r="BN850" s="33"/>
      <c r="BO850" s="33"/>
      <c r="BP850" s="33"/>
      <c r="BQ850" s="33"/>
      <c r="BR850" s="33"/>
      <c r="BS850" s="33"/>
      <c r="BT850" s="33"/>
      <c r="BU850" s="33"/>
      <c r="BV850" s="33"/>
      <c r="BW850" s="33"/>
      <c r="BX850" s="33"/>
      <c r="BY850" s="33"/>
      <c r="BZ850" s="33"/>
      <c r="CA850" s="33"/>
      <c r="CB850" s="33"/>
      <c r="CC850" s="33"/>
      <c r="CD850" s="33"/>
      <c r="CE850" s="33"/>
      <c r="CF850" s="33"/>
      <c r="CG850" s="33"/>
      <c r="CH850" s="33"/>
      <c r="CI850" s="33"/>
      <c r="CJ850" s="33"/>
      <c r="CK850" s="33"/>
      <c r="CL850" s="33"/>
      <c r="CM850" s="33"/>
      <c r="CN850" s="33"/>
      <c r="CO850" s="33"/>
      <c r="CP850" s="33"/>
      <c r="CQ850" s="33"/>
      <c r="CR850" s="33"/>
      <c r="CS850" s="33"/>
      <c r="CT850" s="33"/>
      <c r="CU850" s="33"/>
      <c r="CV850" s="33"/>
      <c r="CW850" s="33"/>
      <c r="CX850" s="33"/>
      <c r="CY850" s="33"/>
      <c r="CZ850" s="33"/>
      <c r="DA850" s="33"/>
      <c r="DB850" s="33"/>
      <c r="DC850" s="33"/>
      <c r="DD850" s="33"/>
      <c r="DE850" s="33"/>
      <c r="DF850" s="33"/>
      <c r="DG850" s="33"/>
      <c r="DH850" s="33"/>
      <c r="DI850" s="33"/>
      <c r="DJ850" s="33"/>
      <c r="DK850" s="33"/>
      <c r="DL850" s="33"/>
      <c r="DM850" s="33"/>
      <c r="DN850" s="33"/>
      <c r="DO850" s="33"/>
      <c r="DP850" s="33"/>
      <c r="DQ850" s="33"/>
      <c r="DR850" s="33"/>
      <c r="DS850" s="33"/>
      <c r="DT850" s="33"/>
      <c r="DU850" s="33"/>
      <c r="DV850" s="33"/>
      <c r="DW850" s="33"/>
      <c r="DX850" s="33"/>
      <c r="DY850" s="33"/>
      <c r="DZ850" s="33"/>
      <c r="EA850" s="33"/>
      <c r="EB850" s="33"/>
      <c r="EC850" s="33"/>
      <c r="ED850" s="33"/>
      <c r="EE850" s="33"/>
      <c r="EF850" s="33"/>
      <c r="EG850" s="33"/>
      <c r="EH850" s="33"/>
      <c r="EI850" s="33"/>
      <c r="EJ850" s="33"/>
      <c r="EK850" s="33"/>
      <c r="EL850" s="33"/>
      <c r="EM850" s="33"/>
      <c r="EN850" s="33"/>
      <c r="EO850" s="33"/>
      <c r="EP850" s="33"/>
      <c r="EQ850" s="33"/>
      <c r="ER850" s="33"/>
      <c r="ES850" s="33"/>
    </row>
    <row r="851">
      <c r="A851" s="33"/>
      <c r="B851" s="33"/>
      <c r="C851" s="33"/>
      <c r="D851" s="33"/>
      <c r="E851" s="33"/>
      <c r="F851" s="33"/>
      <c r="G851" s="85"/>
      <c r="H851" s="85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33"/>
      <c r="Y851" s="33"/>
      <c r="Z851" s="33"/>
      <c r="AA851" s="33"/>
      <c r="AB851" s="33"/>
      <c r="AC851" s="33"/>
      <c r="AD851" s="33"/>
      <c r="AE851" s="33"/>
      <c r="AF851" s="33"/>
      <c r="AG851" s="33"/>
      <c r="AH851" s="33"/>
      <c r="AI851" s="33"/>
      <c r="AJ851" s="33"/>
      <c r="AK851" s="33"/>
      <c r="AL851" s="33"/>
      <c r="AM851" s="33"/>
      <c r="AN851" s="33"/>
      <c r="AO851" s="33"/>
      <c r="AP851" s="33"/>
      <c r="AQ851" s="33"/>
      <c r="AR851" s="33"/>
      <c r="AS851" s="33"/>
      <c r="AT851" s="33"/>
      <c r="AU851" s="33"/>
      <c r="AV851" s="33"/>
      <c r="AW851" s="33"/>
      <c r="AX851" s="33"/>
      <c r="AY851" s="33"/>
      <c r="AZ851" s="33"/>
      <c r="BA851" s="33"/>
      <c r="BB851" s="33"/>
      <c r="BC851" s="33"/>
      <c r="BD851" s="33"/>
      <c r="BE851" s="33"/>
      <c r="BF851" s="33"/>
      <c r="BG851" s="33"/>
      <c r="BH851" s="33"/>
      <c r="BI851" s="33"/>
      <c r="BJ851" s="33"/>
      <c r="BK851" s="33"/>
      <c r="BL851" s="33"/>
      <c r="BM851" s="33"/>
      <c r="BN851" s="33"/>
      <c r="BO851" s="33"/>
      <c r="BP851" s="33"/>
      <c r="BQ851" s="33"/>
      <c r="BR851" s="33"/>
      <c r="BS851" s="33"/>
      <c r="BT851" s="33"/>
      <c r="BU851" s="33"/>
      <c r="BV851" s="33"/>
      <c r="BW851" s="33"/>
      <c r="BX851" s="33"/>
      <c r="BY851" s="33"/>
      <c r="BZ851" s="33"/>
      <c r="CA851" s="33"/>
      <c r="CB851" s="33"/>
      <c r="CC851" s="33"/>
      <c r="CD851" s="33"/>
      <c r="CE851" s="33"/>
      <c r="CF851" s="33"/>
      <c r="CG851" s="33"/>
      <c r="CH851" s="33"/>
      <c r="CI851" s="33"/>
      <c r="CJ851" s="33"/>
      <c r="CK851" s="33"/>
      <c r="CL851" s="33"/>
      <c r="CM851" s="33"/>
      <c r="CN851" s="33"/>
      <c r="CO851" s="33"/>
      <c r="CP851" s="33"/>
      <c r="CQ851" s="33"/>
      <c r="CR851" s="33"/>
      <c r="CS851" s="33"/>
      <c r="CT851" s="33"/>
      <c r="CU851" s="33"/>
      <c r="CV851" s="33"/>
      <c r="CW851" s="33"/>
      <c r="CX851" s="33"/>
      <c r="CY851" s="33"/>
      <c r="CZ851" s="33"/>
      <c r="DA851" s="33"/>
      <c r="DB851" s="33"/>
      <c r="DC851" s="33"/>
      <c r="DD851" s="33"/>
      <c r="DE851" s="33"/>
      <c r="DF851" s="33"/>
      <c r="DG851" s="33"/>
      <c r="DH851" s="33"/>
      <c r="DI851" s="33"/>
      <c r="DJ851" s="33"/>
      <c r="DK851" s="33"/>
      <c r="DL851" s="33"/>
      <c r="DM851" s="33"/>
      <c r="DN851" s="33"/>
      <c r="DO851" s="33"/>
      <c r="DP851" s="33"/>
      <c r="DQ851" s="33"/>
      <c r="DR851" s="33"/>
      <c r="DS851" s="33"/>
      <c r="DT851" s="33"/>
      <c r="DU851" s="33"/>
      <c r="DV851" s="33"/>
      <c r="DW851" s="33"/>
      <c r="DX851" s="33"/>
      <c r="DY851" s="33"/>
      <c r="DZ851" s="33"/>
      <c r="EA851" s="33"/>
      <c r="EB851" s="33"/>
      <c r="EC851" s="33"/>
      <c r="ED851" s="33"/>
      <c r="EE851" s="33"/>
      <c r="EF851" s="33"/>
      <c r="EG851" s="33"/>
      <c r="EH851" s="33"/>
      <c r="EI851" s="33"/>
      <c r="EJ851" s="33"/>
      <c r="EK851" s="33"/>
      <c r="EL851" s="33"/>
      <c r="EM851" s="33"/>
      <c r="EN851" s="33"/>
      <c r="EO851" s="33"/>
      <c r="EP851" s="33"/>
      <c r="EQ851" s="33"/>
      <c r="ER851" s="33"/>
      <c r="ES851" s="33"/>
    </row>
    <row r="852">
      <c r="A852" s="33"/>
      <c r="B852" s="33"/>
      <c r="C852" s="33"/>
      <c r="D852" s="33"/>
      <c r="E852" s="33"/>
      <c r="F852" s="33"/>
      <c r="G852" s="85"/>
      <c r="H852" s="85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33"/>
      <c r="Y852" s="33"/>
      <c r="Z852" s="33"/>
      <c r="AA852" s="33"/>
      <c r="AB852" s="33"/>
      <c r="AC852" s="33"/>
      <c r="AD852" s="33"/>
      <c r="AE852" s="33"/>
      <c r="AF852" s="33"/>
      <c r="AG852" s="33"/>
      <c r="AH852" s="33"/>
      <c r="AI852" s="33"/>
      <c r="AJ852" s="33"/>
      <c r="AK852" s="33"/>
      <c r="AL852" s="33"/>
      <c r="AM852" s="33"/>
      <c r="AN852" s="33"/>
      <c r="AO852" s="33"/>
      <c r="AP852" s="33"/>
      <c r="AQ852" s="33"/>
      <c r="AR852" s="33"/>
      <c r="AS852" s="33"/>
      <c r="AT852" s="33"/>
      <c r="AU852" s="33"/>
      <c r="AV852" s="33"/>
      <c r="AW852" s="33"/>
      <c r="AX852" s="33"/>
      <c r="AY852" s="33"/>
      <c r="AZ852" s="33"/>
      <c r="BA852" s="33"/>
      <c r="BB852" s="33"/>
      <c r="BC852" s="33"/>
      <c r="BD852" s="33"/>
      <c r="BE852" s="33"/>
      <c r="BF852" s="33"/>
      <c r="BG852" s="33"/>
      <c r="BH852" s="33"/>
      <c r="BI852" s="33"/>
      <c r="BJ852" s="33"/>
      <c r="BK852" s="33"/>
      <c r="BL852" s="33"/>
      <c r="BM852" s="33"/>
      <c r="BN852" s="33"/>
      <c r="BO852" s="33"/>
      <c r="BP852" s="33"/>
      <c r="BQ852" s="33"/>
      <c r="BR852" s="33"/>
      <c r="BS852" s="33"/>
      <c r="BT852" s="33"/>
      <c r="BU852" s="33"/>
      <c r="BV852" s="33"/>
      <c r="BW852" s="33"/>
      <c r="BX852" s="33"/>
      <c r="BY852" s="33"/>
      <c r="BZ852" s="33"/>
      <c r="CA852" s="33"/>
      <c r="CB852" s="33"/>
      <c r="CC852" s="33"/>
      <c r="CD852" s="33"/>
      <c r="CE852" s="33"/>
      <c r="CF852" s="33"/>
      <c r="CG852" s="33"/>
      <c r="CH852" s="33"/>
      <c r="CI852" s="33"/>
      <c r="CJ852" s="33"/>
      <c r="CK852" s="33"/>
      <c r="CL852" s="33"/>
      <c r="CM852" s="33"/>
      <c r="CN852" s="33"/>
      <c r="CO852" s="33"/>
      <c r="CP852" s="33"/>
      <c r="CQ852" s="33"/>
      <c r="CR852" s="33"/>
      <c r="CS852" s="33"/>
      <c r="CT852" s="33"/>
      <c r="CU852" s="33"/>
      <c r="CV852" s="33"/>
      <c r="CW852" s="33"/>
      <c r="CX852" s="33"/>
      <c r="CY852" s="33"/>
      <c r="CZ852" s="33"/>
      <c r="DA852" s="33"/>
      <c r="DB852" s="33"/>
      <c r="DC852" s="33"/>
      <c r="DD852" s="33"/>
      <c r="DE852" s="33"/>
      <c r="DF852" s="33"/>
      <c r="DG852" s="33"/>
      <c r="DH852" s="33"/>
      <c r="DI852" s="33"/>
      <c r="DJ852" s="33"/>
      <c r="DK852" s="33"/>
      <c r="DL852" s="33"/>
      <c r="DM852" s="33"/>
      <c r="DN852" s="33"/>
      <c r="DO852" s="33"/>
      <c r="DP852" s="33"/>
      <c r="DQ852" s="33"/>
      <c r="DR852" s="33"/>
      <c r="DS852" s="33"/>
      <c r="DT852" s="33"/>
      <c r="DU852" s="33"/>
      <c r="DV852" s="33"/>
      <c r="DW852" s="33"/>
      <c r="DX852" s="33"/>
      <c r="DY852" s="33"/>
      <c r="DZ852" s="33"/>
      <c r="EA852" s="33"/>
      <c r="EB852" s="33"/>
      <c r="EC852" s="33"/>
      <c r="ED852" s="33"/>
      <c r="EE852" s="33"/>
      <c r="EF852" s="33"/>
      <c r="EG852" s="33"/>
      <c r="EH852" s="33"/>
      <c r="EI852" s="33"/>
      <c r="EJ852" s="33"/>
      <c r="EK852" s="33"/>
      <c r="EL852" s="33"/>
      <c r="EM852" s="33"/>
      <c r="EN852" s="33"/>
      <c r="EO852" s="33"/>
      <c r="EP852" s="33"/>
      <c r="EQ852" s="33"/>
      <c r="ER852" s="33"/>
      <c r="ES852" s="33"/>
    </row>
    <row r="853">
      <c r="A853" s="33"/>
      <c r="B853" s="33"/>
      <c r="C853" s="33"/>
      <c r="D853" s="33"/>
      <c r="E853" s="33"/>
      <c r="F853" s="33"/>
      <c r="G853" s="85"/>
      <c r="H853" s="85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33"/>
      <c r="Y853" s="33"/>
      <c r="Z853" s="33"/>
      <c r="AA853" s="33"/>
      <c r="AB853" s="33"/>
      <c r="AC853" s="33"/>
      <c r="AD853" s="33"/>
      <c r="AE853" s="33"/>
      <c r="AF853" s="33"/>
      <c r="AG853" s="33"/>
      <c r="AH853" s="33"/>
      <c r="AI853" s="33"/>
      <c r="AJ853" s="33"/>
      <c r="AK853" s="33"/>
      <c r="AL853" s="33"/>
      <c r="AM853" s="33"/>
      <c r="AN853" s="33"/>
      <c r="AO853" s="33"/>
      <c r="AP853" s="33"/>
      <c r="AQ853" s="33"/>
      <c r="AR853" s="33"/>
      <c r="AS853" s="33"/>
      <c r="AT853" s="33"/>
      <c r="AU853" s="33"/>
      <c r="AV853" s="33"/>
      <c r="AW853" s="33"/>
      <c r="AX853" s="33"/>
      <c r="AY853" s="33"/>
      <c r="AZ853" s="33"/>
      <c r="BA853" s="33"/>
      <c r="BB853" s="33"/>
      <c r="BC853" s="33"/>
      <c r="BD853" s="33"/>
      <c r="BE853" s="33"/>
      <c r="BF853" s="33"/>
      <c r="BG853" s="33"/>
      <c r="BH853" s="33"/>
      <c r="BI853" s="33"/>
      <c r="BJ853" s="33"/>
      <c r="BK853" s="33"/>
      <c r="BL853" s="33"/>
      <c r="BM853" s="33"/>
      <c r="BN853" s="33"/>
      <c r="BO853" s="33"/>
      <c r="BP853" s="33"/>
      <c r="BQ853" s="33"/>
      <c r="BR853" s="33"/>
      <c r="BS853" s="33"/>
      <c r="BT853" s="33"/>
      <c r="BU853" s="33"/>
      <c r="BV853" s="33"/>
      <c r="BW853" s="33"/>
      <c r="BX853" s="33"/>
      <c r="BY853" s="33"/>
      <c r="BZ853" s="33"/>
      <c r="CA853" s="33"/>
      <c r="CB853" s="33"/>
      <c r="CC853" s="33"/>
      <c r="CD853" s="33"/>
      <c r="CE853" s="33"/>
      <c r="CF853" s="33"/>
      <c r="CG853" s="33"/>
      <c r="CH853" s="33"/>
      <c r="CI853" s="33"/>
      <c r="CJ853" s="33"/>
      <c r="CK853" s="33"/>
      <c r="CL853" s="33"/>
      <c r="CM853" s="33"/>
      <c r="CN853" s="33"/>
      <c r="CO853" s="33"/>
      <c r="CP853" s="33"/>
      <c r="CQ853" s="33"/>
      <c r="CR853" s="33"/>
      <c r="CS853" s="33"/>
      <c r="CT853" s="33"/>
      <c r="CU853" s="33"/>
      <c r="CV853" s="33"/>
      <c r="CW853" s="33"/>
      <c r="CX853" s="33"/>
      <c r="CY853" s="33"/>
      <c r="CZ853" s="33"/>
      <c r="DA853" s="33"/>
      <c r="DB853" s="33"/>
      <c r="DC853" s="33"/>
      <c r="DD853" s="33"/>
      <c r="DE853" s="33"/>
      <c r="DF853" s="33"/>
      <c r="DG853" s="33"/>
      <c r="DH853" s="33"/>
      <c r="DI853" s="33"/>
      <c r="DJ853" s="33"/>
      <c r="DK853" s="33"/>
      <c r="DL853" s="33"/>
      <c r="DM853" s="33"/>
      <c r="DN853" s="33"/>
      <c r="DO853" s="33"/>
      <c r="DP853" s="33"/>
      <c r="DQ853" s="33"/>
      <c r="DR853" s="33"/>
      <c r="DS853" s="33"/>
      <c r="DT853" s="33"/>
      <c r="DU853" s="33"/>
      <c r="DV853" s="33"/>
      <c r="DW853" s="33"/>
      <c r="DX853" s="33"/>
      <c r="DY853" s="33"/>
      <c r="DZ853" s="33"/>
      <c r="EA853" s="33"/>
      <c r="EB853" s="33"/>
      <c r="EC853" s="33"/>
      <c r="ED853" s="33"/>
      <c r="EE853" s="33"/>
      <c r="EF853" s="33"/>
      <c r="EG853" s="33"/>
      <c r="EH853" s="33"/>
      <c r="EI853" s="33"/>
      <c r="EJ853" s="33"/>
      <c r="EK853" s="33"/>
      <c r="EL853" s="33"/>
      <c r="EM853" s="33"/>
      <c r="EN853" s="33"/>
      <c r="EO853" s="33"/>
      <c r="EP853" s="33"/>
      <c r="EQ853" s="33"/>
      <c r="ER853" s="33"/>
      <c r="ES853" s="33"/>
    </row>
    <row r="854">
      <c r="A854" s="33"/>
      <c r="B854" s="33"/>
      <c r="C854" s="33"/>
      <c r="D854" s="33"/>
      <c r="E854" s="33"/>
      <c r="F854" s="33"/>
      <c r="G854" s="85"/>
      <c r="H854" s="85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33"/>
      <c r="Y854" s="33"/>
      <c r="Z854" s="33"/>
      <c r="AA854" s="33"/>
      <c r="AB854" s="33"/>
      <c r="AC854" s="33"/>
      <c r="AD854" s="33"/>
      <c r="AE854" s="33"/>
      <c r="AF854" s="33"/>
      <c r="AG854" s="33"/>
      <c r="AH854" s="33"/>
      <c r="AI854" s="33"/>
      <c r="AJ854" s="33"/>
      <c r="AK854" s="33"/>
      <c r="AL854" s="33"/>
      <c r="AM854" s="33"/>
      <c r="AN854" s="33"/>
      <c r="AO854" s="33"/>
      <c r="AP854" s="33"/>
      <c r="AQ854" s="33"/>
      <c r="AR854" s="33"/>
      <c r="AS854" s="33"/>
      <c r="AT854" s="33"/>
      <c r="AU854" s="33"/>
      <c r="AV854" s="33"/>
      <c r="AW854" s="33"/>
      <c r="AX854" s="33"/>
      <c r="AY854" s="33"/>
      <c r="AZ854" s="33"/>
      <c r="BA854" s="33"/>
      <c r="BB854" s="33"/>
      <c r="BC854" s="33"/>
      <c r="BD854" s="33"/>
      <c r="BE854" s="33"/>
      <c r="BF854" s="33"/>
      <c r="BG854" s="33"/>
      <c r="BH854" s="33"/>
      <c r="BI854" s="33"/>
      <c r="BJ854" s="33"/>
      <c r="BK854" s="33"/>
      <c r="BL854" s="33"/>
      <c r="BM854" s="33"/>
      <c r="BN854" s="33"/>
      <c r="BO854" s="33"/>
      <c r="BP854" s="33"/>
      <c r="BQ854" s="33"/>
      <c r="BR854" s="33"/>
      <c r="BS854" s="33"/>
      <c r="BT854" s="33"/>
      <c r="BU854" s="33"/>
      <c r="BV854" s="33"/>
      <c r="BW854" s="33"/>
      <c r="BX854" s="33"/>
      <c r="BY854" s="33"/>
      <c r="BZ854" s="33"/>
      <c r="CA854" s="33"/>
      <c r="CB854" s="33"/>
      <c r="CC854" s="33"/>
      <c r="CD854" s="33"/>
      <c r="CE854" s="33"/>
      <c r="CF854" s="33"/>
      <c r="CG854" s="33"/>
      <c r="CH854" s="33"/>
      <c r="CI854" s="33"/>
      <c r="CJ854" s="33"/>
      <c r="CK854" s="33"/>
      <c r="CL854" s="33"/>
      <c r="CM854" s="33"/>
      <c r="CN854" s="33"/>
      <c r="CO854" s="33"/>
      <c r="CP854" s="33"/>
      <c r="CQ854" s="33"/>
      <c r="CR854" s="33"/>
      <c r="CS854" s="33"/>
      <c r="CT854" s="33"/>
      <c r="CU854" s="33"/>
      <c r="CV854" s="33"/>
      <c r="CW854" s="33"/>
      <c r="CX854" s="33"/>
      <c r="CY854" s="33"/>
      <c r="CZ854" s="33"/>
      <c r="DA854" s="33"/>
      <c r="DB854" s="33"/>
      <c r="DC854" s="33"/>
      <c r="DD854" s="33"/>
      <c r="DE854" s="33"/>
      <c r="DF854" s="33"/>
      <c r="DG854" s="33"/>
      <c r="DH854" s="33"/>
      <c r="DI854" s="33"/>
      <c r="DJ854" s="33"/>
      <c r="DK854" s="33"/>
      <c r="DL854" s="33"/>
      <c r="DM854" s="33"/>
      <c r="DN854" s="33"/>
      <c r="DO854" s="33"/>
      <c r="DP854" s="33"/>
      <c r="DQ854" s="33"/>
      <c r="DR854" s="33"/>
      <c r="DS854" s="33"/>
      <c r="DT854" s="33"/>
      <c r="DU854" s="33"/>
      <c r="DV854" s="33"/>
      <c r="DW854" s="33"/>
      <c r="DX854" s="33"/>
      <c r="DY854" s="33"/>
      <c r="DZ854" s="33"/>
      <c r="EA854" s="33"/>
      <c r="EB854" s="33"/>
      <c r="EC854" s="33"/>
      <c r="ED854" s="33"/>
      <c r="EE854" s="33"/>
      <c r="EF854" s="33"/>
      <c r="EG854" s="33"/>
      <c r="EH854" s="33"/>
      <c r="EI854" s="33"/>
      <c r="EJ854" s="33"/>
      <c r="EK854" s="33"/>
      <c r="EL854" s="33"/>
      <c r="EM854" s="33"/>
      <c r="EN854" s="33"/>
      <c r="EO854" s="33"/>
      <c r="EP854" s="33"/>
      <c r="EQ854" s="33"/>
      <c r="ER854" s="33"/>
      <c r="ES854" s="33"/>
    </row>
    <row r="855">
      <c r="A855" s="33"/>
      <c r="B855" s="33"/>
      <c r="C855" s="33"/>
      <c r="D855" s="33"/>
      <c r="E855" s="33"/>
      <c r="F855" s="33"/>
      <c r="G855" s="85"/>
      <c r="H855" s="85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33"/>
      <c r="Y855" s="33"/>
      <c r="Z855" s="33"/>
      <c r="AA855" s="33"/>
      <c r="AB855" s="33"/>
      <c r="AC855" s="33"/>
      <c r="AD855" s="33"/>
      <c r="AE855" s="33"/>
      <c r="AF855" s="33"/>
      <c r="AG855" s="33"/>
      <c r="AH855" s="33"/>
      <c r="AI855" s="33"/>
      <c r="AJ855" s="33"/>
      <c r="AK855" s="33"/>
      <c r="AL855" s="33"/>
      <c r="AM855" s="33"/>
      <c r="AN855" s="33"/>
      <c r="AO855" s="33"/>
      <c r="AP855" s="33"/>
      <c r="AQ855" s="33"/>
      <c r="AR855" s="33"/>
      <c r="AS855" s="33"/>
      <c r="AT855" s="33"/>
      <c r="AU855" s="33"/>
      <c r="AV855" s="33"/>
      <c r="AW855" s="33"/>
      <c r="AX855" s="33"/>
      <c r="AY855" s="33"/>
      <c r="AZ855" s="33"/>
      <c r="BA855" s="33"/>
      <c r="BB855" s="33"/>
      <c r="BC855" s="33"/>
      <c r="BD855" s="33"/>
      <c r="BE855" s="33"/>
      <c r="BF855" s="33"/>
      <c r="BG855" s="33"/>
      <c r="BH855" s="33"/>
      <c r="BI855" s="33"/>
      <c r="BJ855" s="33"/>
      <c r="BK855" s="33"/>
      <c r="BL855" s="33"/>
      <c r="BM855" s="33"/>
      <c r="BN855" s="33"/>
      <c r="BO855" s="33"/>
      <c r="BP855" s="33"/>
      <c r="BQ855" s="33"/>
      <c r="BR855" s="33"/>
      <c r="BS855" s="33"/>
      <c r="BT855" s="33"/>
      <c r="BU855" s="33"/>
      <c r="BV855" s="33"/>
      <c r="BW855" s="33"/>
      <c r="BX855" s="33"/>
      <c r="BY855" s="33"/>
      <c r="BZ855" s="33"/>
      <c r="CA855" s="33"/>
      <c r="CB855" s="33"/>
      <c r="CC855" s="33"/>
      <c r="CD855" s="33"/>
      <c r="CE855" s="33"/>
      <c r="CF855" s="33"/>
      <c r="CG855" s="33"/>
      <c r="CH855" s="33"/>
      <c r="CI855" s="33"/>
      <c r="CJ855" s="33"/>
      <c r="CK855" s="33"/>
      <c r="CL855" s="33"/>
      <c r="CM855" s="33"/>
      <c r="CN855" s="33"/>
      <c r="CO855" s="33"/>
      <c r="CP855" s="33"/>
      <c r="CQ855" s="33"/>
      <c r="CR855" s="33"/>
      <c r="CS855" s="33"/>
      <c r="CT855" s="33"/>
      <c r="CU855" s="33"/>
      <c r="CV855" s="33"/>
      <c r="CW855" s="33"/>
      <c r="CX855" s="33"/>
      <c r="CY855" s="33"/>
      <c r="CZ855" s="33"/>
      <c r="DA855" s="33"/>
      <c r="DB855" s="33"/>
      <c r="DC855" s="33"/>
      <c r="DD855" s="33"/>
      <c r="DE855" s="33"/>
      <c r="DF855" s="33"/>
      <c r="DG855" s="33"/>
      <c r="DH855" s="33"/>
      <c r="DI855" s="33"/>
      <c r="DJ855" s="33"/>
      <c r="DK855" s="33"/>
      <c r="DL855" s="33"/>
      <c r="DM855" s="33"/>
      <c r="DN855" s="33"/>
      <c r="DO855" s="33"/>
      <c r="DP855" s="33"/>
      <c r="DQ855" s="33"/>
      <c r="DR855" s="33"/>
      <c r="DS855" s="33"/>
      <c r="DT855" s="33"/>
      <c r="DU855" s="33"/>
      <c r="DV855" s="33"/>
      <c r="DW855" s="33"/>
      <c r="DX855" s="33"/>
      <c r="DY855" s="33"/>
      <c r="DZ855" s="33"/>
      <c r="EA855" s="33"/>
      <c r="EB855" s="33"/>
      <c r="EC855" s="33"/>
      <c r="ED855" s="33"/>
      <c r="EE855" s="33"/>
      <c r="EF855" s="33"/>
      <c r="EG855" s="33"/>
      <c r="EH855" s="33"/>
      <c r="EI855" s="33"/>
      <c r="EJ855" s="33"/>
      <c r="EK855" s="33"/>
      <c r="EL855" s="33"/>
      <c r="EM855" s="33"/>
      <c r="EN855" s="33"/>
      <c r="EO855" s="33"/>
      <c r="EP855" s="33"/>
      <c r="EQ855" s="33"/>
      <c r="ER855" s="33"/>
      <c r="ES855" s="33"/>
    </row>
    <row r="856">
      <c r="A856" s="33"/>
      <c r="B856" s="33"/>
      <c r="C856" s="33"/>
      <c r="D856" s="33"/>
      <c r="E856" s="33"/>
      <c r="F856" s="33"/>
      <c r="G856" s="85"/>
      <c r="H856" s="85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33"/>
      <c r="Y856" s="33"/>
      <c r="Z856" s="33"/>
      <c r="AA856" s="33"/>
      <c r="AB856" s="33"/>
      <c r="AC856" s="33"/>
      <c r="AD856" s="33"/>
      <c r="AE856" s="33"/>
      <c r="AF856" s="33"/>
      <c r="AG856" s="33"/>
      <c r="AH856" s="33"/>
      <c r="AI856" s="33"/>
      <c r="AJ856" s="33"/>
      <c r="AK856" s="33"/>
      <c r="AL856" s="33"/>
      <c r="AM856" s="33"/>
      <c r="AN856" s="33"/>
      <c r="AO856" s="33"/>
      <c r="AP856" s="33"/>
      <c r="AQ856" s="33"/>
      <c r="AR856" s="33"/>
      <c r="AS856" s="33"/>
      <c r="AT856" s="33"/>
      <c r="AU856" s="33"/>
      <c r="AV856" s="33"/>
      <c r="AW856" s="33"/>
      <c r="AX856" s="33"/>
      <c r="AY856" s="33"/>
      <c r="AZ856" s="33"/>
      <c r="BA856" s="33"/>
      <c r="BB856" s="33"/>
      <c r="BC856" s="33"/>
      <c r="BD856" s="33"/>
      <c r="BE856" s="33"/>
      <c r="BF856" s="33"/>
      <c r="BG856" s="33"/>
      <c r="BH856" s="33"/>
      <c r="BI856" s="33"/>
      <c r="BJ856" s="33"/>
      <c r="BK856" s="33"/>
      <c r="BL856" s="33"/>
      <c r="BM856" s="33"/>
      <c r="BN856" s="33"/>
      <c r="BO856" s="33"/>
      <c r="BP856" s="33"/>
      <c r="BQ856" s="33"/>
      <c r="BR856" s="33"/>
      <c r="BS856" s="33"/>
      <c r="BT856" s="33"/>
      <c r="BU856" s="33"/>
      <c r="BV856" s="33"/>
      <c r="BW856" s="33"/>
      <c r="BX856" s="33"/>
      <c r="BY856" s="33"/>
      <c r="BZ856" s="33"/>
      <c r="CA856" s="33"/>
      <c r="CB856" s="33"/>
      <c r="CC856" s="33"/>
      <c r="CD856" s="33"/>
      <c r="CE856" s="33"/>
      <c r="CF856" s="33"/>
      <c r="CG856" s="33"/>
      <c r="CH856" s="33"/>
      <c r="CI856" s="33"/>
      <c r="CJ856" s="33"/>
      <c r="CK856" s="33"/>
      <c r="CL856" s="33"/>
      <c r="CM856" s="33"/>
      <c r="CN856" s="33"/>
      <c r="CO856" s="33"/>
      <c r="CP856" s="33"/>
      <c r="CQ856" s="33"/>
      <c r="CR856" s="33"/>
      <c r="CS856" s="33"/>
      <c r="CT856" s="33"/>
      <c r="CU856" s="33"/>
      <c r="CV856" s="33"/>
      <c r="CW856" s="33"/>
      <c r="CX856" s="33"/>
      <c r="CY856" s="33"/>
      <c r="CZ856" s="33"/>
      <c r="DA856" s="33"/>
      <c r="DB856" s="33"/>
      <c r="DC856" s="33"/>
      <c r="DD856" s="33"/>
      <c r="DE856" s="33"/>
      <c r="DF856" s="33"/>
      <c r="DG856" s="33"/>
      <c r="DH856" s="33"/>
      <c r="DI856" s="33"/>
      <c r="DJ856" s="33"/>
      <c r="DK856" s="33"/>
      <c r="DL856" s="33"/>
      <c r="DM856" s="33"/>
      <c r="DN856" s="33"/>
      <c r="DO856" s="33"/>
      <c r="DP856" s="33"/>
      <c r="DQ856" s="33"/>
      <c r="DR856" s="33"/>
      <c r="DS856" s="33"/>
      <c r="DT856" s="33"/>
      <c r="DU856" s="33"/>
      <c r="DV856" s="33"/>
      <c r="DW856" s="33"/>
      <c r="DX856" s="33"/>
      <c r="DY856" s="33"/>
      <c r="DZ856" s="33"/>
      <c r="EA856" s="33"/>
      <c r="EB856" s="33"/>
      <c r="EC856" s="33"/>
      <c r="ED856" s="33"/>
      <c r="EE856" s="33"/>
      <c r="EF856" s="33"/>
      <c r="EG856" s="33"/>
      <c r="EH856" s="33"/>
      <c r="EI856" s="33"/>
      <c r="EJ856" s="33"/>
      <c r="EK856" s="33"/>
      <c r="EL856" s="33"/>
      <c r="EM856" s="33"/>
      <c r="EN856" s="33"/>
      <c r="EO856" s="33"/>
      <c r="EP856" s="33"/>
      <c r="EQ856" s="33"/>
      <c r="ER856" s="33"/>
      <c r="ES856" s="33"/>
    </row>
    <row r="857">
      <c r="A857" s="33"/>
      <c r="B857" s="33"/>
      <c r="C857" s="33"/>
      <c r="D857" s="33"/>
      <c r="E857" s="33"/>
      <c r="F857" s="33"/>
      <c r="G857" s="85"/>
      <c r="H857" s="85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33"/>
      <c r="Y857" s="33"/>
      <c r="Z857" s="33"/>
      <c r="AA857" s="33"/>
      <c r="AB857" s="33"/>
      <c r="AC857" s="33"/>
      <c r="AD857" s="33"/>
      <c r="AE857" s="33"/>
      <c r="AF857" s="33"/>
      <c r="AG857" s="33"/>
      <c r="AH857" s="33"/>
      <c r="AI857" s="33"/>
      <c r="AJ857" s="33"/>
      <c r="AK857" s="33"/>
      <c r="AL857" s="33"/>
      <c r="AM857" s="33"/>
      <c r="AN857" s="33"/>
      <c r="AO857" s="33"/>
      <c r="AP857" s="33"/>
      <c r="AQ857" s="33"/>
      <c r="AR857" s="33"/>
      <c r="AS857" s="33"/>
      <c r="AT857" s="33"/>
      <c r="AU857" s="33"/>
      <c r="AV857" s="33"/>
      <c r="AW857" s="33"/>
      <c r="AX857" s="33"/>
      <c r="AY857" s="33"/>
      <c r="AZ857" s="33"/>
      <c r="BA857" s="33"/>
      <c r="BB857" s="33"/>
      <c r="BC857" s="33"/>
      <c r="BD857" s="33"/>
      <c r="BE857" s="33"/>
      <c r="BF857" s="33"/>
      <c r="BG857" s="33"/>
      <c r="BH857" s="33"/>
      <c r="BI857" s="33"/>
      <c r="BJ857" s="33"/>
      <c r="BK857" s="33"/>
      <c r="BL857" s="33"/>
      <c r="BM857" s="33"/>
      <c r="BN857" s="33"/>
      <c r="BO857" s="33"/>
      <c r="BP857" s="33"/>
      <c r="BQ857" s="33"/>
      <c r="BR857" s="33"/>
      <c r="BS857" s="33"/>
      <c r="BT857" s="33"/>
      <c r="BU857" s="33"/>
      <c r="BV857" s="33"/>
      <c r="BW857" s="33"/>
      <c r="BX857" s="33"/>
      <c r="BY857" s="33"/>
      <c r="BZ857" s="33"/>
      <c r="CA857" s="33"/>
      <c r="CB857" s="33"/>
      <c r="CC857" s="33"/>
      <c r="CD857" s="33"/>
      <c r="CE857" s="33"/>
      <c r="CF857" s="33"/>
      <c r="CG857" s="33"/>
      <c r="CH857" s="33"/>
      <c r="CI857" s="33"/>
      <c r="CJ857" s="33"/>
      <c r="CK857" s="33"/>
      <c r="CL857" s="33"/>
      <c r="CM857" s="33"/>
      <c r="CN857" s="33"/>
      <c r="CO857" s="33"/>
      <c r="CP857" s="33"/>
      <c r="CQ857" s="33"/>
      <c r="CR857" s="33"/>
      <c r="CS857" s="33"/>
      <c r="CT857" s="33"/>
      <c r="CU857" s="33"/>
      <c r="CV857" s="33"/>
      <c r="CW857" s="33"/>
      <c r="CX857" s="33"/>
      <c r="CY857" s="33"/>
      <c r="CZ857" s="33"/>
      <c r="DA857" s="33"/>
      <c r="DB857" s="33"/>
      <c r="DC857" s="33"/>
      <c r="DD857" s="33"/>
      <c r="DE857" s="33"/>
      <c r="DF857" s="33"/>
      <c r="DG857" s="33"/>
      <c r="DH857" s="33"/>
      <c r="DI857" s="33"/>
      <c r="DJ857" s="33"/>
      <c r="DK857" s="33"/>
      <c r="DL857" s="33"/>
      <c r="DM857" s="33"/>
      <c r="DN857" s="33"/>
      <c r="DO857" s="33"/>
      <c r="DP857" s="33"/>
      <c r="DQ857" s="33"/>
      <c r="DR857" s="33"/>
      <c r="DS857" s="33"/>
      <c r="DT857" s="33"/>
      <c r="DU857" s="33"/>
      <c r="DV857" s="33"/>
      <c r="DW857" s="33"/>
      <c r="DX857" s="33"/>
      <c r="DY857" s="33"/>
      <c r="DZ857" s="33"/>
      <c r="EA857" s="33"/>
      <c r="EB857" s="33"/>
      <c r="EC857" s="33"/>
      <c r="ED857" s="33"/>
      <c r="EE857" s="33"/>
      <c r="EF857" s="33"/>
      <c r="EG857" s="33"/>
      <c r="EH857" s="33"/>
      <c r="EI857" s="33"/>
      <c r="EJ857" s="33"/>
      <c r="EK857" s="33"/>
      <c r="EL857" s="33"/>
      <c r="EM857" s="33"/>
      <c r="EN857" s="33"/>
      <c r="EO857" s="33"/>
      <c r="EP857" s="33"/>
      <c r="EQ857" s="33"/>
      <c r="ER857" s="33"/>
      <c r="ES857" s="33"/>
    </row>
    <row r="858">
      <c r="A858" s="33"/>
      <c r="B858" s="33"/>
      <c r="C858" s="33"/>
      <c r="D858" s="33"/>
      <c r="E858" s="33"/>
      <c r="F858" s="33"/>
      <c r="G858" s="85"/>
      <c r="H858" s="85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33"/>
      <c r="Y858" s="33"/>
      <c r="Z858" s="33"/>
      <c r="AA858" s="33"/>
      <c r="AB858" s="33"/>
      <c r="AC858" s="33"/>
      <c r="AD858" s="33"/>
      <c r="AE858" s="33"/>
      <c r="AF858" s="33"/>
      <c r="AG858" s="33"/>
      <c r="AH858" s="33"/>
      <c r="AI858" s="33"/>
      <c r="AJ858" s="33"/>
      <c r="AK858" s="33"/>
      <c r="AL858" s="33"/>
      <c r="AM858" s="33"/>
      <c r="AN858" s="33"/>
      <c r="AO858" s="33"/>
      <c r="AP858" s="33"/>
      <c r="AQ858" s="33"/>
      <c r="AR858" s="33"/>
      <c r="AS858" s="33"/>
      <c r="AT858" s="33"/>
      <c r="AU858" s="33"/>
      <c r="AV858" s="33"/>
      <c r="AW858" s="33"/>
      <c r="AX858" s="33"/>
      <c r="AY858" s="33"/>
      <c r="AZ858" s="33"/>
      <c r="BA858" s="33"/>
      <c r="BB858" s="33"/>
      <c r="BC858" s="33"/>
      <c r="BD858" s="33"/>
      <c r="BE858" s="33"/>
      <c r="BF858" s="33"/>
      <c r="BG858" s="33"/>
      <c r="BH858" s="33"/>
      <c r="BI858" s="33"/>
      <c r="BJ858" s="33"/>
      <c r="BK858" s="33"/>
      <c r="BL858" s="33"/>
      <c r="BM858" s="33"/>
      <c r="BN858" s="33"/>
      <c r="BO858" s="33"/>
      <c r="BP858" s="33"/>
      <c r="BQ858" s="33"/>
      <c r="BR858" s="33"/>
      <c r="BS858" s="33"/>
      <c r="BT858" s="33"/>
      <c r="BU858" s="33"/>
      <c r="BV858" s="33"/>
      <c r="BW858" s="33"/>
      <c r="BX858" s="33"/>
      <c r="BY858" s="33"/>
      <c r="BZ858" s="33"/>
      <c r="CA858" s="33"/>
      <c r="CB858" s="33"/>
      <c r="CC858" s="33"/>
      <c r="CD858" s="33"/>
      <c r="CE858" s="33"/>
      <c r="CF858" s="33"/>
      <c r="CG858" s="33"/>
      <c r="CH858" s="33"/>
      <c r="CI858" s="33"/>
      <c r="CJ858" s="33"/>
      <c r="CK858" s="33"/>
      <c r="CL858" s="33"/>
      <c r="CM858" s="33"/>
      <c r="CN858" s="33"/>
      <c r="CO858" s="33"/>
      <c r="CP858" s="33"/>
      <c r="CQ858" s="33"/>
      <c r="CR858" s="33"/>
      <c r="CS858" s="33"/>
      <c r="CT858" s="33"/>
      <c r="CU858" s="33"/>
      <c r="CV858" s="33"/>
      <c r="CW858" s="33"/>
      <c r="CX858" s="33"/>
      <c r="CY858" s="33"/>
      <c r="CZ858" s="33"/>
      <c r="DA858" s="33"/>
      <c r="DB858" s="33"/>
      <c r="DC858" s="33"/>
      <c r="DD858" s="33"/>
      <c r="DE858" s="33"/>
      <c r="DF858" s="33"/>
      <c r="DG858" s="33"/>
      <c r="DH858" s="33"/>
      <c r="DI858" s="33"/>
      <c r="DJ858" s="33"/>
      <c r="DK858" s="33"/>
      <c r="DL858" s="33"/>
      <c r="DM858" s="33"/>
      <c r="DN858" s="33"/>
      <c r="DO858" s="33"/>
      <c r="DP858" s="33"/>
      <c r="DQ858" s="33"/>
      <c r="DR858" s="33"/>
      <c r="DS858" s="33"/>
      <c r="DT858" s="33"/>
      <c r="DU858" s="33"/>
      <c r="DV858" s="33"/>
      <c r="DW858" s="33"/>
      <c r="DX858" s="33"/>
      <c r="DY858" s="33"/>
      <c r="DZ858" s="33"/>
      <c r="EA858" s="33"/>
      <c r="EB858" s="33"/>
      <c r="EC858" s="33"/>
      <c r="ED858" s="33"/>
      <c r="EE858" s="33"/>
      <c r="EF858" s="33"/>
      <c r="EG858" s="33"/>
      <c r="EH858" s="33"/>
      <c r="EI858" s="33"/>
      <c r="EJ858" s="33"/>
      <c r="EK858" s="33"/>
      <c r="EL858" s="33"/>
      <c r="EM858" s="33"/>
      <c r="EN858" s="33"/>
      <c r="EO858" s="33"/>
      <c r="EP858" s="33"/>
      <c r="EQ858" s="33"/>
      <c r="ER858" s="33"/>
      <c r="ES858" s="33"/>
    </row>
    <row r="859">
      <c r="A859" s="33"/>
      <c r="B859" s="33"/>
      <c r="C859" s="33"/>
      <c r="D859" s="33"/>
      <c r="E859" s="33"/>
      <c r="F859" s="33"/>
      <c r="G859" s="85"/>
      <c r="H859" s="85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33"/>
      <c r="Y859" s="33"/>
      <c r="Z859" s="33"/>
      <c r="AA859" s="33"/>
      <c r="AB859" s="33"/>
      <c r="AC859" s="33"/>
      <c r="AD859" s="33"/>
      <c r="AE859" s="33"/>
      <c r="AF859" s="33"/>
      <c r="AG859" s="33"/>
      <c r="AH859" s="33"/>
      <c r="AI859" s="33"/>
      <c r="AJ859" s="33"/>
      <c r="AK859" s="33"/>
      <c r="AL859" s="33"/>
      <c r="AM859" s="33"/>
      <c r="AN859" s="33"/>
      <c r="AO859" s="33"/>
      <c r="AP859" s="33"/>
      <c r="AQ859" s="33"/>
      <c r="AR859" s="33"/>
      <c r="AS859" s="33"/>
      <c r="AT859" s="33"/>
      <c r="AU859" s="33"/>
      <c r="AV859" s="33"/>
      <c r="AW859" s="33"/>
      <c r="AX859" s="33"/>
      <c r="AY859" s="33"/>
      <c r="AZ859" s="33"/>
      <c r="BA859" s="33"/>
      <c r="BB859" s="33"/>
      <c r="BC859" s="33"/>
      <c r="BD859" s="33"/>
      <c r="BE859" s="33"/>
      <c r="BF859" s="33"/>
      <c r="BG859" s="33"/>
      <c r="BH859" s="33"/>
      <c r="BI859" s="33"/>
      <c r="BJ859" s="33"/>
      <c r="BK859" s="33"/>
      <c r="BL859" s="33"/>
      <c r="BM859" s="33"/>
      <c r="BN859" s="33"/>
      <c r="BO859" s="33"/>
      <c r="BP859" s="33"/>
      <c r="BQ859" s="33"/>
      <c r="BR859" s="33"/>
      <c r="BS859" s="33"/>
      <c r="BT859" s="33"/>
      <c r="BU859" s="33"/>
      <c r="BV859" s="33"/>
      <c r="BW859" s="33"/>
      <c r="BX859" s="33"/>
      <c r="BY859" s="33"/>
      <c r="BZ859" s="33"/>
      <c r="CA859" s="33"/>
      <c r="CB859" s="33"/>
      <c r="CC859" s="33"/>
      <c r="CD859" s="33"/>
      <c r="CE859" s="33"/>
      <c r="CF859" s="33"/>
      <c r="CG859" s="33"/>
      <c r="CH859" s="33"/>
      <c r="CI859" s="33"/>
      <c r="CJ859" s="33"/>
      <c r="CK859" s="33"/>
      <c r="CL859" s="33"/>
      <c r="CM859" s="33"/>
      <c r="CN859" s="33"/>
      <c r="CO859" s="33"/>
      <c r="CP859" s="33"/>
      <c r="CQ859" s="33"/>
      <c r="CR859" s="33"/>
      <c r="CS859" s="33"/>
      <c r="CT859" s="33"/>
      <c r="CU859" s="33"/>
      <c r="CV859" s="33"/>
      <c r="CW859" s="33"/>
      <c r="CX859" s="33"/>
      <c r="CY859" s="33"/>
      <c r="CZ859" s="33"/>
      <c r="DA859" s="33"/>
      <c r="DB859" s="33"/>
      <c r="DC859" s="33"/>
      <c r="DD859" s="33"/>
      <c r="DE859" s="33"/>
      <c r="DF859" s="33"/>
      <c r="DG859" s="33"/>
      <c r="DH859" s="33"/>
      <c r="DI859" s="33"/>
      <c r="DJ859" s="33"/>
      <c r="DK859" s="33"/>
      <c r="DL859" s="33"/>
      <c r="DM859" s="33"/>
      <c r="DN859" s="33"/>
      <c r="DO859" s="33"/>
      <c r="DP859" s="33"/>
      <c r="DQ859" s="33"/>
      <c r="DR859" s="33"/>
      <c r="DS859" s="33"/>
      <c r="DT859" s="33"/>
      <c r="DU859" s="33"/>
      <c r="DV859" s="33"/>
      <c r="DW859" s="33"/>
      <c r="DX859" s="33"/>
      <c r="DY859" s="33"/>
      <c r="DZ859" s="33"/>
      <c r="EA859" s="33"/>
      <c r="EB859" s="33"/>
      <c r="EC859" s="33"/>
      <c r="ED859" s="33"/>
      <c r="EE859" s="33"/>
      <c r="EF859" s="33"/>
      <c r="EG859" s="33"/>
      <c r="EH859" s="33"/>
      <c r="EI859" s="33"/>
      <c r="EJ859" s="33"/>
      <c r="EK859" s="33"/>
      <c r="EL859" s="33"/>
      <c r="EM859" s="33"/>
      <c r="EN859" s="33"/>
      <c r="EO859" s="33"/>
      <c r="EP859" s="33"/>
      <c r="EQ859" s="33"/>
      <c r="ER859" s="33"/>
      <c r="ES859" s="33"/>
    </row>
    <row r="860">
      <c r="A860" s="33"/>
      <c r="B860" s="33"/>
      <c r="C860" s="33"/>
      <c r="D860" s="33"/>
      <c r="E860" s="33"/>
      <c r="F860" s="33"/>
      <c r="G860" s="85"/>
      <c r="H860" s="85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33"/>
      <c r="Y860" s="33"/>
      <c r="Z860" s="33"/>
      <c r="AA860" s="33"/>
      <c r="AB860" s="33"/>
      <c r="AC860" s="33"/>
      <c r="AD860" s="33"/>
      <c r="AE860" s="33"/>
      <c r="AF860" s="33"/>
      <c r="AG860" s="33"/>
      <c r="AH860" s="33"/>
      <c r="AI860" s="33"/>
      <c r="AJ860" s="33"/>
      <c r="AK860" s="33"/>
      <c r="AL860" s="33"/>
      <c r="AM860" s="33"/>
      <c r="AN860" s="33"/>
      <c r="AO860" s="33"/>
      <c r="AP860" s="33"/>
      <c r="AQ860" s="33"/>
      <c r="AR860" s="33"/>
      <c r="AS860" s="33"/>
      <c r="AT860" s="33"/>
      <c r="AU860" s="33"/>
      <c r="AV860" s="33"/>
      <c r="AW860" s="33"/>
      <c r="AX860" s="33"/>
      <c r="AY860" s="33"/>
      <c r="AZ860" s="33"/>
      <c r="BA860" s="33"/>
      <c r="BB860" s="33"/>
      <c r="BC860" s="33"/>
      <c r="BD860" s="33"/>
      <c r="BE860" s="33"/>
      <c r="BF860" s="33"/>
      <c r="BG860" s="33"/>
      <c r="BH860" s="33"/>
      <c r="BI860" s="33"/>
      <c r="BJ860" s="33"/>
      <c r="BK860" s="33"/>
      <c r="BL860" s="33"/>
      <c r="BM860" s="33"/>
      <c r="BN860" s="33"/>
      <c r="BO860" s="33"/>
      <c r="BP860" s="33"/>
      <c r="BQ860" s="33"/>
      <c r="BR860" s="33"/>
      <c r="BS860" s="33"/>
      <c r="BT860" s="33"/>
      <c r="BU860" s="33"/>
      <c r="BV860" s="33"/>
      <c r="BW860" s="33"/>
      <c r="BX860" s="33"/>
      <c r="BY860" s="33"/>
      <c r="BZ860" s="33"/>
      <c r="CA860" s="33"/>
      <c r="CB860" s="33"/>
      <c r="CC860" s="33"/>
      <c r="CD860" s="33"/>
      <c r="CE860" s="33"/>
      <c r="CF860" s="33"/>
      <c r="CG860" s="33"/>
      <c r="CH860" s="33"/>
      <c r="CI860" s="33"/>
      <c r="CJ860" s="33"/>
      <c r="CK860" s="33"/>
      <c r="CL860" s="33"/>
      <c r="CM860" s="33"/>
      <c r="CN860" s="33"/>
      <c r="CO860" s="33"/>
      <c r="CP860" s="33"/>
      <c r="CQ860" s="33"/>
      <c r="CR860" s="33"/>
      <c r="CS860" s="33"/>
      <c r="CT860" s="33"/>
      <c r="CU860" s="33"/>
      <c r="CV860" s="33"/>
      <c r="CW860" s="33"/>
      <c r="CX860" s="33"/>
      <c r="CY860" s="33"/>
      <c r="CZ860" s="33"/>
      <c r="DA860" s="33"/>
      <c r="DB860" s="33"/>
      <c r="DC860" s="33"/>
      <c r="DD860" s="33"/>
      <c r="DE860" s="33"/>
      <c r="DF860" s="33"/>
      <c r="DG860" s="33"/>
      <c r="DH860" s="33"/>
      <c r="DI860" s="33"/>
      <c r="DJ860" s="33"/>
      <c r="DK860" s="33"/>
      <c r="DL860" s="33"/>
      <c r="DM860" s="33"/>
      <c r="DN860" s="33"/>
      <c r="DO860" s="33"/>
      <c r="DP860" s="33"/>
      <c r="DQ860" s="33"/>
      <c r="DR860" s="33"/>
      <c r="DS860" s="33"/>
      <c r="DT860" s="33"/>
      <c r="DU860" s="33"/>
      <c r="DV860" s="33"/>
      <c r="DW860" s="33"/>
      <c r="DX860" s="33"/>
      <c r="DY860" s="33"/>
      <c r="DZ860" s="33"/>
      <c r="EA860" s="33"/>
      <c r="EB860" s="33"/>
      <c r="EC860" s="33"/>
      <c r="ED860" s="33"/>
      <c r="EE860" s="33"/>
      <c r="EF860" s="33"/>
      <c r="EG860" s="33"/>
      <c r="EH860" s="33"/>
      <c r="EI860" s="33"/>
      <c r="EJ860" s="33"/>
      <c r="EK860" s="33"/>
      <c r="EL860" s="33"/>
      <c r="EM860" s="33"/>
      <c r="EN860" s="33"/>
      <c r="EO860" s="33"/>
      <c r="EP860" s="33"/>
      <c r="EQ860" s="33"/>
      <c r="ER860" s="33"/>
      <c r="ES860" s="33"/>
    </row>
    <row r="861">
      <c r="A861" s="33"/>
      <c r="B861" s="33"/>
      <c r="C861" s="33"/>
      <c r="D861" s="33"/>
      <c r="E861" s="33"/>
      <c r="F861" s="33"/>
      <c r="G861" s="85"/>
      <c r="H861" s="85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33"/>
      <c r="Y861" s="33"/>
      <c r="Z861" s="33"/>
      <c r="AA861" s="33"/>
      <c r="AB861" s="33"/>
      <c r="AC861" s="33"/>
      <c r="AD861" s="33"/>
      <c r="AE861" s="33"/>
      <c r="AF861" s="33"/>
      <c r="AG861" s="33"/>
      <c r="AH861" s="33"/>
      <c r="AI861" s="33"/>
      <c r="AJ861" s="33"/>
      <c r="AK861" s="33"/>
      <c r="AL861" s="33"/>
      <c r="AM861" s="33"/>
      <c r="AN861" s="33"/>
      <c r="AO861" s="33"/>
      <c r="AP861" s="33"/>
      <c r="AQ861" s="33"/>
      <c r="AR861" s="33"/>
      <c r="AS861" s="33"/>
      <c r="AT861" s="33"/>
      <c r="AU861" s="33"/>
      <c r="AV861" s="33"/>
      <c r="AW861" s="33"/>
      <c r="AX861" s="33"/>
      <c r="AY861" s="33"/>
      <c r="AZ861" s="33"/>
      <c r="BA861" s="33"/>
      <c r="BB861" s="33"/>
      <c r="BC861" s="33"/>
      <c r="BD861" s="33"/>
      <c r="BE861" s="33"/>
      <c r="BF861" s="33"/>
      <c r="BG861" s="33"/>
      <c r="BH861" s="33"/>
      <c r="BI861" s="33"/>
      <c r="BJ861" s="33"/>
      <c r="BK861" s="33"/>
      <c r="BL861" s="33"/>
      <c r="BM861" s="33"/>
      <c r="BN861" s="33"/>
      <c r="BO861" s="33"/>
      <c r="BP861" s="33"/>
      <c r="BQ861" s="33"/>
      <c r="BR861" s="33"/>
      <c r="BS861" s="33"/>
      <c r="BT861" s="33"/>
      <c r="BU861" s="33"/>
      <c r="BV861" s="33"/>
      <c r="BW861" s="33"/>
      <c r="BX861" s="33"/>
      <c r="BY861" s="33"/>
      <c r="BZ861" s="33"/>
      <c r="CA861" s="33"/>
      <c r="CB861" s="33"/>
      <c r="CC861" s="33"/>
      <c r="CD861" s="33"/>
      <c r="CE861" s="33"/>
      <c r="CF861" s="33"/>
      <c r="CG861" s="33"/>
      <c r="CH861" s="33"/>
      <c r="CI861" s="33"/>
      <c r="CJ861" s="33"/>
      <c r="CK861" s="33"/>
      <c r="CL861" s="33"/>
      <c r="CM861" s="33"/>
      <c r="CN861" s="33"/>
      <c r="CO861" s="33"/>
      <c r="CP861" s="33"/>
      <c r="CQ861" s="33"/>
      <c r="CR861" s="33"/>
      <c r="CS861" s="33"/>
      <c r="CT861" s="33"/>
      <c r="CU861" s="33"/>
      <c r="CV861" s="33"/>
      <c r="CW861" s="33"/>
      <c r="CX861" s="33"/>
      <c r="CY861" s="33"/>
      <c r="CZ861" s="33"/>
      <c r="DA861" s="33"/>
      <c r="DB861" s="33"/>
      <c r="DC861" s="33"/>
      <c r="DD861" s="33"/>
      <c r="DE861" s="33"/>
      <c r="DF861" s="33"/>
      <c r="DG861" s="33"/>
      <c r="DH861" s="33"/>
      <c r="DI861" s="33"/>
      <c r="DJ861" s="33"/>
      <c r="DK861" s="33"/>
      <c r="DL861" s="33"/>
      <c r="DM861" s="33"/>
      <c r="DN861" s="33"/>
      <c r="DO861" s="33"/>
      <c r="DP861" s="33"/>
      <c r="DQ861" s="33"/>
      <c r="DR861" s="33"/>
      <c r="DS861" s="33"/>
      <c r="DT861" s="33"/>
      <c r="DU861" s="33"/>
      <c r="DV861" s="33"/>
      <c r="DW861" s="33"/>
      <c r="DX861" s="33"/>
      <c r="DY861" s="33"/>
      <c r="DZ861" s="33"/>
      <c r="EA861" s="33"/>
      <c r="EB861" s="33"/>
      <c r="EC861" s="33"/>
      <c r="ED861" s="33"/>
      <c r="EE861" s="33"/>
      <c r="EF861" s="33"/>
      <c r="EG861" s="33"/>
      <c r="EH861" s="33"/>
      <c r="EI861" s="33"/>
      <c r="EJ861" s="33"/>
      <c r="EK861" s="33"/>
      <c r="EL861" s="33"/>
      <c r="EM861" s="33"/>
      <c r="EN861" s="33"/>
      <c r="EO861" s="33"/>
      <c r="EP861" s="33"/>
      <c r="EQ861" s="33"/>
      <c r="ER861" s="33"/>
      <c r="ES861" s="33"/>
    </row>
    <row r="862">
      <c r="A862" s="33"/>
      <c r="B862" s="33"/>
      <c r="C862" s="33"/>
      <c r="D862" s="33"/>
      <c r="E862" s="33"/>
      <c r="F862" s="33"/>
      <c r="G862" s="85"/>
      <c r="H862" s="85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33"/>
      <c r="Y862" s="33"/>
      <c r="Z862" s="33"/>
      <c r="AA862" s="33"/>
      <c r="AB862" s="33"/>
      <c r="AC862" s="33"/>
      <c r="AD862" s="33"/>
      <c r="AE862" s="33"/>
      <c r="AF862" s="33"/>
      <c r="AG862" s="33"/>
      <c r="AH862" s="33"/>
      <c r="AI862" s="33"/>
      <c r="AJ862" s="33"/>
      <c r="AK862" s="33"/>
      <c r="AL862" s="33"/>
      <c r="AM862" s="33"/>
      <c r="AN862" s="33"/>
      <c r="AO862" s="33"/>
      <c r="AP862" s="33"/>
      <c r="AQ862" s="33"/>
      <c r="AR862" s="33"/>
      <c r="AS862" s="33"/>
      <c r="AT862" s="33"/>
      <c r="AU862" s="33"/>
      <c r="AV862" s="33"/>
      <c r="AW862" s="33"/>
      <c r="AX862" s="33"/>
      <c r="AY862" s="33"/>
      <c r="AZ862" s="33"/>
      <c r="BA862" s="33"/>
      <c r="BB862" s="33"/>
      <c r="BC862" s="33"/>
      <c r="BD862" s="33"/>
      <c r="BE862" s="33"/>
      <c r="BF862" s="33"/>
      <c r="BG862" s="33"/>
      <c r="BH862" s="33"/>
      <c r="BI862" s="33"/>
      <c r="BJ862" s="33"/>
      <c r="BK862" s="33"/>
      <c r="BL862" s="33"/>
      <c r="BM862" s="33"/>
      <c r="BN862" s="33"/>
      <c r="BO862" s="33"/>
      <c r="BP862" s="33"/>
      <c r="BQ862" s="33"/>
      <c r="BR862" s="33"/>
      <c r="BS862" s="33"/>
      <c r="BT862" s="33"/>
      <c r="BU862" s="33"/>
      <c r="BV862" s="33"/>
      <c r="BW862" s="33"/>
      <c r="BX862" s="33"/>
      <c r="BY862" s="33"/>
      <c r="BZ862" s="33"/>
      <c r="CA862" s="33"/>
      <c r="CB862" s="33"/>
      <c r="CC862" s="33"/>
      <c r="CD862" s="33"/>
      <c r="CE862" s="33"/>
      <c r="CF862" s="33"/>
      <c r="CG862" s="33"/>
      <c r="CH862" s="33"/>
      <c r="CI862" s="33"/>
      <c r="CJ862" s="33"/>
      <c r="CK862" s="33"/>
      <c r="CL862" s="33"/>
      <c r="CM862" s="33"/>
      <c r="CN862" s="33"/>
      <c r="CO862" s="33"/>
      <c r="CP862" s="33"/>
      <c r="CQ862" s="33"/>
      <c r="CR862" s="33"/>
      <c r="CS862" s="33"/>
      <c r="CT862" s="33"/>
      <c r="CU862" s="33"/>
      <c r="CV862" s="33"/>
      <c r="CW862" s="33"/>
      <c r="CX862" s="33"/>
      <c r="CY862" s="33"/>
      <c r="CZ862" s="33"/>
      <c r="DA862" s="33"/>
      <c r="DB862" s="33"/>
      <c r="DC862" s="33"/>
      <c r="DD862" s="33"/>
      <c r="DE862" s="33"/>
      <c r="DF862" s="33"/>
      <c r="DG862" s="33"/>
      <c r="DH862" s="33"/>
      <c r="DI862" s="33"/>
      <c r="DJ862" s="33"/>
      <c r="DK862" s="33"/>
      <c r="DL862" s="33"/>
      <c r="DM862" s="33"/>
      <c r="DN862" s="33"/>
      <c r="DO862" s="33"/>
      <c r="DP862" s="33"/>
      <c r="DQ862" s="33"/>
      <c r="DR862" s="33"/>
      <c r="DS862" s="33"/>
      <c r="DT862" s="33"/>
      <c r="DU862" s="33"/>
      <c r="DV862" s="33"/>
      <c r="DW862" s="33"/>
      <c r="DX862" s="33"/>
      <c r="DY862" s="33"/>
      <c r="DZ862" s="33"/>
      <c r="EA862" s="33"/>
      <c r="EB862" s="33"/>
      <c r="EC862" s="33"/>
      <c r="ED862" s="33"/>
      <c r="EE862" s="33"/>
      <c r="EF862" s="33"/>
      <c r="EG862" s="33"/>
      <c r="EH862" s="33"/>
      <c r="EI862" s="33"/>
      <c r="EJ862" s="33"/>
      <c r="EK862" s="33"/>
      <c r="EL862" s="33"/>
      <c r="EM862" s="33"/>
      <c r="EN862" s="33"/>
      <c r="EO862" s="33"/>
      <c r="EP862" s="33"/>
      <c r="EQ862" s="33"/>
      <c r="ER862" s="33"/>
      <c r="ES862" s="33"/>
    </row>
    <row r="863">
      <c r="A863" s="33"/>
      <c r="B863" s="33"/>
      <c r="C863" s="33"/>
      <c r="D863" s="33"/>
      <c r="E863" s="33"/>
      <c r="F863" s="33"/>
      <c r="G863" s="85"/>
      <c r="H863" s="85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33"/>
      <c r="Y863" s="33"/>
      <c r="Z863" s="33"/>
      <c r="AA863" s="33"/>
      <c r="AB863" s="33"/>
      <c r="AC863" s="33"/>
      <c r="AD863" s="33"/>
      <c r="AE863" s="33"/>
      <c r="AF863" s="33"/>
      <c r="AG863" s="33"/>
      <c r="AH863" s="33"/>
      <c r="AI863" s="33"/>
      <c r="AJ863" s="33"/>
      <c r="AK863" s="33"/>
      <c r="AL863" s="33"/>
      <c r="AM863" s="33"/>
      <c r="AN863" s="33"/>
      <c r="AO863" s="33"/>
      <c r="AP863" s="33"/>
      <c r="AQ863" s="33"/>
      <c r="AR863" s="33"/>
      <c r="AS863" s="33"/>
      <c r="AT863" s="33"/>
      <c r="AU863" s="33"/>
      <c r="AV863" s="33"/>
      <c r="AW863" s="33"/>
      <c r="AX863" s="33"/>
      <c r="AY863" s="33"/>
      <c r="AZ863" s="33"/>
      <c r="BA863" s="33"/>
      <c r="BB863" s="33"/>
      <c r="BC863" s="33"/>
      <c r="BD863" s="33"/>
      <c r="BE863" s="33"/>
      <c r="BF863" s="33"/>
      <c r="BG863" s="33"/>
      <c r="BH863" s="33"/>
      <c r="BI863" s="33"/>
      <c r="BJ863" s="33"/>
      <c r="BK863" s="33"/>
      <c r="BL863" s="33"/>
      <c r="BM863" s="33"/>
      <c r="BN863" s="33"/>
      <c r="BO863" s="33"/>
      <c r="BP863" s="33"/>
      <c r="BQ863" s="33"/>
      <c r="BR863" s="33"/>
      <c r="BS863" s="33"/>
      <c r="BT863" s="33"/>
      <c r="BU863" s="33"/>
      <c r="BV863" s="33"/>
      <c r="BW863" s="33"/>
      <c r="BX863" s="33"/>
      <c r="BY863" s="33"/>
      <c r="BZ863" s="33"/>
      <c r="CA863" s="33"/>
      <c r="CB863" s="33"/>
      <c r="CC863" s="33"/>
      <c r="CD863" s="33"/>
      <c r="CE863" s="33"/>
      <c r="CF863" s="33"/>
      <c r="CG863" s="33"/>
      <c r="CH863" s="33"/>
      <c r="CI863" s="33"/>
      <c r="CJ863" s="33"/>
      <c r="CK863" s="33"/>
      <c r="CL863" s="33"/>
      <c r="CM863" s="33"/>
      <c r="CN863" s="33"/>
      <c r="CO863" s="33"/>
      <c r="CP863" s="33"/>
      <c r="CQ863" s="33"/>
      <c r="CR863" s="33"/>
      <c r="CS863" s="33"/>
      <c r="CT863" s="33"/>
      <c r="CU863" s="33"/>
      <c r="CV863" s="33"/>
      <c r="CW863" s="33"/>
      <c r="CX863" s="33"/>
      <c r="CY863" s="33"/>
      <c r="CZ863" s="33"/>
      <c r="DA863" s="33"/>
      <c r="DB863" s="33"/>
      <c r="DC863" s="33"/>
      <c r="DD863" s="33"/>
      <c r="DE863" s="33"/>
      <c r="DF863" s="33"/>
      <c r="DG863" s="33"/>
      <c r="DH863" s="33"/>
      <c r="DI863" s="33"/>
      <c r="DJ863" s="33"/>
      <c r="DK863" s="33"/>
      <c r="DL863" s="33"/>
      <c r="DM863" s="33"/>
      <c r="DN863" s="33"/>
      <c r="DO863" s="33"/>
      <c r="DP863" s="33"/>
      <c r="DQ863" s="33"/>
      <c r="DR863" s="33"/>
      <c r="DS863" s="33"/>
      <c r="DT863" s="33"/>
      <c r="DU863" s="33"/>
      <c r="DV863" s="33"/>
      <c r="DW863" s="33"/>
      <c r="DX863" s="33"/>
      <c r="DY863" s="33"/>
      <c r="DZ863" s="33"/>
      <c r="EA863" s="33"/>
      <c r="EB863" s="33"/>
      <c r="EC863" s="33"/>
      <c r="ED863" s="33"/>
      <c r="EE863" s="33"/>
      <c r="EF863" s="33"/>
      <c r="EG863" s="33"/>
      <c r="EH863" s="33"/>
      <c r="EI863" s="33"/>
      <c r="EJ863" s="33"/>
      <c r="EK863" s="33"/>
      <c r="EL863" s="33"/>
      <c r="EM863" s="33"/>
      <c r="EN863" s="33"/>
      <c r="EO863" s="33"/>
      <c r="EP863" s="33"/>
      <c r="EQ863" s="33"/>
      <c r="ER863" s="33"/>
      <c r="ES863" s="33"/>
    </row>
    <row r="864">
      <c r="A864" s="33"/>
      <c r="B864" s="33"/>
      <c r="C864" s="33"/>
      <c r="D864" s="33"/>
      <c r="E864" s="33"/>
      <c r="F864" s="33"/>
      <c r="G864" s="85"/>
      <c r="H864" s="85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33"/>
      <c r="Y864" s="33"/>
      <c r="Z864" s="33"/>
      <c r="AA864" s="33"/>
      <c r="AB864" s="33"/>
      <c r="AC864" s="33"/>
      <c r="AD864" s="33"/>
      <c r="AE864" s="33"/>
      <c r="AF864" s="33"/>
      <c r="AG864" s="33"/>
      <c r="AH864" s="33"/>
      <c r="AI864" s="33"/>
      <c r="AJ864" s="33"/>
      <c r="AK864" s="33"/>
      <c r="AL864" s="33"/>
      <c r="AM864" s="33"/>
      <c r="AN864" s="33"/>
      <c r="AO864" s="33"/>
      <c r="AP864" s="33"/>
      <c r="AQ864" s="33"/>
      <c r="AR864" s="33"/>
      <c r="AS864" s="33"/>
      <c r="AT864" s="33"/>
      <c r="AU864" s="33"/>
      <c r="AV864" s="33"/>
      <c r="AW864" s="33"/>
      <c r="AX864" s="33"/>
      <c r="AY864" s="33"/>
      <c r="AZ864" s="33"/>
      <c r="BA864" s="33"/>
      <c r="BB864" s="33"/>
      <c r="BC864" s="33"/>
      <c r="BD864" s="33"/>
      <c r="BE864" s="33"/>
      <c r="BF864" s="33"/>
      <c r="BG864" s="33"/>
      <c r="BH864" s="33"/>
      <c r="BI864" s="33"/>
      <c r="BJ864" s="33"/>
      <c r="BK864" s="33"/>
      <c r="BL864" s="33"/>
      <c r="BM864" s="33"/>
      <c r="BN864" s="33"/>
      <c r="BO864" s="33"/>
      <c r="BP864" s="33"/>
      <c r="BQ864" s="33"/>
      <c r="BR864" s="33"/>
      <c r="BS864" s="33"/>
      <c r="BT864" s="33"/>
      <c r="BU864" s="33"/>
      <c r="BV864" s="33"/>
      <c r="BW864" s="33"/>
      <c r="BX864" s="33"/>
      <c r="BY864" s="33"/>
      <c r="BZ864" s="33"/>
      <c r="CA864" s="33"/>
      <c r="CB864" s="33"/>
      <c r="CC864" s="33"/>
      <c r="CD864" s="33"/>
      <c r="CE864" s="33"/>
      <c r="CF864" s="33"/>
      <c r="CG864" s="33"/>
      <c r="CH864" s="33"/>
      <c r="CI864" s="33"/>
      <c r="CJ864" s="33"/>
      <c r="CK864" s="33"/>
      <c r="CL864" s="33"/>
      <c r="CM864" s="33"/>
      <c r="CN864" s="33"/>
      <c r="CO864" s="33"/>
      <c r="CP864" s="33"/>
      <c r="CQ864" s="33"/>
      <c r="CR864" s="33"/>
      <c r="CS864" s="33"/>
      <c r="CT864" s="33"/>
      <c r="CU864" s="33"/>
      <c r="CV864" s="33"/>
      <c r="CW864" s="33"/>
      <c r="CX864" s="33"/>
      <c r="CY864" s="33"/>
      <c r="CZ864" s="33"/>
      <c r="DA864" s="33"/>
      <c r="DB864" s="33"/>
      <c r="DC864" s="33"/>
      <c r="DD864" s="33"/>
      <c r="DE864" s="33"/>
      <c r="DF864" s="33"/>
      <c r="DG864" s="33"/>
      <c r="DH864" s="33"/>
      <c r="DI864" s="33"/>
      <c r="DJ864" s="33"/>
      <c r="DK864" s="33"/>
      <c r="DL864" s="33"/>
      <c r="DM864" s="33"/>
      <c r="DN864" s="33"/>
      <c r="DO864" s="33"/>
      <c r="DP864" s="33"/>
      <c r="DQ864" s="33"/>
      <c r="DR864" s="33"/>
      <c r="DS864" s="33"/>
      <c r="DT864" s="33"/>
      <c r="DU864" s="33"/>
      <c r="DV864" s="33"/>
      <c r="DW864" s="33"/>
      <c r="DX864" s="33"/>
      <c r="DY864" s="33"/>
      <c r="DZ864" s="33"/>
      <c r="EA864" s="33"/>
      <c r="EB864" s="33"/>
      <c r="EC864" s="33"/>
      <c r="ED864" s="33"/>
      <c r="EE864" s="33"/>
      <c r="EF864" s="33"/>
      <c r="EG864" s="33"/>
      <c r="EH864" s="33"/>
      <c r="EI864" s="33"/>
      <c r="EJ864" s="33"/>
      <c r="EK864" s="33"/>
      <c r="EL864" s="33"/>
      <c r="EM864" s="33"/>
      <c r="EN864" s="33"/>
      <c r="EO864" s="33"/>
      <c r="EP864" s="33"/>
      <c r="EQ864" s="33"/>
      <c r="ER864" s="33"/>
      <c r="ES864" s="33"/>
    </row>
    <row r="865">
      <c r="A865" s="33"/>
      <c r="B865" s="33"/>
      <c r="C865" s="33"/>
      <c r="D865" s="33"/>
      <c r="E865" s="33"/>
      <c r="F865" s="33"/>
      <c r="G865" s="85"/>
      <c r="H865" s="85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33"/>
      <c r="Y865" s="33"/>
      <c r="Z865" s="33"/>
      <c r="AA865" s="33"/>
      <c r="AB865" s="33"/>
      <c r="AC865" s="33"/>
      <c r="AD865" s="33"/>
      <c r="AE865" s="33"/>
      <c r="AF865" s="33"/>
      <c r="AG865" s="33"/>
      <c r="AH865" s="33"/>
      <c r="AI865" s="33"/>
      <c r="AJ865" s="33"/>
      <c r="AK865" s="33"/>
      <c r="AL865" s="33"/>
      <c r="AM865" s="33"/>
      <c r="AN865" s="33"/>
      <c r="AO865" s="33"/>
      <c r="AP865" s="33"/>
      <c r="AQ865" s="33"/>
      <c r="AR865" s="33"/>
      <c r="AS865" s="33"/>
      <c r="AT865" s="33"/>
      <c r="AU865" s="33"/>
      <c r="AV865" s="33"/>
      <c r="AW865" s="33"/>
      <c r="AX865" s="33"/>
      <c r="AY865" s="33"/>
      <c r="AZ865" s="33"/>
      <c r="BA865" s="33"/>
      <c r="BB865" s="33"/>
      <c r="BC865" s="33"/>
      <c r="BD865" s="33"/>
      <c r="BE865" s="33"/>
      <c r="BF865" s="33"/>
      <c r="BG865" s="33"/>
      <c r="BH865" s="33"/>
      <c r="BI865" s="33"/>
      <c r="BJ865" s="33"/>
      <c r="BK865" s="33"/>
      <c r="BL865" s="33"/>
      <c r="BM865" s="33"/>
      <c r="BN865" s="33"/>
      <c r="BO865" s="33"/>
      <c r="BP865" s="33"/>
      <c r="BQ865" s="33"/>
      <c r="BR865" s="33"/>
      <c r="BS865" s="33"/>
      <c r="BT865" s="33"/>
      <c r="BU865" s="33"/>
      <c r="BV865" s="33"/>
      <c r="BW865" s="33"/>
      <c r="BX865" s="33"/>
      <c r="BY865" s="33"/>
      <c r="BZ865" s="33"/>
      <c r="CA865" s="33"/>
      <c r="CB865" s="33"/>
      <c r="CC865" s="33"/>
      <c r="CD865" s="33"/>
      <c r="CE865" s="33"/>
      <c r="CF865" s="33"/>
      <c r="CG865" s="33"/>
      <c r="CH865" s="33"/>
      <c r="CI865" s="33"/>
      <c r="CJ865" s="33"/>
      <c r="CK865" s="33"/>
      <c r="CL865" s="33"/>
      <c r="CM865" s="33"/>
      <c r="CN865" s="33"/>
      <c r="CO865" s="33"/>
      <c r="CP865" s="33"/>
      <c r="CQ865" s="33"/>
      <c r="CR865" s="33"/>
      <c r="CS865" s="33"/>
      <c r="CT865" s="33"/>
      <c r="CU865" s="33"/>
      <c r="CV865" s="33"/>
      <c r="CW865" s="33"/>
      <c r="CX865" s="33"/>
      <c r="CY865" s="33"/>
      <c r="CZ865" s="33"/>
      <c r="DA865" s="33"/>
      <c r="DB865" s="33"/>
      <c r="DC865" s="33"/>
      <c r="DD865" s="33"/>
      <c r="DE865" s="33"/>
      <c r="DF865" s="33"/>
      <c r="DG865" s="33"/>
      <c r="DH865" s="33"/>
      <c r="DI865" s="33"/>
      <c r="DJ865" s="33"/>
      <c r="DK865" s="33"/>
      <c r="DL865" s="33"/>
      <c r="DM865" s="33"/>
      <c r="DN865" s="33"/>
      <c r="DO865" s="33"/>
      <c r="DP865" s="33"/>
      <c r="DQ865" s="33"/>
      <c r="DR865" s="33"/>
      <c r="DS865" s="33"/>
      <c r="DT865" s="33"/>
      <c r="DU865" s="33"/>
      <c r="DV865" s="33"/>
      <c r="DW865" s="33"/>
      <c r="DX865" s="33"/>
      <c r="DY865" s="33"/>
      <c r="DZ865" s="33"/>
      <c r="EA865" s="33"/>
      <c r="EB865" s="33"/>
      <c r="EC865" s="33"/>
      <c r="ED865" s="33"/>
      <c r="EE865" s="33"/>
      <c r="EF865" s="33"/>
      <c r="EG865" s="33"/>
      <c r="EH865" s="33"/>
      <c r="EI865" s="33"/>
      <c r="EJ865" s="33"/>
      <c r="EK865" s="33"/>
      <c r="EL865" s="33"/>
      <c r="EM865" s="33"/>
      <c r="EN865" s="33"/>
      <c r="EO865" s="33"/>
      <c r="EP865" s="33"/>
      <c r="EQ865" s="33"/>
      <c r="ER865" s="33"/>
      <c r="ES865" s="33"/>
    </row>
    <row r="866">
      <c r="A866" s="33"/>
      <c r="B866" s="33"/>
      <c r="C866" s="33"/>
      <c r="D866" s="33"/>
      <c r="E866" s="33"/>
      <c r="F866" s="33"/>
      <c r="G866" s="85"/>
      <c r="H866" s="85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33"/>
      <c r="Y866" s="33"/>
      <c r="Z866" s="33"/>
      <c r="AA866" s="33"/>
      <c r="AB866" s="33"/>
      <c r="AC866" s="33"/>
      <c r="AD866" s="33"/>
      <c r="AE866" s="33"/>
      <c r="AF866" s="33"/>
      <c r="AG866" s="33"/>
      <c r="AH866" s="33"/>
      <c r="AI866" s="33"/>
      <c r="AJ866" s="33"/>
      <c r="AK866" s="33"/>
      <c r="AL866" s="33"/>
      <c r="AM866" s="33"/>
      <c r="AN866" s="33"/>
      <c r="AO866" s="33"/>
      <c r="AP866" s="33"/>
      <c r="AQ866" s="33"/>
      <c r="AR866" s="33"/>
      <c r="AS866" s="33"/>
      <c r="AT866" s="33"/>
      <c r="AU866" s="33"/>
      <c r="AV866" s="33"/>
      <c r="AW866" s="33"/>
      <c r="AX866" s="33"/>
      <c r="AY866" s="33"/>
      <c r="AZ866" s="33"/>
      <c r="BA866" s="33"/>
      <c r="BB866" s="33"/>
      <c r="BC866" s="33"/>
      <c r="BD866" s="33"/>
      <c r="BE866" s="33"/>
      <c r="BF866" s="33"/>
      <c r="BG866" s="33"/>
      <c r="BH866" s="33"/>
      <c r="BI866" s="33"/>
      <c r="BJ866" s="33"/>
      <c r="BK866" s="33"/>
      <c r="BL866" s="33"/>
      <c r="BM866" s="33"/>
      <c r="BN866" s="33"/>
      <c r="BO866" s="33"/>
      <c r="BP866" s="33"/>
      <c r="BQ866" s="33"/>
      <c r="BR866" s="33"/>
      <c r="BS866" s="33"/>
      <c r="BT866" s="33"/>
      <c r="BU866" s="33"/>
      <c r="BV866" s="33"/>
      <c r="BW866" s="33"/>
      <c r="BX866" s="33"/>
      <c r="BY866" s="33"/>
      <c r="BZ866" s="33"/>
      <c r="CA866" s="33"/>
      <c r="CB866" s="33"/>
      <c r="CC866" s="33"/>
      <c r="CD866" s="33"/>
      <c r="CE866" s="33"/>
      <c r="CF866" s="33"/>
      <c r="CG866" s="33"/>
      <c r="CH866" s="33"/>
      <c r="CI866" s="33"/>
      <c r="CJ866" s="33"/>
      <c r="CK866" s="33"/>
      <c r="CL866" s="33"/>
      <c r="CM866" s="33"/>
      <c r="CN866" s="33"/>
      <c r="CO866" s="33"/>
      <c r="CP866" s="33"/>
      <c r="CQ866" s="33"/>
      <c r="CR866" s="33"/>
      <c r="CS866" s="33"/>
      <c r="CT866" s="33"/>
      <c r="CU866" s="33"/>
      <c r="CV866" s="33"/>
      <c r="CW866" s="33"/>
      <c r="CX866" s="33"/>
      <c r="CY866" s="33"/>
      <c r="CZ866" s="33"/>
      <c r="DA866" s="33"/>
      <c r="DB866" s="33"/>
      <c r="DC866" s="33"/>
      <c r="DD866" s="33"/>
      <c r="DE866" s="33"/>
      <c r="DF866" s="33"/>
      <c r="DG866" s="33"/>
      <c r="DH866" s="33"/>
      <c r="DI866" s="33"/>
      <c r="DJ866" s="33"/>
      <c r="DK866" s="33"/>
      <c r="DL866" s="33"/>
      <c r="DM866" s="33"/>
      <c r="DN866" s="33"/>
      <c r="DO866" s="33"/>
      <c r="DP866" s="33"/>
      <c r="DQ866" s="33"/>
      <c r="DR866" s="33"/>
      <c r="DS866" s="33"/>
      <c r="DT866" s="33"/>
      <c r="DU866" s="33"/>
      <c r="DV866" s="33"/>
      <c r="DW866" s="33"/>
      <c r="DX866" s="33"/>
      <c r="DY866" s="33"/>
      <c r="DZ866" s="33"/>
      <c r="EA866" s="33"/>
      <c r="EB866" s="33"/>
      <c r="EC866" s="33"/>
      <c r="ED866" s="33"/>
      <c r="EE866" s="33"/>
      <c r="EF866" s="33"/>
      <c r="EG866" s="33"/>
      <c r="EH866" s="33"/>
      <c r="EI866" s="33"/>
      <c r="EJ866" s="33"/>
      <c r="EK866" s="33"/>
      <c r="EL866" s="33"/>
      <c r="EM866" s="33"/>
      <c r="EN866" s="33"/>
      <c r="EO866" s="33"/>
      <c r="EP866" s="33"/>
      <c r="EQ866" s="33"/>
      <c r="ER866" s="33"/>
      <c r="ES866" s="33"/>
    </row>
    <row r="867">
      <c r="A867" s="33"/>
      <c r="B867" s="33"/>
      <c r="C867" s="33"/>
      <c r="D867" s="33"/>
      <c r="E867" s="33"/>
      <c r="F867" s="33"/>
      <c r="G867" s="85"/>
      <c r="H867" s="85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33"/>
      <c r="Y867" s="33"/>
      <c r="Z867" s="33"/>
      <c r="AA867" s="33"/>
      <c r="AB867" s="33"/>
      <c r="AC867" s="33"/>
      <c r="AD867" s="33"/>
      <c r="AE867" s="33"/>
      <c r="AF867" s="33"/>
      <c r="AG867" s="33"/>
      <c r="AH867" s="33"/>
      <c r="AI867" s="33"/>
      <c r="AJ867" s="33"/>
      <c r="AK867" s="33"/>
      <c r="AL867" s="33"/>
      <c r="AM867" s="33"/>
      <c r="AN867" s="33"/>
      <c r="AO867" s="33"/>
      <c r="AP867" s="33"/>
      <c r="AQ867" s="33"/>
      <c r="AR867" s="33"/>
      <c r="AS867" s="33"/>
      <c r="AT867" s="33"/>
      <c r="AU867" s="33"/>
      <c r="AV867" s="33"/>
      <c r="AW867" s="33"/>
      <c r="AX867" s="33"/>
      <c r="AY867" s="33"/>
      <c r="AZ867" s="33"/>
      <c r="BA867" s="33"/>
      <c r="BB867" s="33"/>
      <c r="BC867" s="33"/>
      <c r="BD867" s="33"/>
      <c r="BE867" s="33"/>
      <c r="BF867" s="33"/>
      <c r="BG867" s="33"/>
      <c r="BH867" s="33"/>
      <c r="BI867" s="33"/>
      <c r="BJ867" s="33"/>
      <c r="BK867" s="33"/>
      <c r="BL867" s="33"/>
      <c r="BM867" s="33"/>
      <c r="BN867" s="33"/>
      <c r="BO867" s="33"/>
      <c r="BP867" s="33"/>
      <c r="BQ867" s="33"/>
      <c r="BR867" s="33"/>
      <c r="BS867" s="33"/>
      <c r="BT867" s="33"/>
      <c r="BU867" s="33"/>
      <c r="BV867" s="33"/>
      <c r="BW867" s="33"/>
      <c r="BX867" s="33"/>
      <c r="BY867" s="33"/>
      <c r="BZ867" s="33"/>
      <c r="CA867" s="33"/>
      <c r="CB867" s="33"/>
      <c r="CC867" s="33"/>
      <c r="CD867" s="33"/>
      <c r="CE867" s="33"/>
      <c r="CF867" s="33"/>
      <c r="CG867" s="33"/>
      <c r="CH867" s="33"/>
      <c r="CI867" s="33"/>
      <c r="CJ867" s="33"/>
      <c r="CK867" s="33"/>
      <c r="CL867" s="33"/>
      <c r="CM867" s="33"/>
      <c r="CN867" s="33"/>
      <c r="CO867" s="33"/>
      <c r="CP867" s="33"/>
      <c r="CQ867" s="33"/>
      <c r="CR867" s="33"/>
      <c r="CS867" s="33"/>
      <c r="CT867" s="33"/>
      <c r="CU867" s="33"/>
      <c r="CV867" s="33"/>
      <c r="CW867" s="33"/>
      <c r="CX867" s="33"/>
      <c r="CY867" s="33"/>
      <c r="CZ867" s="33"/>
      <c r="DA867" s="33"/>
      <c r="DB867" s="33"/>
      <c r="DC867" s="33"/>
      <c r="DD867" s="33"/>
      <c r="DE867" s="33"/>
      <c r="DF867" s="33"/>
      <c r="DG867" s="33"/>
      <c r="DH867" s="33"/>
      <c r="DI867" s="33"/>
      <c r="DJ867" s="33"/>
      <c r="DK867" s="33"/>
      <c r="DL867" s="33"/>
      <c r="DM867" s="33"/>
      <c r="DN867" s="33"/>
      <c r="DO867" s="33"/>
      <c r="DP867" s="33"/>
      <c r="DQ867" s="33"/>
      <c r="DR867" s="33"/>
      <c r="DS867" s="33"/>
      <c r="DT867" s="33"/>
      <c r="DU867" s="33"/>
      <c r="DV867" s="33"/>
      <c r="DW867" s="33"/>
      <c r="DX867" s="33"/>
      <c r="DY867" s="33"/>
      <c r="DZ867" s="33"/>
      <c r="EA867" s="33"/>
      <c r="EB867" s="33"/>
      <c r="EC867" s="33"/>
      <c r="ED867" s="33"/>
      <c r="EE867" s="33"/>
      <c r="EF867" s="33"/>
      <c r="EG867" s="33"/>
      <c r="EH867" s="33"/>
      <c r="EI867" s="33"/>
      <c r="EJ867" s="33"/>
      <c r="EK867" s="33"/>
      <c r="EL867" s="33"/>
      <c r="EM867" s="33"/>
      <c r="EN867" s="33"/>
      <c r="EO867" s="33"/>
      <c r="EP867" s="33"/>
      <c r="EQ867" s="33"/>
      <c r="ER867" s="33"/>
      <c r="ES867" s="33"/>
    </row>
    <row r="868">
      <c r="A868" s="33"/>
      <c r="B868" s="33"/>
      <c r="C868" s="33"/>
      <c r="D868" s="33"/>
      <c r="E868" s="33"/>
      <c r="F868" s="33"/>
      <c r="G868" s="85"/>
      <c r="H868" s="85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33"/>
      <c r="Y868" s="33"/>
      <c r="Z868" s="33"/>
      <c r="AA868" s="33"/>
      <c r="AB868" s="33"/>
      <c r="AC868" s="33"/>
      <c r="AD868" s="33"/>
      <c r="AE868" s="33"/>
      <c r="AF868" s="33"/>
      <c r="AG868" s="33"/>
      <c r="AH868" s="33"/>
      <c r="AI868" s="33"/>
      <c r="AJ868" s="33"/>
      <c r="AK868" s="33"/>
      <c r="AL868" s="33"/>
      <c r="AM868" s="33"/>
      <c r="AN868" s="33"/>
      <c r="AO868" s="33"/>
      <c r="AP868" s="33"/>
      <c r="AQ868" s="33"/>
      <c r="AR868" s="33"/>
      <c r="AS868" s="33"/>
      <c r="AT868" s="33"/>
      <c r="AU868" s="33"/>
      <c r="AV868" s="33"/>
      <c r="AW868" s="33"/>
      <c r="AX868" s="33"/>
      <c r="AY868" s="33"/>
      <c r="AZ868" s="33"/>
      <c r="BA868" s="33"/>
      <c r="BB868" s="33"/>
      <c r="BC868" s="33"/>
      <c r="BD868" s="33"/>
      <c r="BE868" s="33"/>
      <c r="BF868" s="33"/>
      <c r="BG868" s="33"/>
      <c r="BH868" s="33"/>
      <c r="BI868" s="33"/>
      <c r="BJ868" s="33"/>
      <c r="BK868" s="33"/>
      <c r="BL868" s="33"/>
      <c r="BM868" s="33"/>
      <c r="BN868" s="33"/>
      <c r="BO868" s="33"/>
      <c r="BP868" s="33"/>
      <c r="BQ868" s="33"/>
      <c r="BR868" s="33"/>
      <c r="BS868" s="33"/>
      <c r="BT868" s="33"/>
      <c r="BU868" s="33"/>
      <c r="BV868" s="33"/>
      <c r="BW868" s="33"/>
      <c r="BX868" s="33"/>
      <c r="BY868" s="33"/>
      <c r="BZ868" s="33"/>
      <c r="CA868" s="33"/>
      <c r="CB868" s="33"/>
      <c r="CC868" s="33"/>
      <c r="CD868" s="33"/>
      <c r="CE868" s="33"/>
      <c r="CF868" s="33"/>
      <c r="CG868" s="33"/>
      <c r="CH868" s="33"/>
      <c r="CI868" s="33"/>
      <c r="CJ868" s="33"/>
      <c r="CK868" s="33"/>
      <c r="CL868" s="33"/>
      <c r="CM868" s="33"/>
      <c r="CN868" s="33"/>
      <c r="CO868" s="33"/>
      <c r="CP868" s="33"/>
      <c r="CQ868" s="33"/>
      <c r="CR868" s="33"/>
      <c r="CS868" s="33"/>
      <c r="CT868" s="33"/>
      <c r="CU868" s="33"/>
      <c r="CV868" s="33"/>
      <c r="CW868" s="33"/>
      <c r="CX868" s="33"/>
      <c r="CY868" s="33"/>
      <c r="CZ868" s="33"/>
      <c r="DA868" s="33"/>
      <c r="DB868" s="33"/>
      <c r="DC868" s="33"/>
      <c r="DD868" s="33"/>
      <c r="DE868" s="33"/>
      <c r="DF868" s="33"/>
      <c r="DG868" s="33"/>
      <c r="DH868" s="33"/>
      <c r="DI868" s="33"/>
      <c r="DJ868" s="33"/>
      <c r="DK868" s="33"/>
      <c r="DL868" s="33"/>
      <c r="DM868" s="33"/>
      <c r="DN868" s="33"/>
      <c r="DO868" s="33"/>
      <c r="DP868" s="33"/>
      <c r="DQ868" s="33"/>
      <c r="DR868" s="33"/>
      <c r="DS868" s="33"/>
      <c r="DT868" s="33"/>
      <c r="DU868" s="33"/>
      <c r="DV868" s="33"/>
      <c r="DW868" s="33"/>
      <c r="DX868" s="33"/>
      <c r="DY868" s="33"/>
      <c r="DZ868" s="33"/>
      <c r="EA868" s="33"/>
      <c r="EB868" s="33"/>
      <c r="EC868" s="33"/>
      <c r="ED868" s="33"/>
      <c r="EE868" s="33"/>
      <c r="EF868" s="33"/>
      <c r="EG868" s="33"/>
      <c r="EH868" s="33"/>
      <c r="EI868" s="33"/>
      <c r="EJ868" s="33"/>
      <c r="EK868" s="33"/>
      <c r="EL868" s="33"/>
      <c r="EM868" s="33"/>
      <c r="EN868" s="33"/>
      <c r="EO868" s="33"/>
      <c r="EP868" s="33"/>
      <c r="EQ868" s="33"/>
      <c r="ER868" s="33"/>
      <c r="ES868" s="33"/>
    </row>
    <row r="869">
      <c r="A869" s="33"/>
      <c r="B869" s="33"/>
      <c r="C869" s="33"/>
      <c r="D869" s="33"/>
      <c r="E869" s="33"/>
      <c r="F869" s="33"/>
      <c r="G869" s="85"/>
      <c r="H869" s="85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33"/>
      <c r="Y869" s="33"/>
      <c r="Z869" s="33"/>
      <c r="AA869" s="33"/>
      <c r="AB869" s="33"/>
      <c r="AC869" s="33"/>
      <c r="AD869" s="33"/>
      <c r="AE869" s="33"/>
      <c r="AF869" s="33"/>
      <c r="AG869" s="33"/>
      <c r="AH869" s="33"/>
      <c r="AI869" s="33"/>
      <c r="AJ869" s="33"/>
      <c r="AK869" s="33"/>
      <c r="AL869" s="33"/>
      <c r="AM869" s="33"/>
      <c r="AN869" s="33"/>
      <c r="AO869" s="33"/>
      <c r="AP869" s="33"/>
      <c r="AQ869" s="33"/>
      <c r="AR869" s="33"/>
      <c r="AS869" s="33"/>
      <c r="AT869" s="33"/>
      <c r="AU869" s="33"/>
      <c r="AV869" s="33"/>
      <c r="AW869" s="33"/>
      <c r="AX869" s="33"/>
      <c r="AY869" s="33"/>
      <c r="AZ869" s="33"/>
      <c r="BA869" s="33"/>
      <c r="BB869" s="33"/>
      <c r="BC869" s="33"/>
      <c r="BD869" s="33"/>
      <c r="BE869" s="33"/>
      <c r="BF869" s="33"/>
      <c r="BG869" s="33"/>
      <c r="BH869" s="33"/>
      <c r="BI869" s="33"/>
      <c r="BJ869" s="33"/>
      <c r="BK869" s="33"/>
      <c r="BL869" s="33"/>
      <c r="BM869" s="33"/>
      <c r="BN869" s="33"/>
      <c r="BO869" s="33"/>
      <c r="BP869" s="33"/>
      <c r="BQ869" s="33"/>
      <c r="BR869" s="33"/>
      <c r="BS869" s="33"/>
      <c r="BT869" s="33"/>
      <c r="BU869" s="33"/>
      <c r="BV869" s="33"/>
      <c r="BW869" s="33"/>
      <c r="BX869" s="33"/>
      <c r="BY869" s="33"/>
      <c r="BZ869" s="33"/>
      <c r="CA869" s="33"/>
      <c r="CB869" s="33"/>
      <c r="CC869" s="33"/>
      <c r="CD869" s="33"/>
      <c r="CE869" s="33"/>
      <c r="CF869" s="33"/>
      <c r="CG869" s="33"/>
      <c r="CH869" s="33"/>
      <c r="CI869" s="33"/>
      <c r="CJ869" s="33"/>
      <c r="CK869" s="33"/>
      <c r="CL869" s="33"/>
      <c r="CM869" s="33"/>
      <c r="CN869" s="33"/>
      <c r="CO869" s="33"/>
      <c r="CP869" s="33"/>
      <c r="CQ869" s="33"/>
      <c r="CR869" s="33"/>
      <c r="CS869" s="33"/>
      <c r="CT869" s="33"/>
      <c r="CU869" s="33"/>
      <c r="CV869" s="33"/>
      <c r="CW869" s="33"/>
      <c r="CX869" s="33"/>
      <c r="CY869" s="33"/>
      <c r="CZ869" s="33"/>
      <c r="DA869" s="33"/>
      <c r="DB869" s="33"/>
      <c r="DC869" s="33"/>
      <c r="DD869" s="33"/>
      <c r="DE869" s="33"/>
      <c r="DF869" s="33"/>
      <c r="DG869" s="33"/>
      <c r="DH869" s="33"/>
      <c r="DI869" s="33"/>
      <c r="DJ869" s="33"/>
      <c r="DK869" s="33"/>
      <c r="DL869" s="33"/>
      <c r="DM869" s="33"/>
      <c r="DN869" s="33"/>
      <c r="DO869" s="33"/>
      <c r="DP869" s="33"/>
      <c r="DQ869" s="33"/>
      <c r="DR869" s="33"/>
      <c r="DS869" s="33"/>
      <c r="DT869" s="33"/>
      <c r="DU869" s="33"/>
      <c r="DV869" s="33"/>
      <c r="DW869" s="33"/>
      <c r="DX869" s="33"/>
      <c r="DY869" s="33"/>
      <c r="DZ869" s="33"/>
      <c r="EA869" s="33"/>
      <c r="EB869" s="33"/>
      <c r="EC869" s="33"/>
      <c r="ED869" s="33"/>
      <c r="EE869" s="33"/>
      <c r="EF869" s="33"/>
      <c r="EG869" s="33"/>
      <c r="EH869" s="33"/>
      <c r="EI869" s="33"/>
      <c r="EJ869" s="33"/>
      <c r="EK869" s="33"/>
      <c r="EL869" s="33"/>
      <c r="EM869" s="33"/>
      <c r="EN869" s="33"/>
      <c r="EO869" s="33"/>
      <c r="EP869" s="33"/>
      <c r="EQ869" s="33"/>
      <c r="ER869" s="33"/>
      <c r="ES869" s="33"/>
    </row>
    <row r="870">
      <c r="A870" s="33"/>
      <c r="B870" s="33"/>
      <c r="C870" s="33"/>
      <c r="D870" s="33"/>
      <c r="E870" s="33"/>
      <c r="F870" s="33"/>
      <c r="G870" s="85"/>
      <c r="H870" s="85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  <c r="AK870" s="33"/>
      <c r="AL870" s="33"/>
      <c r="AM870" s="33"/>
      <c r="AN870" s="33"/>
      <c r="AO870" s="33"/>
      <c r="AP870" s="33"/>
      <c r="AQ870" s="33"/>
      <c r="AR870" s="33"/>
      <c r="AS870" s="33"/>
      <c r="AT870" s="33"/>
      <c r="AU870" s="33"/>
      <c r="AV870" s="33"/>
      <c r="AW870" s="33"/>
      <c r="AX870" s="33"/>
      <c r="AY870" s="33"/>
      <c r="AZ870" s="33"/>
      <c r="BA870" s="33"/>
      <c r="BB870" s="33"/>
      <c r="BC870" s="33"/>
      <c r="BD870" s="33"/>
      <c r="BE870" s="33"/>
      <c r="BF870" s="33"/>
      <c r="BG870" s="33"/>
      <c r="BH870" s="33"/>
      <c r="BI870" s="33"/>
      <c r="BJ870" s="33"/>
      <c r="BK870" s="33"/>
      <c r="BL870" s="33"/>
      <c r="BM870" s="33"/>
      <c r="BN870" s="33"/>
      <c r="BO870" s="33"/>
      <c r="BP870" s="33"/>
      <c r="BQ870" s="33"/>
      <c r="BR870" s="33"/>
      <c r="BS870" s="33"/>
      <c r="BT870" s="33"/>
      <c r="BU870" s="33"/>
      <c r="BV870" s="33"/>
      <c r="BW870" s="33"/>
      <c r="BX870" s="33"/>
      <c r="BY870" s="33"/>
      <c r="BZ870" s="33"/>
      <c r="CA870" s="33"/>
      <c r="CB870" s="33"/>
      <c r="CC870" s="33"/>
      <c r="CD870" s="33"/>
      <c r="CE870" s="33"/>
      <c r="CF870" s="33"/>
      <c r="CG870" s="33"/>
      <c r="CH870" s="33"/>
      <c r="CI870" s="33"/>
      <c r="CJ870" s="33"/>
      <c r="CK870" s="33"/>
      <c r="CL870" s="33"/>
      <c r="CM870" s="33"/>
      <c r="CN870" s="33"/>
      <c r="CO870" s="33"/>
      <c r="CP870" s="33"/>
      <c r="CQ870" s="33"/>
      <c r="CR870" s="33"/>
      <c r="CS870" s="33"/>
      <c r="CT870" s="33"/>
      <c r="CU870" s="33"/>
      <c r="CV870" s="33"/>
      <c r="CW870" s="33"/>
      <c r="CX870" s="33"/>
      <c r="CY870" s="33"/>
      <c r="CZ870" s="33"/>
      <c r="DA870" s="33"/>
      <c r="DB870" s="33"/>
      <c r="DC870" s="33"/>
      <c r="DD870" s="33"/>
      <c r="DE870" s="33"/>
      <c r="DF870" s="33"/>
      <c r="DG870" s="33"/>
      <c r="DH870" s="33"/>
      <c r="DI870" s="33"/>
      <c r="DJ870" s="33"/>
      <c r="DK870" s="33"/>
      <c r="DL870" s="33"/>
      <c r="DM870" s="33"/>
      <c r="DN870" s="33"/>
      <c r="DO870" s="33"/>
      <c r="DP870" s="33"/>
      <c r="DQ870" s="33"/>
      <c r="DR870" s="33"/>
      <c r="DS870" s="33"/>
      <c r="DT870" s="33"/>
      <c r="DU870" s="33"/>
      <c r="DV870" s="33"/>
      <c r="DW870" s="33"/>
      <c r="DX870" s="33"/>
      <c r="DY870" s="33"/>
      <c r="DZ870" s="33"/>
      <c r="EA870" s="33"/>
      <c r="EB870" s="33"/>
      <c r="EC870" s="33"/>
      <c r="ED870" s="33"/>
      <c r="EE870" s="33"/>
      <c r="EF870" s="33"/>
      <c r="EG870" s="33"/>
      <c r="EH870" s="33"/>
      <c r="EI870" s="33"/>
      <c r="EJ870" s="33"/>
      <c r="EK870" s="33"/>
      <c r="EL870" s="33"/>
      <c r="EM870" s="33"/>
      <c r="EN870" s="33"/>
      <c r="EO870" s="33"/>
      <c r="EP870" s="33"/>
      <c r="EQ870" s="33"/>
      <c r="ER870" s="33"/>
      <c r="ES870" s="33"/>
    </row>
    <row r="871">
      <c r="A871" s="33"/>
      <c r="B871" s="33"/>
      <c r="C871" s="33"/>
      <c r="D871" s="33"/>
      <c r="E871" s="33"/>
      <c r="F871" s="33"/>
      <c r="G871" s="85"/>
      <c r="H871" s="85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  <c r="AK871" s="33"/>
      <c r="AL871" s="33"/>
      <c r="AM871" s="33"/>
      <c r="AN871" s="33"/>
      <c r="AO871" s="33"/>
      <c r="AP871" s="33"/>
      <c r="AQ871" s="33"/>
      <c r="AR871" s="33"/>
      <c r="AS871" s="33"/>
      <c r="AT871" s="33"/>
      <c r="AU871" s="33"/>
      <c r="AV871" s="33"/>
      <c r="AW871" s="33"/>
      <c r="AX871" s="33"/>
      <c r="AY871" s="33"/>
      <c r="AZ871" s="33"/>
      <c r="BA871" s="33"/>
      <c r="BB871" s="33"/>
      <c r="BC871" s="33"/>
      <c r="BD871" s="33"/>
      <c r="BE871" s="33"/>
      <c r="BF871" s="33"/>
      <c r="BG871" s="33"/>
      <c r="BH871" s="33"/>
      <c r="BI871" s="33"/>
      <c r="BJ871" s="33"/>
      <c r="BK871" s="33"/>
      <c r="BL871" s="33"/>
      <c r="BM871" s="33"/>
      <c r="BN871" s="33"/>
      <c r="BO871" s="33"/>
      <c r="BP871" s="33"/>
      <c r="BQ871" s="33"/>
      <c r="BR871" s="33"/>
      <c r="BS871" s="33"/>
      <c r="BT871" s="33"/>
      <c r="BU871" s="33"/>
      <c r="BV871" s="33"/>
      <c r="BW871" s="33"/>
      <c r="BX871" s="33"/>
      <c r="BY871" s="33"/>
      <c r="BZ871" s="33"/>
      <c r="CA871" s="33"/>
      <c r="CB871" s="33"/>
      <c r="CC871" s="33"/>
      <c r="CD871" s="33"/>
      <c r="CE871" s="33"/>
      <c r="CF871" s="33"/>
      <c r="CG871" s="33"/>
      <c r="CH871" s="33"/>
      <c r="CI871" s="33"/>
      <c r="CJ871" s="33"/>
      <c r="CK871" s="33"/>
      <c r="CL871" s="33"/>
      <c r="CM871" s="33"/>
      <c r="CN871" s="33"/>
      <c r="CO871" s="33"/>
      <c r="CP871" s="33"/>
      <c r="CQ871" s="33"/>
      <c r="CR871" s="33"/>
      <c r="CS871" s="33"/>
      <c r="CT871" s="33"/>
      <c r="CU871" s="33"/>
      <c r="CV871" s="33"/>
      <c r="CW871" s="33"/>
      <c r="CX871" s="33"/>
      <c r="CY871" s="33"/>
      <c r="CZ871" s="33"/>
      <c r="DA871" s="33"/>
      <c r="DB871" s="33"/>
      <c r="DC871" s="33"/>
      <c r="DD871" s="33"/>
      <c r="DE871" s="33"/>
      <c r="DF871" s="33"/>
      <c r="DG871" s="33"/>
      <c r="DH871" s="33"/>
      <c r="DI871" s="33"/>
      <c r="DJ871" s="33"/>
      <c r="DK871" s="33"/>
      <c r="DL871" s="33"/>
      <c r="DM871" s="33"/>
      <c r="DN871" s="33"/>
      <c r="DO871" s="33"/>
      <c r="DP871" s="33"/>
      <c r="DQ871" s="33"/>
      <c r="DR871" s="33"/>
      <c r="DS871" s="33"/>
      <c r="DT871" s="33"/>
      <c r="DU871" s="33"/>
      <c r="DV871" s="33"/>
      <c r="DW871" s="33"/>
      <c r="DX871" s="33"/>
      <c r="DY871" s="33"/>
      <c r="DZ871" s="33"/>
      <c r="EA871" s="33"/>
      <c r="EB871" s="33"/>
      <c r="EC871" s="33"/>
      <c r="ED871" s="33"/>
      <c r="EE871" s="33"/>
      <c r="EF871" s="33"/>
      <c r="EG871" s="33"/>
      <c r="EH871" s="33"/>
      <c r="EI871" s="33"/>
      <c r="EJ871" s="33"/>
      <c r="EK871" s="33"/>
      <c r="EL871" s="33"/>
      <c r="EM871" s="33"/>
      <c r="EN871" s="33"/>
      <c r="EO871" s="33"/>
      <c r="EP871" s="33"/>
      <c r="EQ871" s="33"/>
      <c r="ER871" s="33"/>
      <c r="ES871" s="33"/>
    </row>
    <row r="872">
      <c r="A872" s="33"/>
      <c r="B872" s="33"/>
      <c r="C872" s="33"/>
      <c r="D872" s="33"/>
      <c r="E872" s="33"/>
      <c r="F872" s="33"/>
      <c r="G872" s="85"/>
      <c r="H872" s="85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33"/>
      <c r="Y872" s="33"/>
      <c r="Z872" s="33"/>
      <c r="AA872" s="33"/>
      <c r="AB872" s="33"/>
      <c r="AC872" s="33"/>
      <c r="AD872" s="33"/>
      <c r="AE872" s="33"/>
      <c r="AF872" s="33"/>
      <c r="AG872" s="33"/>
      <c r="AH872" s="33"/>
      <c r="AI872" s="33"/>
      <c r="AJ872" s="33"/>
      <c r="AK872" s="33"/>
      <c r="AL872" s="33"/>
      <c r="AM872" s="33"/>
      <c r="AN872" s="33"/>
      <c r="AO872" s="33"/>
      <c r="AP872" s="33"/>
      <c r="AQ872" s="33"/>
      <c r="AR872" s="33"/>
      <c r="AS872" s="33"/>
      <c r="AT872" s="33"/>
      <c r="AU872" s="33"/>
      <c r="AV872" s="33"/>
      <c r="AW872" s="33"/>
      <c r="AX872" s="33"/>
      <c r="AY872" s="33"/>
      <c r="AZ872" s="33"/>
      <c r="BA872" s="33"/>
      <c r="BB872" s="33"/>
      <c r="BC872" s="33"/>
      <c r="BD872" s="33"/>
      <c r="BE872" s="33"/>
      <c r="BF872" s="33"/>
      <c r="BG872" s="33"/>
      <c r="BH872" s="33"/>
      <c r="BI872" s="33"/>
      <c r="BJ872" s="33"/>
      <c r="BK872" s="33"/>
      <c r="BL872" s="33"/>
      <c r="BM872" s="33"/>
      <c r="BN872" s="33"/>
      <c r="BO872" s="33"/>
      <c r="BP872" s="33"/>
      <c r="BQ872" s="33"/>
      <c r="BR872" s="33"/>
      <c r="BS872" s="33"/>
      <c r="BT872" s="33"/>
      <c r="BU872" s="33"/>
      <c r="BV872" s="33"/>
      <c r="BW872" s="33"/>
      <c r="BX872" s="33"/>
      <c r="BY872" s="33"/>
      <c r="BZ872" s="33"/>
      <c r="CA872" s="33"/>
      <c r="CB872" s="33"/>
      <c r="CC872" s="33"/>
      <c r="CD872" s="33"/>
      <c r="CE872" s="33"/>
      <c r="CF872" s="33"/>
      <c r="CG872" s="33"/>
      <c r="CH872" s="33"/>
      <c r="CI872" s="33"/>
      <c r="CJ872" s="33"/>
      <c r="CK872" s="33"/>
      <c r="CL872" s="33"/>
      <c r="CM872" s="33"/>
      <c r="CN872" s="33"/>
      <c r="CO872" s="33"/>
      <c r="CP872" s="33"/>
      <c r="CQ872" s="33"/>
      <c r="CR872" s="33"/>
      <c r="CS872" s="33"/>
      <c r="CT872" s="33"/>
      <c r="CU872" s="33"/>
      <c r="CV872" s="33"/>
      <c r="CW872" s="33"/>
      <c r="CX872" s="33"/>
      <c r="CY872" s="33"/>
      <c r="CZ872" s="33"/>
      <c r="DA872" s="33"/>
      <c r="DB872" s="33"/>
      <c r="DC872" s="33"/>
      <c r="DD872" s="33"/>
      <c r="DE872" s="33"/>
      <c r="DF872" s="33"/>
      <c r="DG872" s="33"/>
      <c r="DH872" s="33"/>
      <c r="DI872" s="33"/>
      <c r="DJ872" s="33"/>
      <c r="DK872" s="33"/>
      <c r="DL872" s="33"/>
      <c r="DM872" s="33"/>
      <c r="DN872" s="33"/>
      <c r="DO872" s="33"/>
      <c r="DP872" s="33"/>
      <c r="DQ872" s="33"/>
      <c r="DR872" s="33"/>
      <c r="DS872" s="33"/>
      <c r="DT872" s="33"/>
      <c r="DU872" s="33"/>
      <c r="DV872" s="33"/>
      <c r="DW872" s="33"/>
      <c r="DX872" s="33"/>
      <c r="DY872" s="33"/>
      <c r="DZ872" s="33"/>
      <c r="EA872" s="33"/>
      <c r="EB872" s="33"/>
      <c r="EC872" s="33"/>
      <c r="ED872" s="33"/>
      <c r="EE872" s="33"/>
      <c r="EF872" s="33"/>
      <c r="EG872" s="33"/>
      <c r="EH872" s="33"/>
      <c r="EI872" s="33"/>
      <c r="EJ872" s="33"/>
      <c r="EK872" s="33"/>
      <c r="EL872" s="33"/>
      <c r="EM872" s="33"/>
      <c r="EN872" s="33"/>
      <c r="EO872" s="33"/>
      <c r="EP872" s="33"/>
      <c r="EQ872" s="33"/>
      <c r="ER872" s="33"/>
      <c r="ES872" s="33"/>
    </row>
    <row r="873">
      <c r="A873" s="33"/>
      <c r="B873" s="33"/>
      <c r="C873" s="33"/>
      <c r="D873" s="33"/>
      <c r="E873" s="33"/>
      <c r="F873" s="33"/>
      <c r="G873" s="85"/>
      <c r="H873" s="85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33"/>
      <c r="Y873" s="33"/>
      <c r="Z873" s="33"/>
      <c r="AA873" s="33"/>
      <c r="AB873" s="33"/>
      <c r="AC873" s="33"/>
      <c r="AD873" s="33"/>
      <c r="AE873" s="33"/>
      <c r="AF873" s="33"/>
      <c r="AG873" s="33"/>
      <c r="AH873" s="33"/>
      <c r="AI873" s="33"/>
      <c r="AJ873" s="33"/>
      <c r="AK873" s="33"/>
      <c r="AL873" s="33"/>
      <c r="AM873" s="33"/>
      <c r="AN873" s="33"/>
      <c r="AO873" s="33"/>
      <c r="AP873" s="33"/>
      <c r="AQ873" s="33"/>
      <c r="AR873" s="33"/>
      <c r="AS873" s="33"/>
      <c r="AT873" s="33"/>
      <c r="AU873" s="33"/>
      <c r="AV873" s="33"/>
      <c r="AW873" s="33"/>
      <c r="AX873" s="33"/>
      <c r="AY873" s="33"/>
      <c r="AZ873" s="33"/>
      <c r="BA873" s="33"/>
      <c r="BB873" s="33"/>
      <c r="BC873" s="33"/>
      <c r="BD873" s="33"/>
      <c r="BE873" s="33"/>
      <c r="BF873" s="33"/>
      <c r="BG873" s="33"/>
      <c r="BH873" s="33"/>
      <c r="BI873" s="33"/>
      <c r="BJ873" s="33"/>
      <c r="BK873" s="33"/>
      <c r="BL873" s="33"/>
      <c r="BM873" s="33"/>
      <c r="BN873" s="33"/>
      <c r="BO873" s="33"/>
      <c r="BP873" s="33"/>
      <c r="BQ873" s="33"/>
      <c r="BR873" s="33"/>
      <c r="BS873" s="33"/>
      <c r="BT873" s="33"/>
      <c r="BU873" s="33"/>
      <c r="BV873" s="33"/>
      <c r="BW873" s="33"/>
      <c r="BX873" s="33"/>
      <c r="BY873" s="33"/>
      <c r="BZ873" s="33"/>
      <c r="CA873" s="33"/>
      <c r="CB873" s="33"/>
      <c r="CC873" s="33"/>
      <c r="CD873" s="33"/>
      <c r="CE873" s="33"/>
      <c r="CF873" s="33"/>
      <c r="CG873" s="33"/>
      <c r="CH873" s="33"/>
      <c r="CI873" s="33"/>
      <c r="CJ873" s="33"/>
      <c r="CK873" s="33"/>
      <c r="CL873" s="33"/>
      <c r="CM873" s="33"/>
      <c r="CN873" s="33"/>
      <c r="CO873" s="33"/>
      <c r="CP873" s="33"/>
      <c r="CQ873" s="33"/>
      <c r="CR873" s="33"/>
      <c r="CS873" s="33"/>
      <c r="CT873" s="33"/>
      <c r="CU873" s="33"/>
      <c r="CV873" s="33"/>
      <c r="CW873" s="33"/>
      <c r="CX873" s="33"/>
      <c r="CY873" s="33"/>
      <c r="CZ873" s="33"/>
      <c r="DA873" s="33"/>
      <c r="DB873" s="33"/>
      <c r="DC873" s="33"/>
      <c r="DD873" s="33"/>
      <c r="DE873" s="33"/>
      <c r="DF873" s="33"/>
      <c r="DG873" s="33"/>
      <c r="DH873" s="33"/>
      <c r="DI873" s="33"/>
      <c r="DJ873" s="33"/>
      <c r="DK873" s="33"/>
      <c r="DL873" s="33"/>
      <c r="DM873" s="33"/>
      <c r="DN873" s="33"/>
      <c r="DO873" s="33"/>
      <c r="DP873" s="33"/>
      <c r="DQ873" s="33"/>
      <c r="DR873" s="33"/>
      <c r="DS873" s="33"/>
      <c r="DT873" s="33"/>
      <c r="DU873" s="33"/>
      <c r="DV873" s="33"/>
      <c r="DW873" s="33"/>
      <c r="DX873" s="33"/>
      <c r="DY873" s="33"/>
      <c r="DZ873" s="33"/>
      <c r="EA873" s="33"/>
      <c r="EB873" s="33"/>
      <c r="EC873" s="33"/>
      <c r="ED873" s="33"/>
      <c r="EE873" s="33"/>
      <c r="EF873" s="33"/>
      <c r="EG873" s="33"/>
      <c r="EH873" s="33"/>
      <c r="EI873" s="33"/>
      <c r="EJ873" s="33"/>
      <c r="EK873" s="33"/>
      <c r="EL873" s="33"/>
      <c r="EM873" s="33"/>
      <c r="EN873" s="33"/>
      <c r="EO873" s="33"/>
      <c r="EP873" s="33"/>
      <c r="EQ873" s="33"/>
      <c r="ER873" s="33"/>
      <c r="ES873" s="33"/>
    </row>
    <row r="874">
      <c r="A874" s="33"/>
      <c r="B874" s="33"/>
      <c r="C874" s="33"/>
      <c r="D874" s="33"/>
      <c r="E874" s="33"/>
      <c r="F874" s="33"/>
      <c r="G874" s="85"/>
      <c r="H874" s="85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33"/>
      <c r="Y874" s="33"/>
      <c r="Z874" s="33"/>
      <c r="AA874" s="33"/>
      <c r="AB874" s="33"/>
      <c r="AC874" s="33"/>
      <c r="AD874" s="33"/>
      <c r="AE874" s="33"/>
      <c r="AF874" s="33"/>
      <c r="AG874" s="33"/>
      <c r="AH874" s="33"/>
      <c r="AI874" s="33"/>
      <c r="AJ874" s="33"/>
      <c r="AK874" s="33"/>
      <c r="AL874" s="33"/>
      <c r="AM874" s="33"/>
      <c r="AN874" s="33"/>
      <c r="AO874" s="33"/>
      <c r="AP874" s="33"/>
      <c r="AQ874" s="33"/>
      <c r="AR874" s="33"/>
      <c r="AS874" s="33"/>
      <c r="AT874" s="33"/>
      <c r="AU874" s="33"/>
      <c r="AV874" s="33"/>
      <c r="AW874" s="33"/>
      <c r="AX874" s="33"/>
      <c r="AY874" s="33"/>
      <c r="AZ874" s="33"/>
      <c r="BA874" s="33"/>
      <c r="BB874" s="33"/>
      <c r="BC874" s="33"/>
      <c r="BD874" s="33"/>
      <c r="BE874" s="33"/>
      <c r="BF874" s="33"/>
      <c r="BG874" s="33"/>
      <c r="BH874" s="33"/>
      <c r="BI874" s="33"/>
      <c r="BJ874" s="33"/>
      <c r="BK874" s="33"/>
      <c r="BL874" s="33"/>
      <c r="BM874" s="33"/>
      <c r="BN874" s="33"/>
      <c r="BO874" s="33"/>
      <c r="BP874" s="33"/>
      <c r="BQ874" s="33"/>
      <c r="BR874" s="33"/>
      <c r="BS874" s="33"/>
      <c r="BT874" s="33"/>
      <c r="BU874" s="33"/>
      <c r="BV874" s="33"/>
      <c r="BW874" s="33"/>
      <c r="BX874" s="33"/>
      <c r="BY874" s="33"/>
      <c r="BZ874" s="33"/>
      <c r="CA874" s="33"/>
      <c r="CB874" s="33"/>
      <c r="CC874" s="33"/>
      <c r="CD874" s="33"/>
      <c r="CE874" s="33"/>
      <c r="CF874" s="33"/>
      <c r="CG874" s="33"/>
      <c r="CH874" s="33"/>
      <c r="CI874" s="33"/>
      <c r="CJ874" s="33"/>
      <c r="CK874" s="33"/>
      <c r="CL874" s="33"/>
      <c r="CM874" s="33"/>
      <c r="CN874" s="33"/>
      <c r="CO874" s="33"/>
      <c r="CP874" s="33"/>
      <c r="CQ874" s="33"/>
      <c r="CR874" s="33"/>
      <c r="CS874" s="33"/>
      <c r="CT874" s="33"/>
      <c r="CU874" s="33"/>
      <c r="CV874" s="33"/>
      <c r="CW874" s="33"/>
      <c r="CX874" s="33"/>
      <c r="CY874" s="33"/>
      <c r="CZ874" s="33"/>
      <c r="DA874" s="33"/>
      <c r="DB874" s="33"/>
      <c r="DC874" s="33"/>
      <c r="DD874" s="33"/>
      <c r="DE874" s="33"/>
      <c r="DF874" s="33"/>
      <c r="DG874" s="33"/>
      <c r="DH874" s="33"/>
      <c r="DI874" s="33"/>
      <c r="DJ874" s="33"/>
      <c r="DK874" s="33"/>
      <c r="DL874" s="33"/>
      <c r="DM874" s="33"/>
      <c r="DN874" s="33"/>
      <c r="DO874" s="33"/>
      <c r="DP874" s="33"/>
      <c r="DQ874" s="33"/>
      <c r="DR874" s="33"/>
      <c r="DS874" s="33"/>
      <c r="DT874" s="33"/>
      <c r="DU874" s="33"/>
      <c r="DV874" s="33"/>
      <c r="DW874" s="33"/>
      <c r="DX874" s="33"/>
      <c r="DY874" s="33"/>
      <c r="DZ874" s="33"/>
      <c r="EA874" s="33"/>
      <c r="EB874" s="33"/>
      <c r="EC874" s="33"/>
      <c r="ED874" s="33"/>
      <c r="EE874" s="33"/>
      <c r="EF874" s="33"/>
      <c r="EG874" s="33"/>
      <c r="EH874" s="33"/>
      <c r="EI874" s="33"/>
      <c r="EJ874" s="33"/>
      <c r="EK874" s="33"/>
      <c r="EL874" s="33"/>
      <c r="EM874" s="33"/>
      <c r="EN874" s="33"/>
      <c r="EO874" s="33"/>
      <c r="EP874" s="33"/>
      <c r="EQ874" s="33"/>
      <c r="ER874" s="33"/>
      <c r="ES874" s="33"/>
    </row>
    <row r="875">
      <c r="A875" s="33"/>
      <c r="B875" s="33"/>
      <c r="C875" s="33"/>
      <c r="D875" s="33"/>
      <c r="E875" s="33"/>
      <c r="F875" s="33"/>
      <c r="G875" s="85"/>
      <c r="H875" s="85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33"/>
      <c r="Y875" s="33"/>
      <c r="Z875" s="33"/>
      <c r="AA875" s="33"/>
      <c r="AB875" s="33"/>
      <c r="AC875" s="33"/>
      <c r="AD875" s="33"/>
      <c r="AE875" s="33"/>
      <c r="AF875" s="33"/>
      <c r="AG875" s="33"/>
      <c r="AH875" s="33"/>
      <c r="AI875" s="33"/>
      <c r="AJ875" s="33"/>
      <c r="AK875" s="33"/>
      <c r="AL875" s="33"/>
      <c r="AM875" s="33"/>
      <c r="AN875" s="33"/>
      <c r="AO875" s="33"/>
      <c r="AP875" s="33"/>
      <c r="AQ875" s="33"/>
      <c r="AR875" s="33"/>
      <c r="AS875" s="33"/>
      <c r="AT875" s="33"/>
      <c r="AU875" s="33"/>
      <c r="AV875" s="33"/>
      <c r="AW875" s="33"/>
      <c r="AX875" s="33"/>
      <c r="AY875" s="33"/>
      <c r="AZ875" s="33"/>
      <c r="BA875" s="33"/>
      <c r="BB875" s="33"/>
      <c r="BC875" s="33"/>
      <c r="BD875" s="33"/>
      <c r="BE875" s="33"/>
      <c r="BF875" s="33"/>
      <c r="BG875" s="33"/>
      <c r="BH875" s="33"/>
      <c r="BI875" s="33"/>
      <c r="BJ875" s="33"/>
      <c r="BK875" s="33"/>
      <c r="BL875" s="33"/>
      <c r="BM875" s="33"/>
      <c r="BN875" s="33"/>
      <c r="BO875" s="33"/>
      <c r="BP875" s="33"/>
      <c r="BQ875" s="33"/>
      <c r="BR875" s="33"/>
      <c r="BS875" s="33"/>
      <c r="BT875" s="33"/>
      <c r="BU875" s="33"/>
      <c r="BV875" s="33"/>
      <c r="BW875" s="33"/>
      <c r="BX875" s="33"/>
      <c r="BY875" s="33"/>
      <c r="BZ875" s="33"/>
      <c r="CA875" s="33"/>
      <c r="CB875" s="33"/>
      <c r="CC875" s="33"/>
      <c r="CD875" s="33"/>
      <c r="CE875" s="33"/>
      <c r="CF875" s="33"/>
      <c r="CG875" s="33"/>
      <c r="CH875" s="33"/>
      <c r="CI875" s="33"/>
      <c r="CJ875" s="33"/>
      <c r="CK875" s="33"/>
      <c r="CL875" s="33"/>
      <c r="CM875" s="33"/>
      <c r="CN875" s="33"/>
      <c r="CO875" s="33"/>
      <c r="CP875" s="33"/>
      <c r="CQ875" s="33"/>
      <c r="CR875" s="33"/>
      <c r="CS875" s="33"/>
      <c r="CT875" s="33"/>
      <c r="CU875" s="33"/>
      <c r="CV875" s="33"/>
      <c r="CW875" s="33"/>
      <c r="CX875" s="33"/>
      <c r="CY875" s="33"/>
      <c r="CZ875" s="33"/>
      <c r="DA875" s="33"/>
      <c r="DB875" s="33"/>
      <c r="DC875" s="33"/>
      <c r="DD875" s="33"/>
      <c r="DE875" s="33"/>
      <c r="DF875" s="33"/>
      <c r="DG875" s="33"/>
      <c r="DH875" s="33"/>
      <c r="DI875" s="33"/>
      <c r="DJ875" s="33"/>
      <c r="DK875" s="33"/>
      <c r="DL875" s="33"/>
      <c r="DM875" s="33"/>
      <c r="DN875" s="33"/>
      <c r="DO875" s="33"/>
      <c r="DP875" s="33"/>
      <c r="DQ875" s="33"/>
      <c r="DR875" s="33"/>
      <c r="DS875" s="33"/>
      <c r="DT875" s="33"/>
      <c r="DU875" s="33"/>
      <c r="DV875" s="33"/>
      <c r="DW875" s="33"/>
      <c r="DX875" s="33"/>
      <c r="DY875" s="33"/>
      <c r="DZ875" s="33"/>
      <c r="EA875" s="33"/>
      <c r="EB875" s="33"/>
      <c r="EC875" s="33"/>
      <c r="ED875" s="33"/>
      <c r="EE875" s="33"/>
      <c r="EF875" s="33"/>
      <c r="EG875" s="33"/>
      <c r="EH875" s="33"/>
      <c r="EI875" s="33"/>
      <c r="EJ875" s="33"/>
      <c r="EK875" s="33"/>
      <c r="EL875" s="33"/>
      <c r="EM875" s="33"/>
      <c r="EN875" s="33"/>
      <c r="EO875" s="33"/>
      <c r="EP875" s="33"/>
      <c r="EQ875" s="33"/>
      <c r="ER875" s="33"/>
      <c r="ES875" s="33"/>
    </row>
    <row r="876">
      <c r="A876" s="33"/>
      <c r="B876" s="33"/>
      <c r="C876" s="33"/>
      <c r="D876" s="33"/>
      <c r="E876" s="33"/>
      <c r="F876" s="33"/>
      <c r="G876" s="85"/>
      <c r="H876" s="85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33"/>
      <c r="Y876" s="33"/>
      <c r="Z876" s="33"/>
      <c r="AA876" s="33"/>
      <c r="AB876" s="33"/>
      <c r="AC876" s="33"/>
      <c r="AD876" s="33"/>
      <c r="AE876" s="33"/>
      <c r="AF876" s="33"/>
      <c r="AG876" s="33"/>
      <c r="AH876" s="33"/>
      <c r="AI876" s="33"/>
      <c r="AJ876" s="33"/>
      <c r="AK876" s="33"/>
      <c r="AL876" s="33"/>
      <c r="AM876" s="33"/>
      <c r="AN876" s="33"/>
      <c r="AO876" s="33"/>
      <c r="AP876" s="33"/>
      <c r="AQ876" s="33"/>
      <c r="AR876" s="33"/>
      <c r="AS876" s="33"/>
      <c r="AT876" s="33"/>
      <c r="AU876" s="33"/>
      <c r="AV876" s="33"/>
      <c r="AW876" s="33"/>
      <c r="AX876" s="33"/>
      <c r="AY876" s="33"/>
      <c r="AZ876" s="33"/>
      <c r="BA876" s="33"/>
      <c r="BB876" s="33"/>
      <c r="BC876" s="33"/>
      <c r="BD876" s="33"/>
      <c r="BE876" s="33"/>
      <c r="BF876" s="33"/>
      <c r="BG876" s="33"/>
      <c r="BH876" s="33"/>
      <c r="BI876" s="33"/>
      <c r="BJ876" s="33"/>
      <c r="BK876" s="33"/>
      <c r="BL876" s="33"/>
      <c r="BM876" s="33"/>
      <c r="BN876" s="33"/>
      <c r="BO876" s="33"/>
      <c r="BP876" s="33"/>
      <c r="BQ876" s="33"/>
      <c r="BR876" s="33"/>
      <c r="BS876" s="33"/>
      <c r="BT876" s="33"/>
      <c r="BU876" s="33"/>
      <c r="BV876" s="33"/>
      <c r="BW876" s="33"/>
      <c r="BX876" s="33"/>
      <c r="BY876" s="33"/>
      <c r="BZ876" s="33"/>
      <c r="CA876" s="33"/>
      <c r="CB876" s="33"/>
      <c r="CC876" s="33"/>
      <c r="CD876" s="33"/>
      <c r="CE876" s="33"/>
      <c r="CF876" s="33"/>
      <c r="CG876" s="33"/>
      <c r="CH876" s="33"/>
      <c r="CI876" s="33"/>
      <c r="CJ876" s="33"/>
      <c r="CK876" s="33"/>
      <c r="CL876" s="33"/>
      <c r="CM876" s="33"/>
      <c r="CN876" s="33"/>
      <c r="CO876" s="33"/>
      <c r="CP876" s="33"/>
      <c r="CQ876" s="33"/>
      <c r="CR876" s="33"/>
      <c r="CS876" s="33"/>
      <c r="CT876" s="33"/>
      <c r="CU876" s="33"/>
      <c r="CV876" s="33"/>
      <c r="CW876" s="33"/>
      <c r="CX876" s="33"/>
      <c r="CY876" s="33"/>
      <c r="CZ876" s="33"/>
      <c r="DA876" s="33"/>
      <c r="DB876" s="33"/>
      <c r="DC876" s="33"/>
      <c r="DD876" s="33"/>
      <c r="DE876" s="33"/>
      <c r="DF876" s="33"/>
      <c r="DG876" s="33"/>
      <c r="DH876" s="33"/>
      <c r="DI876" s="33"/>
      <c r="DJ876" s="33"/>
      <c r="DK876" s="33"/>
      <c r="DL876" s="33"/>
      <c r="DM876" s="33"/>
      <c r="DN876" s="33"/>
      <c r="DO876" s="33"/>
      <c r="DP876" s="33"/>
      <c r="DQ876" s="33"/>
      <c r="DR876" s="33"/>
      <c r="DS876" s="33"/>
      <c r="DT876" s="33"/>
      <c r="DU876" s="33"/>
      <c r="DV876" s="33"/>
      <c r="DW876" s="33"/>
      <c r="DX876" s="33"/>
      <c r="DY876" s="33"/>
      <c r="DZ876" s="33"/>
      <c r="EA876" s="33"/>
      <c r="EB876" s="33"/>
      <c r="EC876" s="33"/>
      <c r="ED876" s="33"/>
      <c r="EE876" s="33"/>
      <c r="EF876" s="33"/>
      <c r="EG876" s="33"/>
      <c r="EH876" s="33"/>
      <c r="EI876" s="33"/>
      <c r="EJ876" s="33"/>
      <c r="EK876" s="33"/>
      <c r="EL876" s="33"/>
      <c r="EM876" s="33"/>
      <c r="EN876" s="33"/>
      <c r="EO876" s="33"/>
      <c r="EP876" s="33"/>
      <c r="EQ876" s="33"/>
      <c r="ER876" s="33"/>
      <c r="ES876" s="33"/>
    </row>
    <row r="877">
      <c r="A877" s="33"/>
      <c r="B877" s="33"/>
      <c r="C877" s="33"/>
      <c r="D877" s="33"/>
      <c r="E877" s="33"/>
      <c r="F877" s="33"/>
      <c r="G877" s="85"/>
      <c r="H877" s="85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33"/>
      <c r="Y877" s="33"/>
      <c r="Z877" s="33"/>
      <c r="AA877" s="33"/>
      <c r="AB877" s="33"/>
      <c r="AC877" s="33"/>
      <c r="AD877" s="33"/>
      <c r="AE877" s="33"/>
      <c r="AF877" s="33"/>
      <c r="AG877" s="33"/>
      <c r="AH877" s="33"/>
      <c r="AI877" s="33"/>
      <c r="AJ877" s="33"/>
      <c r="AK877" s="33"/>
      <c r="AL877" s="33"/>
      <c r="AM877" s="33"/>
      <c r="AN877" s="33"/>
      <c r="AO877" s="33"/>
      <c r="AP877" s="33"/>
      <c r="AQ877" s="33"/>
      <c r="AR877" s="33"/>
      <c r="AS877" s="33"/>
      <c r="AT877" s="33"/>
      <c r="AU877" s="33"/>
      <c r="AV877" s="33"/>
      <c r="AW877" s="33"/>
      <c r="AX877" s="33"/>
      <c r="AY877" s="33"/>
      <c r="AZ877" s="33"/>
      <c r="BA877" s="33"/>
      <c r="BB877" s="33"/>
      <c r="BC877" s="33"/>
      <c r="BD877" s="33"/>
      <c r="BE877" s="33"/>
      <c r="BF877" s="33"/>
      <c r="BG877" s="33"/>
      <c r="BH877" s="33"/>
      <c r="BI877" s="33"/>
      <c r="BJ877" s="33"/>
      <c r="BK877" s="33"/>
      <c r="BL877" s="33"/>
      <c r="BM877" s="33"/>
      <c r="BN877" s="33"/>
      <c r="BO877" s="33"/>
      <c r="BP877" s="33"/>
      <c r="BQ877" s="33"/>
      <c r="BR877" s="33"/>
      <c r="BS877" s="33"/>
      <c r="BT877" s="33"/>
      <c r="BU877" s="33"/>
      <c r="BV877" s="33"/>
      <c r="BW877" s="33"/>
      <c r="BX877" s="33"/>
      <c r="BY877" s="33"/>
      <c r="BZ877" s="33"/>
      <c r="CA877" s="33"/>
      <c r="CB877" s="33"/>
      <c r="CC877" s="33"/>
      <c r="CD877" s="33"/>
      <c r="CE877" s="33"/>
      <c r="CF877" s="33"/>
      <c r="CG877" s="33"/>
      <c r="CH877" s="33"/>
      <c r="CI877" s="33"/>
      <c r="CJ877" s="33"/>
      <c r="CK877" s="33"/>
      <c r="CL877" s="33"/>
      <c r="CM877" s="33"/>
      <c r="CN877" s="33"/>
      <c r="CO877" s="33"/>
      <c r="CP877" s="33"/>
      <c r="CQ877" s="33"/>
      <c r="CR877" s="33"/>
      <c r="CS877" s="33"/>
      <c r="CT877" s="33"/>
      <c r="CU877" s="33"/>
      <c r="CV877" s="33"/>
      <c r="CW877" s="33"/>
      <c r="CX877" s="33"/>
      <c r="CY877" s="33"/>
      <c r="CZ877" s="33"/>
      <c r="DA877" s="33"/>
      <c r="DB877" s="33"/>
      <c r="DC877" s="33"/>
      <c r="DD877" s="33"/>
      <c r="DE877" s="33"/>
      <c r="DF877" s="33"/>
      <c r="DG877" s="33"/>
      <c r="DH877" s="33"/>
      <c r="DI877" s="33"/>
      <c r="DJ877" s="33"/>
      <c r="DK877" s="33"/>
      <c r="DL877" s="33"/>
      <c r="DM877" s="33"/>
      <c r="DN877" s="33"/>
      <c r="DO877" s="33"/>
      <c r="DP877" s="33"/>
      <c r="DQ877" s="33"/>
      <c r="DR877" s="33"/>
      <c r="DS877" s="33"/>
      <c r="DT877" s="33"/>
      <c r="DU877" s="33"/>
      <c r="DV877" s="33"/>
      <c r="DW877" s="33"/>
      <c r="DX877" s="33"/>
      <c r="DY877" s="33"/>
      <c r="DZ877" s="33"/>
      <c r="EA877" s="33"/>
      <c r="EB877" s="33"/>
      <c r="EC877" s="33"/>
      <c r="ED877" s="33"/>
      <c r="EE877" s="33"/>
      <c r="EF877" s="33"/>
      <c r="EG877" s="33"/>
      <c r="EH877" s="33"/>
      <c r="EI877" s="33"/>
      <c r="EJ877" s="33"/>
      <c r="EK877" s="33"/>
      <c r="EL877" s="33"/>
      <c r="EM877" s="33"/>
      <c r="EN877" s="33"/>
      <c r="EO877" s="33"/>
      <c r="EP877" s="33"/>
      <c r="EQ877" s="33"/>
      <c r="ER877" s="33"/>
      <c r="ES877" s="33"/>
    </row>
    <row r="878">
      <c r="A878" s="33"/>
      <c r="B878" s="33"/>
      <c r="C878" s="33"/>
      <c r="D878" s="33"/>
      <c r="E878" s="33"/>
      <c r="F878" s="33"/>
      <c r="G878" s="85"/>
      <c r="H878" s="85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33"/>
      <c r="Y878" s="33"/>
      <c r="Z878" s="33"/>
      <c r="AA878" s="33"/>
      <c r="AB878" s="33"/>
      <c r="AC878" s="33"/>
      <c r="AD878" s="33"/>
      <c r="AE878" s="33"/>
      <c r="AF878" s="33"/>
      <c r="AG878" s="33"/>
      <c r="AH878" s="33"/>
      <c r="AI878" s="33"/>
      <c r="AJ878" s="33"/>
      <c r="AK878" s="33"/>
      <c r="AL878" s="33"/>
      <c r="AM878" s="33"/>
      <c r="AN878" s="33"/>
      <c r="AO878" s="33"/>
      <c r="AP878" s="33"/>
      <c r="AQ878" s="33"/>
      <c r="AR878" s="33"/>
      <c r="AS878" s="33"/>
      <c r="AT878" s="33"/>
      <c r="AU878" s="33"/>
      <c r="AV878" s="33"/>
      <c r="AW878" s="33"/>
      <c r="AX878" s="33"/>
      <c r="AY878" s="33"/>
      <c r="AZ878" s="33"/>
      <c r="BA878" s="33"/>
      <c r="BB878" s="33"/>
      <c r="BC878" s="33"/>
      <c r="BD878" s="33"/>
      <c r="BE878" s="33"/>
      <c r="BF878" s="33"/>
      <c r="BG878" s="33"/>
      <c r="BH878" s="33"/>
      <c r="BI878" s="33"/>
      <c r="BJ878" s="33"/>
      <c r="BK878" s="33"/>
      <c r="BL878" s="33"/>
      <c r="BM878" s="33"/>
      <c r="BN878" s="33"/>
      <c r="BO878" s="33"/>
      <c r="BP878" s="33"/>
      <c r="BQ878" s="33"/>
      <c r="BR878" s="33"/>
      <c r="BS878" s="33"/>
      <c r="BT878" s="33"/>
      <c r="BU878" s="33"/>
      <c r="BV878" s="33"/>
      <c r="BW878" s="33"/>
      <c r="BX878" s="33"/>
      <c r="BY878" s="33"/>
      <c r="BZ878" s="33"/>
      <c r="CA878" s="33"/>
      <c r="CB878" s="33"/>
      <c r="CC878" s="33"/>
      <c r="CD878" s="33"/>
      <c r="CE878" s="33"/>
      <c r="CF878" s="33"/>
      <c r="CG878" s="33"/>
      <c r="CH878" s="33"/>
      <c r="CI878" s="33"/>
      <c r="CJ878" s="33"/>
      <c r="CK878" s="33"/>
      <c r="CL878" s="33"/>
      <c r="CM878" s="33"/>
      <c r="CN878" s="33"/>
      <c r="CO878" s="33"/>
      <c r="CP878" s="33"/>
      <c r="CQ878" s="33"/>
      <c r="CR878" s="33"/>
      <c r="CS878" s="33"/>
      <c r="CT878" s="33"/>
      <c r="CU878" s="33"/>
      <c r="CV878" s="33"/>
      <c r="CW878" s="33"/>
      <c r="CX878" s="33"/>
      <c r="CY878" s="33"/>
      <c r="CZ878" s="33"/>
      <c r="DA878" s="33"/>
      <c r="DB878" s="33"/>
      <c r="DC878" s="33"/>
      <c r="DD878" s="33"/>
      <c r="DE878" s="33"/>
      <c r="DF878" s="33"/>
      <c r="DG878" s="33"/>
      <c r="DH878" s="33"/>
      <c r="DI878" s="33"/>
      <c r="DJ878" s="33"/>
      <c r="DK878" s="33"/>
      <c r="DL878" s="33"/>
      <c r="DM878" s="33"/>
      <c r="DN878" s="33"/>
      <c r="DO878" s="33"/>
      <c r="DP878" s="33"/>
      <c r="DQ878" s="33"/>
      <c r="DR878" s="33"/>
      <c r="DS878" s="33"/>
      <c r="DT878" s="33"/>
      <c r="DU878" s="33"/>
      <c r="DV878" s="33"/>
      <c r="DW878" s="33"/>
      <c r="DX878" s="33"/>
      <c r="DY878" s="33"/>
      <c r="DZ878" s="33"/>
      <c r="EA878" s="33"/>
      <c r="EB878" s="33"/>
      <c r="EC878" s="33"/>
      <c r="ED878" s="33"/>
      <c r="EE878" s="33"/>
      <c r="EF878" s="33"/>
      <c r="EG878" s="33"/>
      <c r="EH878" s="33"/>
      <c r="EI878" s="33"/>
      <c r="EJ878" s="33"/>
      <c r="EK878" s="33"/>
      <c r="EL878" s="33"/>
      <c r="EM878" s="33"/>
      <c r="EN878" s="33"/>
      <c r="EO878" s="33"/>
      <c r="EP878" s="33"/>
      <c r="EQ878" s="33"/>
      <c r="ER878" s="33"/>
      <c r="ES878" s="33"/>
    </row>
    <row r="879">
      <c r="A879" s="33"/>
      <c r="B879" s="33"/>
      <c r="C879" s="33"/>
      <c r="D879" s="33"/>
      <c r="E879" s="33"/>
      <c r="F879" s="33"/>
      <c r="G879" s="85"/>
      <c r="H879" s="85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33"/>
      <c r="Y879" s="33"/>
      <c r="Z879" s="33"/>
      <c r="AA879" s="33"/>
      <c r="AB879" s="33"/>
      <c r="AC879" s="33"/>
      <c r="AD879" s="33"/>
      <c r="AE879" s="33"/>
      <c r="AF879" s="33"/>
      <c r="AG879" s="33"/>
      <c r="AH879" s="33"/>
      <c r="AI879" s="33"/>
      <c r="AJ879" s="33"/>
      <c r="AK879" s="33"/>
      <c r="AL879" s="33"/>
      <c r="AM879" s="33"/>
      <c r="AN879" s="33"/>
      <c r="AO879" s="33"/>
      <c r="AP879" s="33"/>
      <c r="AQ879" s="33"/>
      <c r="AR879" s="33"/>
      <c r="AS879" s="33"/>
      <c r="AT879" s="33"/>
      <c r="AU879" s="33"/>
      <c r="AV879" s="33"/>
      <c r="AW879" s="33"/>
      <c r="AX879" s="33"/>
      <c r="AY879" s="33"/>
      <c r="AZ879" s="33"/>
      <c r="BA879" s="33"/>
      <c r="BB879" s="33"/>
      <c r="BC879" s="33"/>
      <c r="BD879" s="33"/>
      <c r="BE879" s="33"/>
      <c r="BF879" s="33"/>
      <c r="BG879" s="33"/>
      <c r="BH879" s="33"/>
      <c r="BI879" s="33"/>
      <c r="BJ879" s="33"/>
      <c r="BK879" s="33"/>
      <c r="BL879" s="33"/>
      <c r="BM879" s="33"/>
      <c r="BN879" s="33"/>
      <c r="BO879" s="33"/>
      <c r="BP879" s="33"/>
      <c r="BQ879" s="33"/>
      <c r="BR879" s="33"/>
      <c r="BS879" s="33"/>
      <c r="BT879" s="33"/>
      <c r="BU879" s="33"/>
      <c r="BV879" s="33"/>
      <c r="BW879" s="33"/>
      <c r="BX879" s="33"/>
      <c r="BY879" s="33"/>
      <c r="BZ879" s="33"/>
      <c r="CA879" s="33"/>
      <c r="CB879" s="33"/>
      <c r="CC879" s="33"/>
      <c r="CD879" s="33"/>
      <c r="CE879" s="33"/>
      <c r="CF879" s="33"/>
      <c r="CG879" s="33"/>
      <c r="CH879" s="33"/>
      <c r="CI879" s="33"/>
      <c r="CJ879" s="33"/>
      <c r="CK879" s="33"/>
      <c r="CL879" s="33"/>
      <c r="CM879" s="33"/>
      <c r="CN879" s="33"/>
      <c r="CO879" s="33"/>
      <c r="CP879" s="33"/>
      <c r="CQ879" s="33"/>
      <c r="CR879" s="33"/>
      <c r="CS879" s="33"/>
      <c r="CT879" s="33"/>
      <c r="CU879" s="33"/>
      <c r="CV879" s="33"/>
      <c r="CW879" s="33"/>
      <c r="CX879" s="33"/>
      <c r="CY879" s="33"/>
      <c r="CZ879" s="33"/>
      <c r="DA879" s="33"/>
      <c r="DB879" s="33"/>
      <c r="DC879" s="33"/>
      <c r="DD879" s="33"/>
      <c r="DE879" s="33"/>
      <c r="DF879" s="33"/>
      <c r="DG879" s="33"/>
      <c r="DH879" s="33"/>
      <c r="DI879" s="33"/>
      <c r="DJ879" s="33"/>
      <c r="DK879" s="33"/>
      <c r="DL879" s="33"/>
      <c r="DM879" s="33"/>
      <c r="DN879" s="33"/>
      <c r="DO879" s="33"/>
      <c r="DP879" s="33"/>
      <c r="DQ879" s="33"/>
      <c r="DR879" s="33"/>
      <c r="DS879" s="33"/>
      <c r="DT879" s="33"/>
      <c r="DU879" s="33"/>
      <c r="DV879" s="33"/>
      <c r="DW879" s="33"/>
      <c r="DX879" s="33"/>
      <c r="DY879" s="33"/>
      <c r="DZ879" s="33"/>
      <c r="EA879" s="33"/>
      <c r="EB879" s="33"/>
      <c r="EC879" s="33"/>
      <c r="ED879" s="33"/>
      <c r="EE879" s="33"/>
      <c r="EF879" s="33"/>
      <c r="EG879" s="33"/>
      <c r="EH879" s="33"/>
      <c r="EI879" s="33"/>
      <c r="EJ879" s="33"/>
      <c r="EK879" s="33"/>
      <c r="EL879" s="33"/>
      <c r="EM879" s="33"/>
      <c r="EN879" s="33"/>
      <c r="EO879" s="33"/>
      <c r="EP879" s="33"/>
      <c r="EQ879" s="33"/>
      <c r="ER879" s="33"/>
      <c r="ES879" s="33"/>
    </row>
    <row r="880">
      <c r="A880" s="33"/>
      <c r="B880" s="33"/>
      <c r="C880" s="33"/>
      <c r="D880" s="33"/>
      <c r="E880" s="33"/>
      <c r="F880" s="33"/>
      <c r="G880" s="85"/>
      <c r="H880" s="85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33"/>
      <c r="Y880" s="33"/>
      <c r="Z880" s="33"/>
      <c r="AA880" s="33"/>
      <c r="AB880" s="33"/>
      <c r="AC880" s="33"/>
      <c r="AD880" s="33"/>
      <c r="AE880" s="33"/>
      <c r="AF880" s="33"/>
      <c r="AG880" s="33"/>
      <c r="AH880" s="33"/>
      <c r="AI880" s="33"/>
      <c r="AJ880" s="33"/>
      <c r="AK880" s="33"/>
      <c r="AL880" s="33"/>
      <c r="AM880" s="33"/>
      <c r="AN880" s="33"/>
      <c r="AO880" s="33"/>
      <c r="AP880" s="33"/>
      <c r="AQ880" s="33"/>
      <c r="AR880" s="33"/>
      <c r="AS880" s="33"/>
      <c r="AT880" s="33"/>
      <c r="AU880" s="33"/>
      <c r="AV880" s="33"/>
      <c r="AW880" s="33"/>
      <c r="AX880" s="33"/>
      <c r="AY880" s="33"/>
      <c r="AZ880" s="33"/>
      <c r="BA880" s="33"/>
      <c r="BB880" s="33"/>
      <c r="BC880" s="33"/>
      <c r="BD880" s="33"/>
      <c r="BE880" s="33"/>
      <c r="BF880" s="33"/>
      <c r="BG880" s="33"/>
      <c r="BH880" s="33"/>
      <c r="BI880" s="33"/>
      <c r="BJ880" s="33"/>
      <c r="BK880" s="33"/>
      <c r="BL880" s="33"/>
      <c r="BM880" s="33"/>
      <c r="BN880" s="33"/>
      <c r="BO880" s="33"/>
      <c r="BP880" s="33"/>
      <c r="BQ880" s="33"/>
      <c r="BR880" s="33"/>
      <c r="BS880" s="33"/>
      <c r="BT880" s="33"/>
      <c r="BU880" s="33"/>
      <c r="BV880" s="33"/>
      <c r="BW880" s="33"/>
      <c r="BX880" s="33"/>
      <c r="BY880" s="33"/>
      <c r="BZ880" s="33"/>
      <c r="CA880" s="33"/>
      <c r="CB880" s="33"/>
      <c r="CC880" s="33"/>
      <c r="CD880" s="33"/>
      <c r="CE880" s="33"/>
      <c r="CF880" s="33"/>
      <c r="CG880" s="33"/>
      <c r="CH880" s="33"/>
      <c r="CI880" s="33"/>
      <c r="CJ880" s="33"/>
      <c r="CK880" s="33"/>
      <c r="CL880" s="33"/>
      <c r="CM880" s="33"/>
      <c r="CN880" s="33"/>
      <c r="CO880" s="33"/>
      <c r="CP880" s="33"/>
      <c r="CQ880" s="33"/>
      <c r="CR880" s="33"/>
      <c r="CS880" s="33"/>
      <c r="CT880" s="33"/>
      <c r="CU880" s="33"/>
      <c r="CV880" s="33"/>
      <c r="CW880" s="33"/>
      <c r="CX880" s="33"/>
      <c r="CY880" s="33"/>
      <c r="CZ880" s="33"/>
      <c r="DA880" s="33"/>
      <c r="DB880" s="33"/>
      <c r="DC880" s="33"/>
      <c r="DD880" s="33"/>
      <c r="DE880" s="33"/>
      <c r="DF880" s="33"/>
      <c r="DG880" s="33"/>
      <c r="DH880" s="33"/>
      <c r="DI880" s="33"/>
      <c r="DJ880" s="33"/>
      <c r="DK880" s="33"/>
      <c r="DL880" s="33"/>
      <c r="DM880" s="33"/>
      <c r="DN880" s="33"/>
      <c r="DO880" s="33"/>
      <c r="DP880" s="33"/>
      <c r="DQ880" s="33"/>
      <c r="DR880" s="33"/>
      <c r="DS880" s="33"/>
      <c r="DT880" s="33"/>
      <c r="DU880" s="33"/>
      <c r="DV880" s="33"/>
      <c r="DW880" s="33"/>
      <c r="DX880" s="33"/>
      <c r="DY880" s="33"/>
      <c r="DZ880" s="33"/>
      <c r="EA880" s="33"/>
      <c r="EB880" s="33"/>
      <c r="EC880" s="33"/>
      <c r="ED880" s="33"/>
      <c r="EE880" s="33"/>
      <c r="EF880" s="33"/>
      <c r="EG880" s="33"/>
      <c r="EH880" s="33"/>
      <c r="EI880" s="33"/>
      <c r="EJ880" s="33"/>
      <c r="EK880" s="33"/>
      <c r="EL880" s="33"/>
      <c r="EM880" s="33"/>
      <c r="EN880" s="33"/>
      <c r="EO880" s="33"/>
      <c r="EP880" s="33"/>
      <c r="EQ880" s="33"/>
      <c r="ER880" s="33"/>
      <c r="ES880" s="33"/>
    </row>
    <row r="881">
      <c r="A881" s="33"/>
      <c r="B881" s="33"/>
      <c r="C881" s="33"/>
      <c r="D881" s="33"/>
      <c r="E881" s="33"/>
      <c r="F881" s="33"/>
      <c r="G881" s="85"/>
      <c r="H881" s="85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33"/>
      <c r="Y881" s="33"/>
      <c r="Z881" s="33"/>
      <c r="AA881" s="33"/>
      <c r="AB881" s="33"/>
      <c r="AC881" s="33"/>
      <c r="AD881" s="33"/>
      <c r="AE881" s="33"/>
      <c r="AF881" s="33"/>
      <c r="AG881" s="33"/>
      <c r="AH881" s="33"/>
      <c r="AI881" s="33"/>
      <c r="AJ881" s="33"/>
      <c r="AK881" s="33"/>
      <c r="AL881" s="33"/>
      <c r="AM881" s="33"/>
      <c r="AN881" s="33"/>
      <c r="AO881" s="33"/>
      <c r="AP881" s="33"/>
      <c r="AQ881" s="33"/>
      <c r="AR881" s="33"/>
      <c r="AS881" s="33"/>
      <c r="AT881" s="33"/>
      <c r="AU881" s="33"/>
      <c r="AV881" s="33"/>
      <c r="AW881" s="33"/>
      <c r="AX881" s="33"/>
      <c r="AY881" s="33"/>
      <c r="AZ881" s="33"/>
      <c r="BA881" s="33"/>
      <c r="BB881" s="33"/>
      <c r="BC881" s="33"/>
      <c r="BD881" s="33"/>
      <c r="BE881" s="33"/>
      <c r="BF881" s="33"/>
      <c r="BG881" s="33"/>
      <c r="BH881" s="33"/>
      <c r="BI881" s="33"/>
      <c r="BJ881" s="33"/>
      <c r="BK881" s="33"/>
      <c r="BL881" s="33"/>
      <c r="BM881" s="33"/>
      <c r="BN881" s="33"/>
      <c r="BO881" s="33"/>
      <c r="BP881" s="33"/>
      <c r="BQ881" s="33"/>
      <c r="BR881" s="33"/>
      <c r="BS881" s="33"/>
      <c r="BT881" s="33"/>
      <c r="BU881" s="33"/>
      <c r="BV881" s="33"/>
      <c r="BW881" s="33"/>
      <c r="BX881" s="33"/>
      <c r="BY881" s="33"/>
      <c r="BZ881" s="33"/>
      <c r="CA881" s="33"/>
      <c r="CB881" s="33"/>
      <c r="CC881" s="33"/>
      <c r="CD881" s="33"/>
      <c r="CE881" s="33"/>
      <c r="CF881" s="33"/>
      <c r="CG881" s="33"/>
      <c r="CH881" s="33"/>
      <c r="CI881" s="33"/>
      <c r="CJ881" s="33"/>
      <c r="CK881" s="33"/>
      <c r="CL881" s="33"/>
      <c r="CM881" s="33"/>
      <c r="CN881" s="33"/>
      <c r="CO881" s="33"/>
      <c r="CP881" s="33"/>
      <c r="CQ881" s="33"/>
      <c r="CR881" s="33"/>
      <c r="CS881" s="33"/>
      <c r="CT881" s="33"/>
      <c r="CU881" s="33"/>
      <c r="CV881" s="33"/>
      <c r="CW881" s="33"/>
      <c r="CX881" s="33"/>
      <c r="CY881" s="33"/>
      <c r="CZ881" s="33"/>
      <c r="DA881" s="33"/>
      <c r="DB881" s="33"/>
      <c r="DC881" s="33"/>
      <c r="DD881" s="33"/>
      <c r="DE881" s="33"/>
      <c r="DF881" s="33"/>
      <c r="DG881" s="33"/>
      <c r="DH881" s="33"/>
      <c r="DI881" s="33"/>
      <c r="DJ881" s="33"/>
      <c r="DK881" s="33"/>
      <c r="DL881" s="33"/>
      <c r="DM881" s="33"/>
      <c r="DN881" s="33"/>
      <c r="DO881" s="33"/>
      <c r="DP881" s="33"/>
      <c r="DQ881" s="33"/>
      <c r="DR881" s="33"/>
      <c r="DS881" s="33"/>
      <c r="DT881" s="33"/>
      <c r="DU881" s="33"/>
      <c r="DV881" s="33"/>
      <c r="DW881" s="33"/>
      <c r="DX881" s="33"/>
      <c r="DY881" s="33"/>
      <c r="DZ881" s="33"/>
      <c r="EA881" s="33"/>
      <c r="EB881" s="33"/>
      <c r="EC881" s="33"/>
      <c r="ED881" s="33"/>
      <c r="EE881" s="33"/>
      <c r="EF881" s="33"/>
      <c r="EG881" s="33"/>
      <c r="EH881" s="33"/>
      <c r="EI881" s="33"/>
      <c r="EJ881" s="33"/>
      <c r="EK881" s="33"/>
      <c r="EL881" s="33"/>
      <c r="EM881" s="33"/>
      <c r="EN881" s="33"/>
      <c r="EO881" s="33"/>
      <c r="EP881" s="33"/>
      <c r="EQ881" s="33"/>
      <c r="ER881" s="33"/>
      <c r="ES881" s="33"/>
    </row>
    <row r="882">
      <c r="A882" s="33"/>
      <c r="B882" s="33"/>
      <c r="C882" s="33"/>
      <c r="D882" s="33"/>
      <c r="E882" s="33"/>
      <c r="F882" s="33"/>
      <c r="G882" s="85"/>
      <c r="H882" s="85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33"/>
      <c r="Y882" s="33"/>
      <c r="Z882" s="33"/>
      <c r="AA882" s="33"/>
      <c r="AB882" s="33"/>
      <c r="AC882" s="33"/>
      <c r="AD882" s="33"/>
      <c r="AE882" s="33"/>
      <c r="AF882" s="33"/>
      <c r="AG882" s="33"/>
      <c r="AH882" s="33"/>
      <c r="AI882" s="33"/>
      <c r="AJ882" s="33"/>
      <c r="AK882" s="33"/>
      <c r="AL882" s="33"/>
      <c r="AM882" s="33"/>
      <c r="AN882" s="33"/>
      <c r="AO882" s="33"/>
      <c r="AP882" s="33"/>
      <c r="AQ882" s="33"/>
      <c r="AR882" s="33"/>
      <c r="AS882" s="33"/>
      <c r="AT882" s="33"/>
      <c r="AU882" s="33"/>
      <c r="AV882" s="33"/>
      <c r="AW882" s="33"/>
      <c r="AX882" s="33"/>
      <c r="AY882" s="33"/>
      <c r="AZ882" s="33"/>
      <c r="BA882" s="33"/>
      <c r="BB882" s="33"/>
      <c r="BC882" s="33"/>
      <c r="BD882" s="33"/>
      <c r="BE882" s="33"/>
      <c r="BF882" s="33"/>
      <c r="BG882" s="33"/>
      <c r="BH882" s="33"/>
      <c r="BI882" s="33"/>
      <c r="BJ882" s="33"/>
      <c r="BK882" s="33"/>
      <c r="BL882" s="33"/>
      <c r="BM882" s="33"/>
      <c r="BN882" s="33"/>
      <c r="BO882" s="33"/>
      <c r="BP882" s="33"/>
      <c r="BQ882" s="33"/>
      <c r="BR882" s="33"/>
      <c r="BS882" s="33"/>
      <c r="BT882" s="33"/>
      <c r="BU882" s="33"/>
      <c r="BV882" s="33"/>
      <c r="BW882" s="33"/>
      <c r="BX882" s="33"/>
      <c r="BY882" s="33"/>
      <c r="BZ882" s="33"/>
      <c r="CA882" s="33"/>
      <c r="CB882" s="33"/>
      <c r="CC882" s="33"/>
      <c r="CD882" s="33"/>
      <c r="CE882" s="33"/>
      <c r="CF882" s="33"/>
      <c r="CG882" s="33"/>
      <c r="CH882" s="33"/>
      <c r="CI882" s="33"/>
      <c r="CJ882" s="33"/>
      <c r="CK882" s="33"/>
      <c r="CL882" s="33"/>
      <c r="CM882" s="33"/>
      <c r="CN882" s="33"/>
      <c r="CO882" s="33"/>
      <c r="CP882" s="33"/>
      <c r="CQ882" s="33"/>
      <c r="CR882" s="33"/>
      <c r="CS882" s="33"/>
      <c r="CT882" s="33"/>
      <c r="CU882" s="33"/>
      <c r="CV882" s="33"/>
      <c r="CW882" s="33"/>
      <c r="CX882" s="33"/>
      <c r="CY882" s="33"/>
      <c r="CZ882" s="33"/>
      <c r="DA882" s="33"/>
      <c r="DB882" s="33"/>
      <c r="DC882" s="33"/>
      <c r="DD882" s="33"/>
      <c r="DE882" s="33"/>
      <c r="DF882" s="33"/>
      <c r="DG882" s="33"/>
      <c r="DH882" s="33"/>
      <c r="DI882" s="33"/>
      <c r="DJ882" s="33"/>
      <c r="DK882" s="33"/>
      <c r="DL882" s="33"/>
      <c r="DM882" s="33"/>
      <c r="DN882" s="33"/>
      <c r="DO882" s="33"/>
      <c r="DP882" s="33"/>
      <c r="DQ882" s="33"/>
      <c r="DR882" s="33"/>
      <c r="DS882" s="33"/>
      <c r="DT882" s="33"/>
      <c r="DU882" s="33"/>
      <c r="DV882" s="33"/>
      <c r="DW882" s="33"/>
      <c r="DX882" s="33"/>
      <c r="DY882" s="33"/>
      <c r="DZ882" s="33"/>
      <c r="EA882" s="33"/>
      <c r="EB882" s="33"/>
      <c r="EC882" s="33"/>
      <c r="ED882" s="33"/>
      <c r="EE882" s="33"/>
      <c r="EF882" s="33"/>
      <c r="EG882" s="33"/>
      <c r="EH882" s="33"/>
      <c r="EI882" s="33"/>
      <c r="EJ882" s="33"/>
      <c r="EK882" s="33"/>
      <c r="EL882" s="33"/>
      <c r="EM882" s="33"/>
      <c r="EN882" s="33"/>
      <c r="EO882" s="33"/>
      <c r="EP882" s="33"/>
      <c r="EQ882" s="33"/>
      <c r="ER882" s="33"/>
      <c r="ES882" s="33"/>
    </row>
    <row r="883">
      <c r="A883" s="33"/>
      <c r="B883" s="33"/>
      <c r="C883" s="33"/>
      <c r="D883" s="33"/>
      <c r="E883" s="33"/>
      <c r="F883" s="33"/>
      <c r="G883" s="85"/>
      <c r="H883" s="85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33"/>
      <c r="Y883" s="33"/>
      <c r="Z883" s="33"/>
      <c r="AA883" s="33"/>
      <c r="AB883" s="33"/>
      <c r="AC883" s="33"/>
      <c r="AD883" s="33"/>
      <c r="AE883" s="33"/>
      <c r="AF883" s="33"/>
      <c r="AG883" s="33"/>
      <c r="AH883" s="33"/>
      <c r="AI883" s="33"/>
      <c r="AJ883" s="33"/>
      <c r="AK883" s="33"/>
      <c r="AL883" s="33"/>
      <c r="AM883" s="33"/>
      <c r="AN883" s="33"/>
      <c r="AO883" s="33"/>
      <c r="AP883" s="33"/>
      <c r="AQ883" s="33"/>
      <c r="AR883" s="33"/>
      <c r="AS883" s="33"/>
      <c r="AT883" s="33"/>
      <c r="AU883" s="33"/>
      <c r="AV883" s="33"/>
      <c r="AW883" s="33"/>
      <c r="AX883" s="33"/>
      <c r="AY883" s="33"/>
      <c r="AZ883" s="33"/>
      <c r="BA883" s="33"/>
      <c r="BB883" s="33"/>
      <c r="BC883" s="33"/>
      <c r="BD883" s="33"/>
      <c r="BE883" s="33"/>
      <c r="BF883" s="33"/>
      <c r="BG883" s="33"/>
      <c r="BH883" s="33"/>
      <c r="BI883" s="33"/>
      <c r="BJ883" s="33"/>
      <c r="BK883" s="33"/>
      <c r="BL883" s="33"/>
      <c r="BM883" s="33"/>
      <c r="BN883" s="33"/>
      <c r="BO883" s="33"/>
      <c r="BP883" s="33"/>
      <c r="BQ883" s="33"/>
      <c r="BR883" s="33"/>
      <c r="BS883" s="33"/>
      <c r="BT883" s="33"/>
      <c r="BU883" s="33"/>
      <c r="BV883" s="33"/>
      <c r="BW883" s="33"/>
      <c r="BX883" s="33"/>
      <c r="BY883" s="33"/>
      <c r="BZ883" s="33"/>
      <c r="CA883" s="33"/>
      <c r="CB883" s="33"/>
      <c r="CC883" s="33"/>
      <c r="CD883" s="33"/>
      <c r="CE883" s="33"/>
      <c r="CF883" s="33"/>
      <c r="CG883" s="33"/>
      <c r="CH883" s="33"/>
      <c r="CI883" s="33"/>
      <c r="CJ883" s="33"/>
      <c r="CK883" s="33"/>
      <c r="CL883" s="33"/>
      <c r="CM883" s="33"/>
      <c r="CN883" s="33"/>
      <c r="CO883" s="33"/>
      <c r="CP883" s="33"/>
      <c r="CQ883" s="33"/>
      <c r="CR883" s="33"/>
      <c r="CS883" s="33"/>
      <c r="CT883" s="33"/>
      <c r="CU883" s="33"/>
      <c r="CV883" s="33"/>
      <c r="CW883" s="33"/>
      <c r="CX883" s="33"/>
      <c r="CY883" s="33"/>
      <c r="CZ883" s="33"/>
      <c r="DA883" s="33"/>
      <c r="DB883" s="33"/>
      <c r="DC883" s="33"/>
      <c r="DD883" s="33"/>
      <c r="DE883" s="33"/>
      <c r="DF883" s="33"/>
      <c r="DG883" s="33"/>
      <c r="DH883" s="33"/>
      <c r="DI883" s="33"/>
      <c r="DJ883" s="33"/>
      <c r="DK883" s="33"/>
      <c r="DL883" s="33"/>
      <c r="DM883" s="33"/>
      <c r="DN883" s="33"/>
      <c r="DO883" s="33"/>
      <c r="DP883" s="33"/>
      <c r="DQ883" s="33"/>
      <c r="DR883" s="33"/>
      <c r="DS883" s="33"/>
      <c r="DT883" s="33"/>
      <c r="DU883" s="33"/>
      <c r="DV883" s="33"/>
      <c r="DW883" s="33"/>
      <c r="DX883" s="33"/>
      <c r="DY883" s="33"/>
      <c r="DZ883" s="33"/>
      <c r="EA883" s="33"/>
      <c r="EB883" s="33"/>
      <c r="EC883" s="33"/>
      <c r="ED883" s="33"/>
      <c r="EE883" s="33"/>
      <c r="EF883" s="33"/>
      <c r="EG883" s="33"/>
      <c r="EH883" s="33"/>
      <c r="EI883" s="33"/>
      <c r="EJ883" s="33"/>
      <c r="EK883" s="33"/>
      <c r="EL883" s="33"/>
      <c r="EM883" s="33"/>
      <c r="EN883" s="33"/>
      <c r="EO883" s="33"/>
      <c r="EP883" s="33"/>
      <c r="EQ883" s="33"/>
      <c r="ER883" s="33"/>
      <c r="ES883" s="33"/>
    </row>
    <row r="884">
      <c r="A884" s="33"/>
      <c r="B884" s="33"/>
      <c r="C884" s="33"/>
      <c r="D884" s="33"/>
      <c r="E884" s="33"/>
      <c r="F884" s="33"/>
      <c r="G884" s="85"/>
      <c r="H884" s="85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33"/>
      <c r="Y884" s="33"/>
      <c r="Z884" s="33"/>
      <c r="AA884" s="33"/>
      <c r="AB884" s="33"/>
      <c r="AC884" s="33"/>
      <c r="AD884" s="33"/>
      <c r="AE884" s="33"/>
      <c r="AF884" s="33"/>
      <c r="AG884" s="33"/>
      <c r="AH884" s="33"/>
      <c r="AI884" s="33"/>
      <c r="AJ884" s="33"/>
      <c r="AK884" s="33"/>
      <c r="AL884" s="33"/>
      <c r="AM884" s="33"/>
      <c r="AN884" s="33"/>
      <c r="AO884" s="33"/>
      <c r="AP884" s="33"/>
      <c r="AQ884" s="33"/>
      <c r="AR884" s="33"/>
      <c r="AS884" s="33"/>
      <c r="AT884" s="33"/>
      <c r="AU884" s="33"/>
      <c r="AV884" s="33"/>
      <c r="AW884" s="33"/>
      <c r="AX884" s="33"/>
      <c r="AY884" s="33"/>
      <c r="AZ884" s="33"/>
      <c r="BA884" s="33"/>
      <c r="BB884" s="33"/>
      <c r="BC884" s="33"/>
      <c r="BD884" s="33"/>
      <c r="BE884" s="33"/>
      <c r="BF884" s="33"/>
      <c r="BG884" s="33"/>
      <c r="BH884" s="33"/>
      <c r="BI884" s="33"/>
      <c r="BJ884" s="33"/>
      <c r="BK884" s="33"/>
      <c r="BL884" s="33"/>
      <c r="BM884" s="33"/>
      <c r="BN884" s="33"/>
      <c r="BO884" s="33"/>
      <c r="BP884" s="33"/>
      <c r="BQ884" s="33"/>
      <c r="BR884" s="33"/>
      <c r="BS884" s="33"/>
      <c r="BT884" s="33"/>
      <c r="BU884" s="33"/>
      <c r="BV884" s="33"/>
      <c r="BW884" s="33"/>
      <c r="BX884" s="33"/>
      <c r="BY884" s="33"/>
      <c r="BZ884" s="33"/>
      <c r="CA884" s="33"/>
      <c r="CB884" s="33"/>
      <c r="CC884" s="33"/>
      <c r="CD884" s="33"/>
      <c r="CE884" s="33"/>
      <c r="CF884" s="33"/>
      <c r="CG884" s="33"/>
      <c r="CH884" s="33"/>
      <c r="CI884" s="33"/>
      <c r="CJ884" s="33"/>
      <c r="CK884" s="33"/>
      <c r="CL884" s="33"/>
      <c r="CM884" s="33"/>
      <c r="CN884" s="33"/>
      <c r="CO884" s="33"/>
      <c r="CP884" s="33"/>
      <c r="CQ884" s="33"/>
      <c r="CR884" s="33"/>
      <c r="CS884" s="33"/>
      <c r="CT884" s="33"/>
      <c r="CU884" s="33"/>
      <c r="CV884" s="33"/>
      <c r="CW884" s="33"/>
      <c r="CX884" s="33"/>
      <c r="CY884" s="33"/>
      <c r="CZ884" s="33"/>
      <c r="DA884" s="33"/>
      <c r="DB884" s="33"/>
      <c r="DC884" s="33"/>
      <c r="DD884" s="33"/>
      <c r="DE884" s="33"/>
      <c r="DF884" s="33"/>
      <c r="DG884" s="33"/>
      <c r="DH884" s="33"/>
      <c r="DI884" s="33"/>
      <c r="DJ884" s="33"/>
      <c r="DK884" s="33"/>
      <c r="DL884" s="33"/>
      <c r="DM884" s="33"/>
      <c r="DN884" s="33"/>
      <c r="DO884" s="33"/>
      <c r="DP884" s="33"/>
      <c r="DQ884" s="33"/>
      <c r="DR884" s="33"/>
      <c r="DS884" s="33"/>
      <c r="DT884" s="33"/>
      <c r="DU884" s="33"/>
      <c r="DV884" s="33"/>
      <c r="DW884" s="33"/>
      <c r="DX884" s="33"/>
      <c r="DY884" s="33"/>
      <c r="DZ884" s="33"/>
      <c r="EA884" s="33"/>
      <c r="EB884" s="33"/>
      <c r="EC884" s="33"/>
      <c r="ED884" s="33"/>
      <c r="EE884" s="33"/>
      <c r="EF884" s="33"/>
      <c r="EG884" s="33"/>
      <c r="EH884" s="33"/>
      <c r="EI884" s="33"/>
      <c r="EJ884" s="33"/>
      <c r="EK884" s="33"/>
      <c r="EL884" s="33"/>
      <c r="EM884" s="33"/>
      <c r="EN884" s="33"/>
      <c r="EO884" s="33"/>
      <c r="EP884" s="33"/>
      <c r="EQ884" s="33"/>
      <c r="ER884" s="33"/>
      <c r="ES884" s="33"/>
    </row>
    <row r="885">
      <c r="A885" s="33"/>
      <c r="B885" s="33"/>
      <c r="C885" s="33"/>
      <c r="D885" s="33"/>
      <c r="E885" s="33"/>
      <c r="F885" s="33"/>
      <c r="G885" s="85"/>
      <c r="H885" s="85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33"/>
      <c r="Y885" s="33"/>
      <c r="Z885" s="33"/>
      <c r="AA885" s="33"/>
      <c r="AB885" s="33"/>
      <c r="AC885" s="33"/>
      <c r="AD885" s="33"/>
      <c r="AE885" s="33"/>
      <c r="AF885" s="33"/>
      <c r="AG885" s="33"/>
      <c r="AH885" s="33"/>
      <c r="AI885" s="33"/>
      <c r="AJ885" s="33"/>
      <c r="AK885" s="33"/>
      <c r="AL885" s="33"/>
      <c r="AM885" s="33"/>
      <c r="AN885" s="33"/>
      <c r="AO885" s="33"/>
      <c r="AP885" s="33"/>
      <c r="AQ885" s="33"/>
      <c r="AR885" s="33"/>
      <c r="AS885" s="33"/>
      <c r="AT885" s="33"/>
      <c r="AU885" s="33"/>
      <c r="AV885" s="33"/>
      <c r="AW885" s="33"/>
      <c r="AX885" s="33"/>
      <c r="AY885" s="33"/>
      <c r="AZ885" s="33"/>
      <c r="BA885" s="33"/>
      <c r="BB885" s="33"/>
      <c r="BC885" s="33"/>
      <c r="BD885" s="33"/>
      <c r="BE885" s="33"/>
      <c r="BF885" s="33"/>
      <c r="BG885" s="33"/>
      <c r="BH885" s="33"/>
      <c r="BI885" s="33"/>
      <c r="BJ885" s="33"/>
      <c r="BK885" s="33"/>
      <c r="BL885" s="33"/>
      <c r="BM885" s="33"/>
      <c r="BN885" s="33"/>
      <c r="BO885" s="33"/>
      <c r="BP885" s="33"/>
      <c r="BQ885" s="33"/>
      <c r="BR885" s="33"/>
      <c r="BS885" s="33"/>
      <c r="BT885" s="33"/>
      <c r="BU885" s="33"/>
      <c r="BV885" s="33"/>
      <c r="BW885" s="33"/>
      <c r="BX885" s="33"/>
      <c r="BY885" s="33"/>
      <c r="BZ885" s="33"/>
      <c r="CA885" s="33"/>
      <c r="CB885" s="33"/>
      <c r="CC885" s="33"/>
      <c r="CD885" s="33"/>
      <c r="CE885" s="33"/>
      <c r="CF885" s="33"/>
      <c r="CG885" s="33"/>
      <c r="CH885" s="33"/>
      <c r="CI885" s="33"/>
      <c r="CJ885" s="33"/>
      <c r="CK885" s="33"/>
      <c r="CL885" s="33"/>
      <c r="CM885" s="33"/>
      <c r="CN885" s="33"/>
      <c r="CO885" s="33"/>
      <c r="CP885" s="33"/>
      <c r="CQ885" s="33"/>
      <c r="CR885" s="33"/>
      <c r="CS885" s="33"/>
      <c r="CT885" s="33"/>
      <c r="CU885" s="33"/>
      <c r="CV885" s="33"/>
      <c r="CW885" s="33"/>
      <c r="CX885" s="33"/>
      <c r="CY885" s="33"/>
      <c r="CZ885" s="33"/>
      <c r="DA885" s="33"/>
      <c r="DB885" s="33"/>
      <c r="DC885" s="33"/>
      <c r="DD885" s="33"/>
      <c r="DE885" s="33"/>
      <c r="DF885" s="33"/>
      <c r="DG885" s="33"/>
      <c r="DH885" s="33"/>
      <c r="DI885" s="33"/>
      <c r="DJ885" s="33"/>
      <c r="DK885" s="33"/>
      <c r="DL885" s="33"/>
      <c r="DM885" s="33"/>
      <c r="DN885" s="33"/>
      <c r="DO885" s="33"/>
      <c r="DP885" s="33"/>
      <c r="DQ885" s="33"/>
      <c r="DR885" s="33"/>
      <c r="DS885" s="33"/>
      <c r="DT885" s="33"/>
      <c r="DU885" s="33"/>
      <c r="DV885" s="33"/>
      <c r="DW885" s="33"/>
      <c r="DX885" s="33"/>
      <c r="DY885" s="33"/>
      <c r="DZ885" s="33"/>
      <c r="EA885" s="33"/>
      <c r="EB885" s="33"/>
      <c r="EC885" s="33"/>
      <c r="ED885" s="33"/>
      <c r="EE885" s="33"/>
      <c r="EF885" s="33"/>
      <c r="EG885" s="33"/>
      <c r="EH885" s="33"/>
      <c r="EI885" s="33"/>
      <c r="EJ885" s="33"/>
      <c r="EK885" s="33"/>
      <c r="EL885" s="33"/>
      <c r="EM885" s="33"/>
      <c r="EN885" s="33"/>
      <c r="EO885" s="33"/>
      <c r="EP885" s="33"/>
      <c r="EQ885" s="33"/>
      <c r="ER885" s="33"/>
      <c r="ES885" s="33"/>
    </row>
    <row r="886">
      <c r="A886" s="33"/>
      <c r="B886" s="33"/>
      <c r="C886" s="33"/>
      <c r="D886" s="33"/>
      <c r="E886" s="33"/>
      <c r="F886" s="33"/>
      <c r="G886" s="85"/>
      <c r="H886" s="85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33"/>
      <c r="Y886" s="33"/>
      <c r="Z886" s="33"/>
      <c r="AA886" s="33"/>
      <c r="AB886" s="33"/>
      <c r="AC886" s="33"/>
      <c r="AD886" s="33"/>
      <c r="AE886" s="33"/>
      <c r="AF886" s="33"/>
      <c r="AG886" s="33"/>
      <c r="AH886" s="33"/>
      <c r="AI886" s="33"/>
      <c r="AJ886" s="33"/>
      <c r="AK886" s="33"/>
      <c r="AL886" s="33"/>
      <c r="AM886" s="33"/>
      <c r="AN886" s="33"/>
      <c r="AO886" s="33"/>
      <c r="AP886" s="33"/>
      <c r="AQ886" s="33"/>
      <c r="AR886" s="33"/>
      <c r="AS886" s="33"/>
      <c r="AT886" s="33"/>
      <c r="AU886" s="33"/>
      <c r="AV886" s="33"/>
      <c r="AW886" s="33"/>
      <c r="AX886" s="33"/>
      <c r="AY886" s="33"/>
      <c r="AZ886" s="33"/>
      <c r="BA886" s="33"/>
      <c r="BB886" s="33"/>
      <c r="BC886" s="33"/>
      <c r="BD886" s="33"/>
      <c r="BE886" s="33"/>
      <c r="BF886" s="33"/>
      <c r="BG886" s="33"/>
      <c r="BH886" s="33"/>
      <c r="BI886" s="33"/>
      <c r="BJ886" s="33"/>
      <c r="BK886" s="33"/>
      <c r="BL886" s="33"/>
      <c r="BM886" s="33"/>
      <c r="BN886" s="33"/>
      <c r="BO886" s="33"/>
      <c r="BP886" s="33"/>
      <c r="BQ886" s="33"/>
      <c r="BR886" s="33"/>
      <c r="BS886" s="33"/>
      <c r="BT886" s="33"/>
      <c r="BU886" s="33"/>
      <c r="BV886" s="33"/>
      <c r="BW886" s="33"/>
      <c r="BX886" s="33"/>
      <c r="BY886" s="33"/>
      <c r="BZ886" s="33"/>
      <c r="CA886" s="33"/>
      <c r="CB886" s="33"/>
      <c r="CC886" s="33"/>
      <c r="CD886" s="33"/>
      <c r="CE886" s="33"/>
      <c r="CF886" s="33"/>
      <c r="CG886" s="33"/>
      <c r="CH886" s="33"/>
      <c r="CI886" s="33"/>
      <c r="CJ886" s="33"/>
      <c r="CK886" s="33"/>
      <c r="CL886" s="33"/>
      <c r="CM886" s="33"/>
      <c r="CN886" s="33"/>
      <c r="CO886" s="33"/>
      <c r="CP886" s="33"/>
      <c r="CQ886" s="33"/>
      <c r="CR886" s="33"/>
      <c r="CS886" s="33"/>
      <c r="CT886" s="33"/>
      <c r="CU886" s="33"/>
      <c r="CV886" s="33"/>
      <c r="CW886" s="33"/>
      <c r="CX886" s="33"/>
      <c r="CY886" s="33"/>
      <c r="CZ886" s="33"/>
      <c r="DA886" s="33"/>
      <c r="DB886" s="33"/>
      <c r="DC886" s="33"/>
      <c r="DD886" s="33"/>
      <c r="DE886" s="33"/>
      <c r="DF886" s="33"/>
      <c r="DG886" s="33"/>
      <c r="DH886" s="33"/>
      <c r="DI886" s="33"/>
      <c r="DJ886" s="33"/>
      <c r="DK886" s="33"/>
      <c r="DL886" s="33"/>
      <c r="DM886" s="33"/>
      <c r="DN886" s="33"/>
      <c r="DO886" s="33"/>
      <c r="DP886" s="33"/>
      <c r="DQ886" s="33"/>
      <c r="DR886" s="33"/>
      <c r="DS886" s="33"/>
      <c r="DT886" s="33"/>
      <c r="DU886" s="33"/>
      <c r="DV886" s="33"/>
      <c r="DW886" s="33"/>
      <c r="DX886" s="33"/>
      <c r="DY886" s="33"/>
      <c r="DZ886" s="33"/>
      <c r="EA886" s="33"/>
      <c r="EB886" s="33"/>
      <c r="EC886" s="33"/>
      <c r="ED886" s="33"/>
      <c r="EE886" s="33"/>
      <c r="EF886" s="33"/>
      <c r="EG886" s="33"/>
      <c r="EH886" s="33"/>
      <c r="EI886" s="33"/>
      <c r="EJ886" s="33"/>
      <c r="EK886" s="33"/>
      <c r="EL886" s="33"/>
      <c r="EM886" s="33"/>
      <c r="EN886" s="33"/>
      <c r="EO886" s="33"/>
      <c r="EP886" s="33"/>
      <c r="EQ886" s="33"/>
      <c r="ER886" s="33"/>
      <c r="ES886" s="33"/>
    </row>
    <row r="887">
      <c r="A887" s="33"/>
      <c r="B887" s="33"/>
      <c r="C887" s="33"/>
      <c r="D887" s="33"/>
      <c r="E887" s="33"/>
      <c r="F887" s="33"/>
      <c r="G887" s="85"/>
      <c r="H887" s="85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33"/>
      <c r="Y887" s="33"/>
      <c r="Z887" s="33"/>
      <c r="AA887" s="33"/>
      <c r="AB887" s="33"/>
      <c r="AC887" s="33"/>
      <c r="AD887" s="33"/>
      <c r="AE887" s="33"/>
      <c r="AF887" s="33"/>
      <c r="AG887" s="33"/>
      <c r="AH887" s="33"/>
      <c r="AI887" s="33"/>
      <c r="AJ887" s="33"/>
      <c r="AK887" s="33"/>
      <c r="AL887" s="33"/>
      <c r="AM887" s="33"/>
      <c r="AN887" s="33"/>
      <c r="AO887" s="33"/>
      <c r="AP887" s="33"/>
      <c r="AQ887" s="33"/>
      <c r="AR887" s="33"/>
      <c r="AS887" s="33"/>
      <c r="AT887" s="33"/>
      <c r="AU887" s="33"/>
      <c r="AV887" s="33"/>
      <c r="AW887" s="33"/>
      <c r="AX887" s="33"/>
      <c r="AY887" s="33"/>
      <c r="AZ887" s="33"/>
      <c r="BA887" s="33"/>
      <c r="BB887" s="33"/>
      <c r="BC887" s="33"/>
      <c r="BD887" s="33"/>
      <c r="BE887" s="33"/>
      <c r="BF887" s="33"/>
      <c r="BG887" s="33"/>
      <c r="BH887" s="33"/>
      <c r="BI887" s="33"/>
      <c r="BJ887" s="33"/>
      <c r="BK887" s="33"/>
      <c r="BL887" s="33"/>
      <c r="BM887" s="33"/>
      <c r="BN887" s="33"/>
      <c r="BO887" s="33"/>
      <c r="BP887" s="33"/>
      <c r="BQ887" s="33"/>
      <c r="BR887" s="33"/>
      <c r="BS887" s="33"/>
      <c r="BT887" s="33"/>
      <c r="BU887" s="33"/>
      <c r="BV887" s="33"/>
      <c r="BW887" s="33"/>
      <c r="BX887" s="33"/>
      <c r="BY887" s="33"/>
      <c r="BZ887" s="33"/>
      <c r="CA887" s="33"/>
      <c r="CB887" s="33"/>
      <c r="CC887" s="33"/>
      <c r="CD887" s="33"/>
      <c r="CE887" s="33"/>
      <c r="CF887" s="33"/>
      <c r="CG887" s="33"/>
      <c r="CH887" s="33"/>
      <c r="CI887" s="33"/>
      <c r="CJ887" s="33"/>
      <c r="CK887" s="33"/>
      <c r="CL887" s="33"/>
      <c r="CM887" s="33"/>
      <c r="CN887" s="33"/>
      <c r="CO887" s="33"/>
      <c r="CP887" s="33"/>
      <c r="CQ887" s="33"/>
      <c r="CR887" s="33"/>
      <c r="CS887" s="33"/>
      <c r="CT887" s="33"/>
      <c r="CU887" s="33"/>
      <c r="CV887" s="33"/>
      <c r="CW887" s="33"/>
      <c r="CX887" s="33"/>
      <c r="CY887" s="33"/>
      <c r="CZ887" s="33"/>
      <c r="DA887" s="33"/>
      <c r="DB887" s="33"/>
      <c r="DC887" s="33"/>
      <c r="DD887" s="33"/>
      <c r="DE887" s="33"/>
      <c r="DF887" s="33"/>
      <c r="DG887" s="33"/>
      <c r="DH887" s="33"/>
      <c r="DI887" s="33"/>
      <c r="DJ887" s="33"/>
      <c r="DK887" s="33"/>
      <c r="DL887" s="33"/>
      <c r="DM887" s="33"/>
      <c r="DN887" s="33"/>
      <c r="DO887" s="33"/>
      <c r="DP887" s="33"/>
      <c r="DQ887" s="33"/>
      <c r="DR887" s="33"/>
      <c r="DS887" s="33"/>
      <c r="DT887" s="33"/>
      <c r="DU887" s="33"/>
      <c r="DV887" s="33"/>
      <c r="DW887" s="33"/>
      <c r="DX887" s="33"/>
      <c r="DY887" s="33"/>
      <c r="DZ887" s="33"/>
      <c r="EA887" s="33"/>
      <c r="EB887" s="33"/>
      <c r="EC887" s="33"/>
      <c r="ED887" s="33"/>
      <c r="EE887" s="33"/>
      <c r="EF887" s="33"/>
      <c r="EG887" s="33"/>
      <c r="EH887" s="33"/>
      <c r="EI887" s="33"/>
      <c r="EJ887" s="33"/>
      <c r="EK887" s="33"/>
      <c r="EL887" s="33"/>
      <c r="EM887" s="33"/>
      <c r="EN887" s="33"/>
      <c r="EO887" s="33"/>
      <c r="EP887" s="33"/>
      <c r="EQ887" s="33"/>
      <c r="ER887" s="33"/>
      <c r="ES887" s="33"/>
    </row>
    <row r="888">
      <c r="A888" s="33"/>
      <c r="B888" s="33"/>
      <c r="C888" s="33"/>
      <c r="D888" s="33"/>
      <c r="E888" s="33"/>
      <c r="F888" s="33"/>
      <c r="G888" s="85"/>
      <c r="H888" s="85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33"/>
      <c r="Y888" s="33"/>
      <c r="Z888" s="33"/>
      <c r="AA888" s="33"/>
      <c r="AB888" s="33"/>
      <c r="AC888" s="33"/>
      <c r="AD888" s="33"/>
      <c r="AE888" s="33"/>
      <c r="AF888" s="33"/>
      <c r="AG888" s="33"/>
      <c r="AH888" s="33"/>
      <c r="AI888" s="33"/>
      <c r="AJ888" s="33"/>
      <c r="AK888" s="33"/>
      <c r="AL888" s="33"/>
      <c r="AM888" s="33"/>
      <c r="AN888" s="33"/>
      <c r="AO888" s="33"/>
      <c r="AP888" s="33"/>
      <c r="AQ888" s="33"/>
      <c r="AR888" s="33"/>
      <c r="AS888" s="33"/>
      <c r="AT888" s="33"/>
      <c r="AU888" s="33"/>
      <c r="AV888" s="33"/>
      <c r="AW888" s="33"/>
      <c r="AX888" s="33"/>
      <c r="AY888" s="33"/>
      <c r="AZ888" s="33"/>
      <c r="BA888" s="33"/>
      <c r="BB888" s="33"/>
      <c r="BC888" s="33"/>
      <c r="BD888" s="33"/>
      <c r="BE888" s="33"/>
      <c r="BF888" s="33"/>
      <c r="BG888" s="33"/>
      <c r="BH888" s="33"/>
      <c r="BI888" s="33"/>
      <c r="BJ888" s="33"/>
      <c r="BK888" s="33"/>
      <c r="BL888" s="33"/>
      <c r="BM888" s="33"/>
      <c r="BN888" s="33"/>
      <c r="BO888" s="33"/>
      <c r="BP888" s="33"/>
      <c r="BQ888" s="33"/>
      <c r="BR888" s="33"/>
      <c r="BS888" s="33"/>
      <c r="BT888" s="33"/>
      <c r="BU888" s="33"/>
      <c r="BV888" s="33"/>
      <c r="BW888" s="33"/>
      <c r="BX888" s="33"/>
      <c r="BY888" s="33"/>
      <c r="BZ888" s="33"/>
      <c r="CA888" s="33"/>
      <c r="CB888" s="33"/>
      <c r="CC888" s="33"/>
      <c r="CD888" s="33"/>
      <c r="CE888" s="33"/>
      <c r="CF888" s="33"/>
      <c r="CG888" s="33"/>
      <c r="CH888" s="33"/>
      <c r="CI888" s="33"/>
      <c r="CJ888" s="33"/>
      <c r="CK888" s="33"/>
      <c r="CL888" s="33"/>
      <c r="CM888" s="33"/>
      <c r="CN888" s="33"/>
      <c r="CO888" s="33"/>
      <c r="CP888" s="33"/>
      <c r="CQ888" s="33"/>
      <c r="CR888" s="33"/>
      <c r="CS888" s="33"/>
      <c r="CT888" s="33"/>
      <c r="CU888" s="33"/>
      <c r="CV888" s="33"/>
      <c r="CW888" s="33"/>
      <c r="CX888" s="33"/>
      <c r="CY888" s="33"/>
      <c r="CZ888" s="33"/>
      <c r="DA888" s="33"/>
      <c r="DB888" s="33"/>
      <c r="DC888" s="33"/>
      <c r="DD888" s="33"/>
      <c r="DE888" s="33"/>
      <c r="DF888" s="33"/>
      <c r="DG888" s="33"/>
      <c r="DH888" s="33"/>
      <c r="DI888" s="33"/>
      <c r="DJ888" s="33"/>
      <c r="DK888" s="33"/>
      <c r="DL888" s="33"/>
      <c r="DM888" s="33"/>
      <c r="DN888" s="33"/>
      <c r="DO888" s="33"/>
      <c r="DP888" s="33"/>
      <c r="DQ888" s="33"/>
      <c r="DR888" s="33"/>
      <c r="DS888" s="33"/>
      <c r="DT888" s="33"/>
      <c r="DU888" s="33"/>
      <c r="DV888" s="33"/>
      <c r="DW888" s="33"/>
      <c r="DX888" s="33"/>
      <c r="DY888" s="33"/>
      <c r="DZ888" s="33"/>
      <c r="EA888" s="33"/>
      <c r="EB888" s="33"/>
      <c r="EC888" s="33"/>
      <c r="ED888" s="33"/>
      <c r="EE888" s="33"/>
      <c r="EF888" s="33"/>
      <c r="EG888" s="33"/>
      <c r="EH888" s="33"/>
      <c r="EI888" s="33"/>
      <c r="EJ888" s="33"/>
      <c r="EK888" s="33"/>
      <c r="EL888" s="33"/>
      <c r="EM888" s="33"/>
      <c r="EN888" s="33"/>
      <c r="EO888" s="33"/>
      <c r="EP888" s="33"/>
      <c r="EQ888" s="33"/>
      <c r="ER888" s="33"/>
      <c r="ES888" s="33"/>
    </row>
    <row r="889">
      <c r="A889" s="33"/>
      <c r="B889" s="33"/>
      <c r="C889" s="33"/>
      <c r="D889" s="33"/>
      <c r="E889" s="33"/>
      <c r="F889" s="33"/>
      <c r="G889" s="85"/>
      <c r="H889" s="85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33"/>
      <c r="Y889" s="33"/>
      <c r="Z889" s="33"/>
      <c r="AA889" s="33"/>
      <c r="AB889" s="33"/>
      <c r="AC889" s="33"/>
      <c r="AD889" s="33"/>
      <c r="AE889" s="33"/>
      <c r="AF889" s="33"/>
      <c r="AG889" s="33"/>
      <c r="AH889" s="33"/>
      <c r="AI889" s="33"/>
      <c r="AJ889" s="33"/>
      <c r="AK889" s="33"/>
      <c r="AL889" s="33"/>
      <c r="AM889" s="33"/>
      <c r="AN889" s="33"/>
      <c r="AO889" s="33"/>
      <c r="AP889" s="33"/>
      <c r="AQ889" s="33"/>
      <c r="AR889" s="33"/>
      <c r="AS889" s="33"/>
      <c r="AT889" s="33"/>
      <c r="AU889" s="33"/>
      <c r="AV889" s="33"/>
      <c r="AW889" s="33"/>
      <c r="AX889" s="33"/>
      <c r="AY889" s="33"/>
      <c r="AZ889" s="33"/>
      <c r="BA889" s="33"/>
      <c r="BB889" s="33"/>
      <c r="BC889" s="33"/>
      <c r="BD889" s="33"/>
      <c r="BE889" s="33"/>
      <c r="BF889" s="33"/>
      <c r="BG889" s="33"/>
      <c r="BH889" s="33"/>
      <c r="BI889" s="33"/>
      <c r="BJ889" s="33"/>
      <c r="BK889" s="33"/>
      <c r="BL889" s="33"/>
      <c r="BM889" s="33"/>
      <c r="BN889" s="33"/>
      <c r="BO889" s="33"/>
      <c r="BP889" s="33"/>
      <c r="BQ889" s="33"/>
      <c r="BR889" s="33"/>
      <c r="BS889" s="33"/>
      <c r="BT889" s="33"/>
      <c r="BU889" s="33"/>
      <c r="BV889" s="33"/>
      <c r="BW889" s="33"/>
      <c r="BX889" s="33"/>
      <c r="BY889" s="33"/>
      <c r="BZ889" s="33"/>
      <c r="CA889" s="33"/>
      <c r="CB889" s="33"/>
      <c r="CC889" s="33"/>
      <c r="CD889" s="33"/>
      <c r="CE889" s="33"/>
      <c r="CF889" s="33"/>
      <c r="CG889" s="33"/>
      <c r="CH889" s="33"/>
      <c r="CI889" s="33"/>
      <c r="CJ889" s="33"/>
      <c r="CK889" s="33"/>
      <c r="CL889" s="33"/>
      <c r="CM889" s="33"/>
      <c r="CN889" s="33"/>
      <c r="CO889" s="33"/>
      <c r="CP889" s="33"/>
      <c r="CQ889" s="33"/>
      <c r="CR889" s="33"/>
      <c r="CS889" s="33"/>
      <c r="CT889" s="33"/>
      <c r="CU889" s="33"/>
      <c r="CV889" s="33"/>
      <c r="CW889" s="33"/>
      <c r="CX889" s="33"/>
      <c r="CY889" s="33"/>
      <c r="CZ889" s="33"/>
      <c r="DA889" s="33"/>
      <c r="DB889" s="33"/>
      <c r="DC889" s="33"/>
      <c r="DD889" s="33"/>
      <c r="DE889" s="33"/>
      <c r="DF889" s="33"/>
      <c r="DG889" s="33"/>
      <c r="DH889" s="33"/>
      <c r="DI889" s="33"/>
      <c r="DJ889" s="33"/>
      <c r="DK889" s="33"/>
      <c r="DL889" s="33"/>
      <c r="DM889" s="33"/>
      <c r="DN889" s="33"/>
      <c r="DO889" s="33"/>
      <c r="DP889" s="33"/>
      <c r="DQ889" s="33"/>
      <c r="DR889" s="33"/>
      <c r="DS889" s="33"/>
      <c r="DT889" s="33"/>
      <c r="DU889" s="33"/>
      <c r="DV889" s="33"/>
      <c r="DW889" s="33"/>
      <c r="DX889" s="33"/>
      <c r="DY889" s="33"/>
      <c r="DZ889" s="33"/>
      <c r="EA889" s="33"/>
      <c r="EB889" s="33"/>
      <c r="EC889" s="33"/>
      <c r="ED889" s="33"/>
      <c r="EE889" s="33"/>
      <c r="EF889" s="33"/>
      <c r="EG889" s="33"/>
      <c r="EH889" s="33"/>
      <c r="EI889" s="33"/>
      <c r="EJ889" s="33"/>
      <c r="EK889" s="33"/>
      <c r="EL889" s="33"/>
      <c r="EM889" s="33"/>
      <c r="EN889" s="33"/>
      <c r="EO889" s="33"/>
      <c r="EP889" s="33"/>
      <c r="EQ889" s="33"/>
      <c r="ER889" s="33"/>
      <c r="ES889" s="33"/>
    </row>
    <row r="890">
      <c r="A890" s="33"/>
      <c r="B890" s="33"/>
      <c r="C890" s="33"/>
      <c r="D890" s="33"/>
      <c r="E890" s="33"/>
      <c r="F890" s="33"/>
      <c r="G890" s="85"/>
      <c r="H890" s="85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33"/>
      <c r="Y890" s="33"/>
      <c r="Z890" s="33"/>
      <c r="AA890" s="33"/>
      <c r="AB890" s="33"/>
      <c r="AC890" s="33"/>
      <c r="AD890" s="33"/>
      <c r="AE890" s="33"/>
      <c r="AF890" s="33"/>
      <c r="AG890" s="33"/>
      <c r="AH890" s="33"/>
      <c r="AI890" s="33"/>
      <c r="AJ890" s="33"/>
      <c r="AK890" s="33"/>
      <c r="AL890" s="33"/>
      <c r="AM890" s="33"/>
      <c r="AN890" s="33"/>
      <c r="AO890" s="33"/>
      <c r="AP890" s="33"/>
      <c r="AQ890" s="33"/>
      <c r="AR890" s="33"/>
      <c r="AS890" s="33"/>
      <c r="AT890" s="33"/>
      <c r="AU890" s="33"/>
      <c r="AV890" s="33"/>
      <c r="AW890" s="33"/>
      <c r="AX890" s="33"/>
      <c r="AY890" s="33"/>
      <c r="AZ890" s="33"/>
      <c r="BA890" s="33"/>
      <c r="BB890" s="33"/>
      <c r="BC890" s="33"/>
      <c r="BD890" s="33"/>
      <c r="BE890" s="33"/>
      <c r="BF890" s="33"/>
      <c r="BG890" s="33"/>
      <c r="BH890" s="33"/>
      <c r="BI890" s="33"/>
      <c r="BJ890" s="33"/>
      <c r="BK890" s="33"/>
      <c r="BL890" s="33"/>
      <c r="BM890" s="33"/>
      <c r="BN890" s="33"/>
      <c r="BO890" s="33"/>
      <c r="BP890" s="33"/>
      <c r="BQ890" s="33"/>
      <c r="BR890" s="33"/>
      <c r="BS890" s="33"/>
      <c r="BT890" s="33"/>
      <c r="BU890" s="33"/>
      <c r="BV890" s="33"/>
      <c r="BW890" s="33"/>
      <c r="BX890" s="33"/>
      <c r="BY890" s="33"/>
      <c r="BZ890" s="33"/>
      <c r="CA890" s="33"/>
      <c r="CB890" s="33"/>
      <c r="CC890" s="33"/>
      <c r="CD890" s="33"/>
      <c r="CE890" s="33"/>
      <c r="CF890" s="33"/>
      <c r="CG890" s="33"/>
      <c r="CH890" s="33"/>
      <c r="CI890" s="33"/>
      <c r="CJ890" s="33"/>
      <c r="CK890" s="33"/>
      <c r="CL890" s="33"/>
      <c r="CM890" s="33"/>
      <c r="CN890" s="33"/>
      <c r="CO890" s="33"/>
      <c r="CP890" s="33"/>
      <c r="CQ890" s="33"/>
      <c r="CR890" s="33"/>
      <c r="CS890" s="33"/>
      <c r="CT890" s="33"/>
      <c r="CU890" s="33"/>
      <c r="CV890" s="33"/>
      <c r="CW890" s="33"/>
      <c r="CX890" s="33"/>
      <c r="CY890" s="33"/>
      <c r="CZ890" s="33"/>
      <c r="DA890" s="33"/>
      <c r="DB890" s="33"/>
      <c r="DC890" s="33"/>
      <c r="DD890" s="33"/>
      <c r="DE890" s="33"/>
      <c r="DF890" s="33"/>
      <c r="DG890" s="33"/>
      <c r="DH890" s="33"/>
      <c r="DI890" s="33"/>
      <c r="DJ890" s="33"/>
      <c r="DK890" s="33"/>
      <c r="DL890" s="33"/>
      <c r="DM890" s="33"/>
      <c r="DN890" s="33"/>
      <c r="DO890" s="33"/>
      <c r="DP890" s="33"/>
      <c r="DQ890" s="33"/>
      <c r="DR890" s="33"/>
      <c r="DS890" s="33"/>
      <c r="DT890" s="33"/>
      <c r="DU890" s="33"/>
      <c r="DV890" s="33"/>
      <c r="DW890" s="33"/>
      <c r="DX890" s="33"/>
      <c r="DY890" s="33"/>
      <c r="DZ890" s="33"/>
      <c r="EA890" s="33"/>
      <c r="EB890" s="33"/>
      <c r="EC890" s="33"/>
      <c r="ED890" s="33"/>
      <c r="EE890" s="33"/>
      <c r="EF890" s="33"/>
      <c r="EG890" s="33"/>
      <c r="EH890" s="33"/>
      <c r="EI890" s="33"/>
      <c r="EJ890" s="33"/>
      <c r="EK890" s="33"/>
      <c r="EL890" s="33"/>
      <c r="EM890" s="33"/>
      <c r="EN890" s="33"/>
      <c r="EO890" s="33"/>
      <c r="EP890" s="33"/>
      <c r="EQ890" s="33"/>
      <c r="ER890" s="33"/>
      <c r="ES890" s="33"/>
    </row>
    <row r="891">
      <c r="A891" s="33"/>
      <c r="B891" s="33"/>
      <c r="C891" s="33"/>
      <c r="D891" s="33"/>
      <c r="E891" s="33"/>
      <c r="F891" s="33"/>
      <c r="G891" s="85"/>
      <c r="H891" s="85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33"/>
      <c r="Y891" s="33"/>
      <c r="Z891" s="33"/>
      <c r="AA891" s="33"/>
      <c r="AB891" s="33"/>
      <c r="AC891" s="33"/>
      <c r="AD891" s="33"/>
      <c r="AE891" s="33"/>
      <c r="AF891" s="33"/>
      <c r="AG891" s="33"/>
      <c r="AH891" s="33"/>
      <c r="AI891" s="33"/>
      <c r="AJ891" s="33"/>
      <c r="AK891" s="33"/>
      <c r="AL891" s="33"/>
      <c r="AM891" s="33"/>
      <c r="AN891" s="33"/>
      <c r="AO891" s="33"/>
      <c r="AP891" s="33"/>
      <c r="AQ891" s="33"/>
      <c r="AR891" s="33"/>
      <c r="AS891" s="33"/>
      <c r="AT891" s="33"/>
      <c r="AU891" s="33"/>
      <c r="AV891" s="33"/>
      <c r="AW891" s="33"/>
      <c r="AX891" s="33"/>
      <c r="AY891" s="33"/>
      <c r="AZ891" s="33"/>
      <c r="BA891" s="33"/>
      <c r="BB891" s="33"/>
      <c r="BC891" s="33"/>
      <c r="BD891" s="33"/>
      <c r="BE891" s="33"/>
      <c r="BF891" s="33"/>
      <c r="BG891" s="33"/>
      <c r="BH891" s="33"/>
      <c r="BI891" s="33"/>
      <c r="BJ891" s="33"/>
      <c r="BK891" s="33"/>
      <c r="BL891" s="33"/>
      <c r="BM891" s="33"/>
      <c r="BN891" s="33"/>
      <c r="BO891" s="33"/>
      <c r="BP891" s="33"/>
      <c r="BQ891" s="33"/>
      <c r="BR891" s="33"/>
      <c r="BS891" s="33"/>
      <c r="BT891" s="33"/>
      <c r="BU891" s="33"/>
      <c r="BV891" s="33"/>
      <c r="BW891" s="33"/>
      <c r="BX891" s="33"/>
      <c r="BY891" s="33"/>
      <c r="BZ891" s="33"/>
      <c r="CA891" s="33"/>
      <c r="CB891" s="33"/>
      <c r="CC891" s="33"/>
      <c r="CD891" s="33"/>
      <c r="CE891" s="33"/>
      <c r="CF891" s="33"/>
      <c r="CG891" s="33"/>
      <c r="CH891" s="33"/>
      <c r="CI891" s="33"/>
      <c r="CJ891" s="33"/>
      <c r="CK891" s="33"/>
      <c r="CL891" s="33"/>
      <c r="CM891" s="33"/>
      <c r="CN891" s="33"/>
      <c r="CO891" s="33"/>
      <c r="CP891" s="33"/>
      <c r="CQ891" s="33"/>
      <c r="CR891" s="33"/>
      <c r="CS891" s="33"/>
      <c r="CT891" s="33"/>
      <c r="CU891" s="33"/>
      <c r="CV891" s="33"/>
      <c r="CW891" s="33"/>
      <c r="CX891" s="33"/>
      <c r="CY891" s="33"/>
      <c r="CZ891" s="33"/>
      <c r="DA891" s="33"/>
      <c r="DB891" s="33"/>
      <c r="DC891" s="33"/>
      <c r="DD891" s="33"/>
      <c r="DE891" s="33"/>
      <c r="DF891" s="33"/>
      <c r="DG891" s="33"/>
      <c r="DH891" s="33"/>
      <c r="DI891" s="33"/>
      <c r="DJ891" s="33"/>
      <c r="DK891" s="33"/>
      <c r="DL891" s="33"/>
      <c r="DM891" s="33"/>
      <c r="DN891" s="33"/>
      <c r="DO891" s="33"/>
      <c r="DP891" s="33"/>
      <c r="DQ891" s="33"/>
      <c r="DR891" s="33"/>
      <c r="DS891" s="33"/>
      <c r="DT891" s="33"/>
      <c r="DU891" s="33"/>
      <c r="DV891" s="33"/>
      <c r="DW891" s="33"/>
      <c r="DX891" s="33"/>
      <c r="DY891" s="33"/>
      <c r="DZ891" s="33"/>
      <c r="EA891" s="33"/>
      <c r="EB891" s="33"/>
      <c r="EC891" s="33"/>
      <c r="ED891" s="33"/>
      <c r="EE891" s="33"/>
      <c r="EF891" s="33"/>
      <c r="EG891" s="33"/>
      <c r="EH891" s="33"/>
      <c r="EI891" s="33"/>
      <c r="EJ891" s="33"/>
      <c r="EK891" s="33"/>
      <c r="EL891" s="33"/>
      <c r="EM891" s="33"/>
      <c r="EN891" s="33"/>
      <c r="EO891" s="33"/>
      <c r="EP891" s="33"/>
      <c r="EQ891" s="33"/>
      <c r="ER891" s="33"/>
      <c r="ES891" s="33"/>
    </row>
    <row r="892">
      <c r="A892" s="33"/>
      <c r="B892" s="33"/>
      <c r="C892" s="33"/>
      <c r="D892" s="33"/>
      <c r="E892" s="33"/>
      <c r="F892" s="33"/>
      <c r="G892" s="85"/>
      <c r="H892" s="85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33"/>
      <c r="Y892" s="33"/>
      <c r="Z892" s="33"/>
      <c r="AA892" s="33"/>
      <c r="AB892" s="33"/>
      <c r="AC892" s="33"/>
      <c r="AD892" s="33"/>
      <c r="AE892" s="33"/>
      <c r="AF892" s="33"/>
      <c r="AG892" s="33"/>
      <c r="AH892" s="33"/>
      <c r="AI892" s="33"/>
      <c r="AJ892" s="33"/>
      <c r="AK892" s="33"/>
      <c r="AL892" s="33"/>
      <c r="AM892" s="33"/>
      <c r="AN892" s="33"/>
      <c r="AO892" s="33"/>
      <c r="AP892" s="33"/>
      <c r="AQ892" s="33"/>
      <c r="AR892" s="33"/>
      <c r="AS892" s="33"/>
      <c r="AT892" s="33"/>
      <c r="AU892" s="33"/>
      <c r="AV892" s="33"/>
      <c r="AW892" s="33"/>
      <c r="AX892" s="33"/>
      <c r="AY892" s="33"/>
      <c r="AZ892" s="33"/>
      <c r="BA892" s="33"/>
      <c r="BB892" s="33"/>
      <c r="BC892" s="33"/>
      <c r="BD892" s="33"/>
      <c r="BE892" s="33"/>
      <c r="BF892" s="33"/>
      <c r="BG892" s="33"/>
      <c r="BH892" s="33"/>
      <c r="BI892" s="33"/>
      <c r="BJ892" s="33"/>
      <c r="BK892" s="33"/>
      <c r="BL892" s="33"/>
      <c r="BM892" s="33"/>
      <c r="BN892" s="33"/>
      <c r="BO892" s="33"/>
      <c r="BP892" s="33"/>
      <c r="BQ892" s="33"/>
      <c r="BR892" s="33"/>
      <c r="BS892" s="33"/>
      <c r="BT892" s="33"/>
      <c r="BU892" s="33"/>
      <c r="BV892" s="33"/>
      <c r="BW892" s="33"/>
      <c r="BX892" s="33"/>
      <c r="BY892" s="33"/>
      <c r="BZ892" s="33"/>
      <c r="CA892" s="33"/>
      <c r="CB892" s="33"/>
      <c r="CC892" s="33"/>
      <c r="CD892" s="33"/>
      <c r="CE892" s="33"/>
      <c r="CF892" s="33"/>
      <c r="CG892" s="33"/>
      <c r="CH892" s="33"/>
      <c r="CI892" s="33"/>
      <c r="CJ892" s="33"/>
      <c r="CK892" s="33"/>
      <c r="CL892" s="33"/>
      <c r="CM892" s="33"/>
      <c r="CN892" s="33"/>
      <c r="CO892" s="33"/>
      <c r="CP892" s="33"/>
      <c r="CQ892" s="33"/>
      <c r="CR892" s="33"/>
      <c r="CS892" s="33"/>
      <c r="CT892" s="33"/>
      <c r="CU892" s="33"/>
      <c r="CV892" s="33"/>
      <c r="CW892" s="33"/>
      <c r="CX892" s="33"/>
      <c r="CY892" s="33"/>
      <c r="CZ892" s="33"/>
      <c r="DA892" s="33"/>
      <c r="DB892" s="33"/>
      <c r="DC892" s="33"/>
      <c r="DD892" s="33"/>
      <c r="DE892" s="33"/>
      <c r="DF892" s="33"/>
      <c r="DG892" s="33"/>
      <c r="DH892" s="33"/>
      <c r="DI892" s="33"/>
      <c r="DJ892" s="33"/>
      <c r="DK892" s="33"/>
      <c r="DL892" s="33"/>
      <c r="DM892" s="33"/>
      <c r="DN892" s="33"/>
      <c r="DO892" s="33"/>
      <c r="DP892" s="33"/>
      <c r="DQ892" s="33"/>
      <c r="DR892" s="33"/>
      <c r="DS892" s="33"/>
      <c r="DT892" s="33"/>
      <c r="DU892" s="33"/>
      <c r="DV892" s="33"/>
      <c r="DW892" s="33"/>
      <c r="DX892" s="33"/>
      <c r="DY892" s="33"/>
      <c r="DZ892" s="33"/>
      <c r="EA892" s="33"/>
      <c r="EB892" s="33"/>
      <c r="EC892" s="33"/>
      <c r="ED892" s="33"/>
      <c r="EE892" s="33"/>
      <c r="EF892" s="33"/>
      <c r="EG892" s="33"/>
      <c r="EH892" s="33"/>
      <c r="EI892" s="33"/>
      <c r="EJ892" s="33"/>
      <c r="EK892" s="33"/>
      <c r="EL892" s="33"/>
      <c r="EM892" s="33"/>
      <c r="EN892" s="33"/>
      <c r="EO892" s="33"/>
      <c r="EP892" s="33"/>
      <c r="EQ892" s="33"/>
      <c r="ER892" s="33"/>
      <c r="ES892" s="33"/>
    </row>
    <row r="893">
      <c r="A893" s="33"/>
      <c r="B893" s="33"/>
      <c r="C893" s="33"/>
      <c r="D893" s="33"/>
      <c r="E893" s="33"/>
      <c r="F893" s="33"/>
      <c r="G893" s="85"/>
      <c r="H893" s="85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33"/>
      <c r="Y893" s="33"/>
      <c r="Z893" s="33"/>
      <c r="AA893" s="33"/>
      <c r="AB893" s="33"/>
      <c r="AC893" s="33"/>
      <c r="AD893" s="33"/>
      <c r="AE893" s="33"/>
      <c r="AF893" s="33"/>
      <c r="AG893" s="33"/>
      <c r="AH893" s="33"/>
      <c r="AI893" s="33"/>
      <c r="AJ893" s="33"/>
      <c r="AK893" s="33"/>
      <c r="AL893" s="33"/>
      <c r="AM893" s="33"/>
      <c r="AN893" s="33"/>
      <c r="AO893" s="33"/>
      <c r="AP893" s="33"/>
      <c r="AQ893" s="33"/>
      <c r="AR893" s="33"/>
      <c r="AS893" s="33"/>
      <c r="AT893" s="33"/>
      <c r="AU893" s="33"/>
      <c r="AV893" s="33"/>
      <c r="AW893" s="33"/>
      <c r="AX893" s="33"/>
      <c r="AY893" s="33"/>
      <c r="AZ893" s="33"/>
      <c r="BA893" s="33"/>
      <c r="BB893" s="33"/>
      <c r="BC893" s="33"/>
      <c r="BD893" s="33"/>
      <c r="BE893" s="33"/>
      <c r="BF893" s="33"/>
      <c r="BG893" s="33"/>
      <c r="BH893" s="33"/>
      <c r="BI893" s="33"/>
      <c r="BJ893" s="33"/>
      <c r="BK893" s="33"/>
      <c r="BL893" s="33"/>
      <c r="BM893" s="33"/>
      <c r="BN893" s="33"/>
      <c r="BO893" s="33"/>
      <c r="BP893" s="33"/>
      <c r="BQ893" s="33"/>
      <c r="BR893" s="33"/>
      <c r="BS893" s="33"/>
      <c r="BT893" s="33"/>
      <c r="BU893" s="33"/>
      <c r="BV893" s="33"/>
      <c r="BW893" s="33"/>
      <c r="BX893" s="33"/>
      <c r="BY893" s="33"/>
      <c r="BZ893" s="33"/>
      <c r="CA893" s="33"/>
      <c r="CB893" s="33"/>
      <c r="CC893" s="33"/>
      <c r="CD893" s="33"/>
      <c r="CE893" s="33"/>
      <c r="CF893" s="33"/>
      <c r="CG893" s="33"/>
      <c r="CH893" s="33"/>
      <c r="CI893" s="33"/>
      <c r="CJ893" s="33"/>
      <c r="CK893" s="33"/>
      <c r="CL893" s="33"/>
      <c r="CM893" s="33"/>
      <c r="CN893" s="33"/>
      <c r="CO893" s="33"/>
      <c r="CP893" s="33"/>
      <c r="CQ893" s="33"/>
      <c r="CR893" s="33"/>
      <c r="CS893" s="33"/>
      <c r="CT893" s="33"/>
      <c r="CU893" s="33"/>
      <c r="CV893" s="33"/>
      <c r="CW893" s="33"/>
      <c r="CX893" s="33"/>
      <c r="CY893" s="33"/>
      <c r="CZ893" s="33"/>
      <c r="DA893" s="33"/>
      <c r="DB893" s="33"/>
      <c r="DC893" s="33"/>
      <c r="DD893" s="33"/>
      <c r="DE893" s="33"/>
      <c r="DF893" s="33"/>
      <c r="DG893" s="33"/>
      <c r="DH893" s="33"/>
      <c r="DI893" s="33"/>
      <c r="DJ893" s="33"/>
      <c r="DK893" s="33"/>
      <c r="DL893" s="33"/>
      <c r="DM893" s="33"/>
      <c r="DN893" s="33"/>
      <c r="DO893" s="33"/>
      <c r="DP893" s="33"/>
      <c r="DQ893" s="33"/>
      <c r="DR893" s="33"/>
      <c r="DS893" s="33"/>
      <c r="DT893" s="33"/>
      <c r="DU893" s="33"/>
      <c r="DV893" s="33"/>
      <c r="DW893" s="33"/>
      <c r="DX893" s="33"/>
      <c r="DY893" s="33"/>
      <c r="DZ893" s="33"/>
      <c r="EA893" s="33"/>
      <c r="EB893" s="33"/>
      <c r="EC893" s="33"/>
      <c r="ED893" s="33"/>
      <c r="EE893" s="33"/>
      <c r="EF893" s="33"/>
      <c r="EG893" s="33"/>
      <c r="EH893" s="33"/>
      <c r="EI893" s="33"/>
      <c r="EJ893" s="33"/>
      <c r="EK893" s="33"/>
      <c r="EL893" s="33"/>
      <c r="EM893" s="33"/>
      <c r="EN893" s="33"/>
      <c r="EO893" s="33"/>
      <c r="EP893" s="33"/>
      <c r="EQ893" s="33"/>
      <c r="ER893" s="33"/>
      <c r="ES893" s="33"/>
    </row>
    <row r="894">
      <c r="A894" s="33"/>
      <c r="B894" s="33"/>
      <c r="C894" s="33"/>
      <c r="D894" s="33"/>
      <c r="E894" s="33"/>
      <c r="F894" s="33"/>
      <c r="G894" s="85"/>
      <c r="H894" s="85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33"/>
      <c r="Y894" s="33"/>
      <c r="Z894" s="33"/>
      <c r="AA894" s="33"/>
      <c r="AB894" s="33"/>
      <c r="AC894" s="33"/>
      <c r="AD894" s="33"/>
      <c r="AE894" s="33"/>
      <c r="AF894" s="33"/>
      <c r="AG894" s="33"/>
      <c r="AH894" s="33"/>
      <c r="AI894" s="33"/>
      <c r="AJ894" s="33"/>
      <c r="AK894" s="33"/>
      <c r="AL894" s="33"/>
      <c r="AM894" s="33"/>
      <c r="AN894" s="33"/>
      <c r="AO894" s="33"/>
      <c r="AP894" s="33"/>
      <c r="AQ894" s="33"/>
      <c r="AR894" s="33"/>
      <c r="AS894" s="33"/>
      <c r="AT894" s="33"/>
      <c r="AU894" s="33"/>
      <c r="AV894" s="33"/>
      <c r="AW894" s="33"/>
      <c r="AX894" s="33"/>
      <c r="AY894" s="33"/>
      <c r="AZ894" s="33"/>
      <c r="BA894" s="33"/>
      <c r="BB894" s="33"/>
      <c r="BC894" s="33"/>
      <c r="BD894" s="33"/>
      <c r="BE894" s="33"/>
      <c r="BF894" s="33"/>
      <c r="BG894" s="33"/>
      <c r="BH894" s="33"/>
      <c r="BI894" s="33"/>
      <c r="BJ894" s="33"/>
      <c r="BK894" s="33"/>
      <c r="BL894" s="33"/>
      <c r="BM894" s="33"/>
      <c r="BN894" s="33"/>
      <c r="BO894" s="33"/>
      <c r="BP894" s="33"/>
      <c r="BQ894" s="33"/>
      <c r="BR894" s="33"/>
      <c r="BS894" s="33"/>
      <c r="BT894" s="33"/>
      <c r="BU894" s="33"/>
      <c r="BV894" s="33"/>
      <c r="BW894" s="33"/>
      <c r="BX894" s="33"/>
      <c r="BY894" s="33"/>
      <c r="BZ894" s="33"/>
      <c r="CA894" s="33"/>
      <c r="CB894" s="33"/>
      <c r="CC894" s="33"/>
      <c r="CD894" s="33"/>
      <c r="CE894" s="33"/>
      <c r="CF894" s="33"/>
      <c r="CG894" s="33"/>
      <c r="CH894" s="33"/>
      <c r="CI894" s="33"/>
      <c r="CJ894" s="33"/>
      <c r="CK894" s="33"/>
      <c r="CL894" s="33"/>
      <c r="CM894" s="33"/>
      <c r="CN894" s="33"/>
      <c r="CO894" s="33"/>
      <c r="CP894" s="33"/>
      <c r="CQ894" s="33"/>
      <c r="CR894" s="33"/>
      <c r="CS894" s="33"/>
      <c r="CT894" s="33"/>
      <c r="CU894" s="33"/>
      <c r="CV894" s="33"/>
      <c r="CW894" s="33"/>
      <c r="CX894" s="33"/>
      <c r="CY894" s="33"/>
      <c r="CZ894" s="33"/>
      <c r="DA894" s="33"/>
      <c r="DB894" s="33"/>
      <c r="DC894" s="33"/>
      <c r="DD894" s="33"/>
      <c r="DE894" s="33"/>
      <c r="DF894" s="33"/>
      <c r="DG894" s="33"/>
      <c r="DH894" s="33"/>
      <c r="DI894" s="33"/>
      <c r="DJ894" s="33"/>
      <c r="DK894" s="33"/>
      <c r="DL894" s="33"/>
      <c r="DM894" s="33"/>
      <c r="DN894" s="33"/>
      <c r="DO894" s="33"/>
      <c r="DP894" s="33"/>
      <c r="DQ894" s="33"/>
      <c r="DR894" s="33"/>
      <c r="DS894" s="33"/>
      <c r="DT894" s="33"/>
      <c r="DU894" s="33"/>
      <c r="DV894" s="33"/>
      <c r="DW894" s="33"/>
      <c r="DX894" s="33"/>
      <c r="DY894" s="33"/>
      <c r="DZ894" s="33"/>
      <c r="EA894" s="33"/>
      <c r="EB894" s="33"/>
      <c r="EC894" s="33"/>
      <c r="ED894" s="33"/>
      <c r="EE894" s="33"/>
      <c r="EF894" s="33"/>
      <c r="EG894" s="33"/>
      <c r="EH894" s="33"/>
      <c r="EI894" s="33"/>
      <c r="EJ894" s="33"/>
      <c r="EK894" s="33"/>
      <c r="EL894" s="33"/>
      <c r="EM894" s="33"/>
      <c r="EN894" s="33"/>
      <c r="EO894" s="33"/>
      <c r="EP894" s="33"/>
      <c r="EQ894" s="33"/>
      <c r="ER894" s="33"/>
      <c r="ES894" s="33"/>
    </row>
    <row r="895">
      <c r="A895" s="33"/>
      <c r="B895" s="33"/>
      <c r="C895" s="33"/>
      <c r="D895" s="33"/>
      <c r="E895" s="33"/>
      <c r="F895" s="33"/>
      <c r="G895" s="85"/>
      <c r="H895" s="85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33"/>
      <c r="Y895" s="33"/>
      <c r="Z895" s="33"/>
      <c r="AA895" s="33"/>
      <c r="AB895" s="33"/>
      <c r="AC895" s="33"/>
      <c r="AD895" s="33"/>
      <c r="AE895" s="33"/>
      <c r="AF895" s="33"/>
      <c r="AG895" s="33"/>
      <c r="AH895" s="33"/>
      <c r="AI895" s="33"/>
      <c r="AJ895" s="33"/>
      <c r="AK895" s="33"/>
      <c r="AL895" s="33"/>
      <c r="AM895" s="33"/>
      <c r="AN895" s="33"/>
      <c r="AO895" s="33"/>
      <c r="AP895" s="33"/>
      <c r="AQ895" s="33"/>
      <c r="AR895" s="33"/>
      <c r="AS895" s="33"/>
      <c r="AT895" s="33"/>
      <c r="AU895" s="33"/>
      <c r="AV895" s="33"/>
      <c r="AW895" s="33"/>
      <c r="AX895" s="33"/>
      <c r="AY895" s="33"/>
      <c r="AZ895" s="33"/>
      <c r="BA895" s="33"/>
      <c r="BB895" s="33"/>
      <c r="BC895" s="33"/>
      <c r="BD895" s="33"/>
      <c r="BE895" s="33"/>
      <c r="BF895" s="33"/>
      <c r="BG895" s="33"/>
      <c r="BH895" s="33"/>
      <c r="BI895" s="33"/>
      <c r="BJ895" s="33"/>
      <c r="BK895" s="33"/>
      <c r="BL895" s="33"/>
      <c r="BM895" s="33"/>
      <c r="BN895" s="33"/>
      <c r="BO895" s="33"/>
      <c r="BP895" s="33"/>
      <c r="BQ895" s="33"/>
      <c r="BR895" s="33"/>
      <c r="BS895" s="33"/>
      <c r="BT895" s="33"/>
      <c r="BU895" s="33"/>
      <c r="BV895" s="33"/>
      <c r="BW895" s="33"/>
      <c r="BX895" s="33"/>
      <c r="BY895" s="33"/>
      <c r="BZ895" s="33"/>
      <c r="CA895" s="33"/>
      <c r="CB895" s="33"/>
      <c r="CC895" s="33"/>
      <c r="CD895" s="33"/>
      <c r="CE895" s="33"/>
      <c r="CF895" s="33"/>
      <c r="CG895" s="33"/>
      <c r="CH895" s="33"/>
      <c r="CI895" s="33"/>
      <c r="CJ895" s="33"/>
      <c r="CK895" s="33"/>
      <c r="CL895" s="33"/>
      <c r="CM895" s="33"/>
      <c r="CN895" s="33"/>
      <c r="CO895" s="33"/>
      <c r="CP895" s="33"/>
      <c r="CQ895" s="33"/>
      <c r="CR895" s="33"/>
      <c r="CS895" s="33"/>
      <c r="CT895" s="33"/>
      <c r="CU895" s="33"/>
      <c r="CV895" s="33"/>
      <c r="CW895" s="33"/>
      <c r="CX895" s="33"/>
      <c r="CY895" s="33"/>
      <c r="CZ895" s="33"/>
      <c r="DA895" s="33"/>
      <c r="DB895" s="33"/>
      <c r="DC895" s="33"/>
      <c r="DD895" s="33"/>
      <c r="DE895" s="33"/>
      <c r="DF895" s="33"/>
      <c r="DG895" s="33"/>
      <c r="DH895" s="33"/>
      <c r="DI895" s="33"/>
      <c r="DJ895" s="33"/>
      <c r="DK895" s="33"/>
      <c r="DL895" s="33"/>
      <c r="DM895" s="33"/>
      <c r="DN895" s="33"/>
      <c r="DO895" s="33"/>
      <c r="DP895" s="33"/>
      <c r="DQ895" s="33"/>
      <c r="DR895" s="33"/>
      <c r="DS895" s="33"/>
      <c r="DT895" s="33"/>
      <c r="DU895" s="33"/>
      <c r="DV895" s="33"/>
      <c r="DW895" s="33"/>
      <c r="DX895" s="33"/>
      <c r="DY895" s="33"/>
      <c r="DZ895" s="33"/>
      <c r="EA895" s="33"/>
      <c r="EB895" s="33"/>
      <c r="EC895" s="33"/>
      <c r="ED895" s="33"/>
      <c r="EE895" s="33"/>
      <c r="EF895" s="33"/>
      <c r="EG895" s="33"/>
      <c r="EH895" s="33"/>
      <c r="EI895" s="33"/>
      <c r="EJ895" s="33"/>
      <c r="EK895" s="33"/>
      <c r="EL895" s="33"/>
      <c r="EM895" s="33"/>
      <c r="EN895" s="33"/>
      <c r="EO895" s="33"/>
      <c r="EP895" s="33"/>
      <c r="EQ895" s="33"/>
      <c r="ER895" s="33"/>
      <c r="ES895" s="33"/>
    </row>
    <row r="896">
      <c r="A896" s="33"/>
      <c r="B896" s="33"/>
      <c r="C896" s="33"/>
      <c r="D896" s="33"/>
      <c r="E896" s="33"/>
      <c r="F896" s="33"/>
      <c r="G896" s="85"/>
      <c r="H896" s="85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33"/>
      <c r="Y896" s="33"/>
      <c r="Z896" s="33"/>
      <c r="AA896" s="33"/>
      <c r="AB896" s="33"/>
      <c r="AC896" s="33"/>
      <c r="AD896" s="33"/>
      <c r="AE896" s="33"/>
      <c r="AF896" s="33"/>
      <c r="AG896" s="33"/>
      <c r="AH896" s="33"/>
      <c r="AI896" s="33"/>
      <c r="AJ896" s="33"/>
      <c r="AK896" s="33"/>
      <c r="AL896" s="33"/>
      <c r="AM896" s="33"/>
      <c r="AN896" s="33"/>
      <c r="AO896" s="33"/>
      <c r="AP896" s="33"/>
      <c r="AQ896" s="33"/>
      <c r="AR896" s="33"/>
      <c r="AS896" s="33"/>
      <c r="AT896" s="33"/>
      <c r="AU896" s="33"/>
      <c r="AV896" s="33"/>
      <c r="AW896" s="33"/>
      <c r="AX896" s="33"/>
      <c r="AY896" s="33"/>
      <c r="AZ896" s="33"/>
      <c r="BA896" s="33"/>
      <c r="BB896" s="33"/>
      <c r="BC896" s="33"/>
      <c r="BD896" s="33"/>
      <c r="BE896" s="33"/>
      <c r="BF896" s="33"/>
      <c r="BG896" s="33"/>
      <c r="BH896" s="33"/>
      <c r="BI896" s="33"/>
      <c r="BJ896" s="33"/>
      <c r="BK896" s="33"/>
      <c r="BL896" s="33"/>
      <c r="BM896" s="33"/>
      <c r="BN896" s="33"/>
      <c r="BO896" s="33"/>
      <c r="BP896" s="33"/>
      <c r="BQ896" s="33"/>
      <c r="BR896" s="33"/>
      <c r="BS896" s="33"/>
      <c r="BT896" s="33"/>
      <c r="BU896" s="33"/>
      <c r="BV896" s="33"/>
      <c r="BW896" s="33"/>
      <c r="BX896" s="33"/>
      <c r="BY896" s="33"/>
      <c r="BZ896" s="33"/>
      <c r="CA896" s="33"/>
      <c r="CB896" s="33"/>
      <c r="CC896" s="33"/>
      <c r="CD896" s="33"/>
      <c r="CE896" s="33"/>
      <c r="CF896" s="33"/>
      <c r="CG896" s="33"/>
      <c r="CH896" s="33"/>
      <c r="CI896" s="33"/>
      <c r="CJ896" s="33"/>
      <c r="CK896" s="33"/>
      <c r="CL896" s="33"/>
      <c r="CM896" s="33"/>
      <c r="CN896" s="33"/>
      <c r="CO896" s="33"/>
      <c r="CP896" s="33"/>
      <c r="CQ896" s="33"/>
      <c r="CR896" s="33"/>
      <c r="CS896" s="33"/>
      <c r="CT896" s="33"/>
      <c r="CU896" s="33"/>
      <c r="CV896" s="33"/>
      <c r="CW896" s="33"/>
      <c r="CX896" s="33"/>
      <c r="CY896" s="33"/>
      <c r="CZ896" s="33"/>
      <c r="DA896" s="33"/>
      <c r="DB896" s="33"/>
      <c r="DC896" s="33"/>
      <c r="DD896" s="33"/>
      <c r="DE896" s="33"/>
      <c r="DF896" s="33"/>
      <c r="DG896" s="33"/>
      <c r="DH896" s="33"/>
      <c r="DI896" s="33"/>
      <c r="DJ896" s="33"/>
      <c r="DK896" s="33"/>
      <c r="DL896" s="33"/>
      <c r="DM896" s="33"/>
      <c r="DN896" s="33"/>
      <c r="DO896" s="33"/>
      <c r="DP896" s="33"/>
      <c r="DQ896" s="33"/>
      <c r="DR896" s="33"/>
      <c r="DS896" s="33"/>
      <c r="DT896" s="33"/>
      <c r="DU896" s="33"/>
      <c r="DV896" s="33"/>
      <c r="DW896" s="33"/>
      <c r="DX896" s="33"/>
      <c r="DY896" s="33"/>
      <c r="DZ896" s="33"/>
      <c r="EA896" s="33"/>
      <c r="EB896" s="33"/>
      <c r="EC896" s="33"/>
      <c r="ED896" s="33"/>
      <c r="EE896" s="33"/>
      <c r="EF896" s="33"/>
      <c r="EG896" s="33"/>
      <c r="EH896" s="33"/>
      <c r="EI896" s="33"/>
      <c r="EJ896" s="33"/>
      <c r="EK896" s="33"/>
      <c r="EL896" s="33"/>
      <c r="EM896" s="33"/>
      <c r="EN896" s="33"/>
      <c r="EO896" s="33"/>
      <c r="EP896" s="33"/>
      <c r="EQ896" s="33"/>
      <c r="ER896" s="33"/>
      <c r="ES896" s="33"/>
    </row>
    <row r="897">
      <c r="A897" s="33"/>
      <c r="B897" s="33"/>
      <c r="C897" s="33"/>
      <c r="D897" s="33"/>
      <c r="E897" s="33"/>
      <c r="F897" s="33"/>
      <c r="G897" s="85"/>
      <c r="H897" s="85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33"/>
      <c r="Y897" s="33"/>
      <c r="Z897" s="33"/>
      <c r="AA897" s="33"/>
      <c r="AB897" s="33"/>
      <c r="AC897" s="33"/>
      <c r="AD897" s="33"/>
      <c r="AE897" s="33"/>
      <c r="AF897" s="33"/>
      <c r="AG897" s="33"/>
      <c r="AH897" s="33"/>
      <c r="AI897" s="33"/>
      <c r="AJ897" s="33"/>
      <c r="AK897" s="33"/>
      <c r="AL897" s="33"/>
      <c r="AM897" s="33"/>
      <c r="AN897" s="33"/>
      <c r="AO897" s="33"/>
      <c r="AP897" s="33"/>
      <c r="AQ897" s="33"/>
      <c r="AR897" s="33"/>
      <c r="AS897" s="33"/>
      <c r="AT897" s="33"/>
      <c r="AU897" s="33"/>
      <c r="AV897" s="33"/>
      <c r="AW897" s="33"/>
      <c r="AX897" s="33"/>
      <c r="AY897" s="33"/>
      <c r="AZ897" s="33"/>
      <c r="BA897" s="33"/>
      <c r="BB897" s="33"/>
      <c r="BC897" s="33"/>
      <c r="BD897" s="33"/>
      <c r="BE897" s="33"/>
      <c r="BF897" s="33"/>
      <c r="BG897" s="33"/>
      <c r="BH897" s="33"/>
      <c r="BI897" s="33"/>
      <c r="BJ897" s="33"/>
      <c r="BK897" s="33"/>
      <c r="BL897" s="33"/>
      <c r="BM897" s="33"/>
      <c r="BN897" s="33"/>
      <c r="BO897" s="33"/>
      <c r="BP897" s="33"/>
      <c r="BQ897" s="33"/>
      <c r="BR897" s="33"/>
      <c r="BS897" s="33"/>
      <c r="BT897" s="33"/>
      <c r="BU897" s="33"/>
      <c r="BV897" s="33"/>
      <c r="BW897" s="33"/>
      <c r="BX897" s="33"/>
      <c r="BY897" s="33"/>
      <c r="BZ897" s="33"/>
      <c r="CA897" s="33"/>
      <c r="CB897" s="33"/>
      <c r="CC897" s="33"/>
      <c r="CD897" s="33"/>
      <c r="CE897" s="33"/>
      <c r="CF897" s="33"/>
      <c r="CG897" s="33"/>
      <c r="CH897" s="33"/>
      <c r="CI897" s="33"/>
      <c r="CJ897" s="33"/>
      <c r="CK897" s="33"/>
      <c r="CL897" s="33"/>
      <c r="CM897" s="33"/>
      <c r="CN897" s="33"/>
      <c r="CO897" s="33"/>
      <c r="CP897" s="33"/>
      <c r="CQ897" s="33"/>
      <c r="CR897" s="33"/>
      <c r="CS897" s="33"/>
      <c r="CT897" s="33"/>
      <c r="CU897" s="33"/>
      <c r="CV897" s="33"/>
      <c r="CW897" s="33"/>
      <c r="CX897" s="33"/>
      <c r="CY897" s="33"/>
      <c r="CZ897" s="33"/>
      <c r="DA897" s="33"/>
      <c r="DB897" s="33"/>
      <c r="DC897" s="33"/>
      <c r="DD897" s="33"/>
      <c r="DE897" s="33"/>
      <c r="DF897" s="33"/>
      <c r="DG897" s="33"/>
      <c r="DH897" s="33"/>
      <c r="DI897" s="33"/>
      <c r="DJ897" s="33"/>
      <c r="DK897" s="33"/>
      <c r="DL897" s="33"/>
      <c r="DM897" s="33"/>
      <c r="DN897" s="33"/>
      <c r="DO897" s="33"/>
      <c r="DP897" s="33"/>
      <c r="DQ897" s="33"/>
      <c r="DR897" s="33"/>
      <c r="DS897" s="33"/>
      <c r="DT897" s="33"/>
      <c r="DU897" s="33"/>
      <c r="DV897" s="33"/>
      <c r="DW897" s="33"/>
      <c r="DX897" s="33"/>
      <c r="DY897" s="33"/>
      <c r="DZ897" s="33"/>
      <c r="EA897" s="33"/>
      <c r="EB897" s="33"/>
      <c r="EC897" s="33"/>
      <c r="ED897" s="33"/>
      <c r="EE897" s="33"/>
      <c r="EF897" s="33"/>
      <c r="EG897" s="33"/>
      <c r="EH897" s="33"/>
      <c r="EI897" s="33"/>
      <c r="EJ897" s="33"/>
      <c r="EK897" s="33"/>
      <c r="EL897" s="33"/>
      <c r="EM897" s="33"/>
      <c r="EN897" s="33"/>
      <c r="EO897" s="33"/>
      <c r="EP897" s="33"/>
      <c r="EQ897" s="33"/>
      <c r="ER897" s="33"/>
      <c r="ES897" s="33"/>
    </row>
    <row r="898">
      <c r="A898" s="33"/>
      <c r="B898" s="33"/>
      <c r="C898" s="33"/>
      <c r="D898" s="33"/>
      <c r="E898" s="33"/>
      <c r="F898" s="33"/>
      <c r="G898" s="85"/>
      <c r="H898" s="85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33"/>
      <c r="Y898" s="33"/>
      <c r="Z898" s="33"/>
      <c r="AA898" s="33"/>
      <c r="AB898" s="33"/>
      <c r="AC898" s="33"/>
      <c r="AD898" s="33"/>
      <c r="AE898" s="33"/>
      <c r="AF898" s="33"/>
      <c r="AG898" s="33"/>
      <c r="AH898" s="33"/>
      <c r="AI898" s="33"/>
      <c r="AJ898" s="33"/>
      <c r="AK898" s="33"/>
      <c r="AL898" s="33"/>
      <c r="AM898" s="33"/>
      <c r="AN898" s="33"/>
      <c r="AO898" s="33"/>
      <c r="AP898" s="33"/>
      <c r="AQ898" s="33"/>
      <c r="AR898" s="33"/>
      <c r="AS898" s="33"/>
      <c r="AT898" s="33"/>
      <c r="AU898" s="33"/>
      <c r="AV898" s="33"/>
      <c r="AW898" s="33"/>
      <c r="AX898" s="33"/>
      <c r="AY898" s="33"/>
      <c r="AZ898" s="33"/>
      <c r="BA898" s="33"/>
      <c r="BB898" s="33"/>
      <c r="BC898" s="33"/>
      <c r="BD898" s="33"/>
      <c r="BE898" s="33"/>
      <c r="BF898" s="33"/>
      <c r="BG898" s="33"/>
      <c r="BH898" s="33"/>
      <c r="BI898" s="33"/>
      <c r="BJ898" s="33"/>
      <c r="BK898" s="33"/>
      <c r="BL898" s="33"/>
      <c r="BM898" s="33"/>
      <c r="BN898" s="33"/>
      <c r="BO898" s="33"/>
      <c r="BP898" s="33"/>
      <c r="BQ898" s="33"/>
      <c r="BR898" s="33"/>
      <c r="BS898" s="33"/>
      <c r="BT898" s="33"/>
      <c r="BU898" s="33"/>
      <c r="BV898" s="33"/>
      <c r="BW898" s="33"/>
      <c r="BX898" s="33"/>
      <c r="BY898" s="33"/>
      <c r="BZ898" s="33"/>
      <c r="CA898" s="33"/>
      <c r="CB898" s="33"/>
      <c r="CC898" s="33"/>
      <c r="CD898" s="33"/>
      <c r="CE898" s="33"/>
      <c r="CF898" s="33"/>
      <c r="CG898" s="33"/>
      <c r="CH898" s="33"/>
      <c r="CI898" s="33"/>
      <c r="CJ898" s="33"/>
      <c r="CK898" s="33"/>
      <c r="CL898" s="33"/>
      <c r="CM898" s="33"/>
      <c r="CN898" s="33"/>
      <c r="CO898" s="33"/>
      <c r="CP898" s="33"/>
      <c r="CQ898" s="33"/>
      <c r="CR898" s="33"/>
      <c r="CS898" s="33"/>
      <c r="CT898" s="33"/>
      <c r="CU898" s="33"/>
      <c r="CV898" s="33"/>
      <c r="CW898" s="33"/>
      <c r="CX898" s="33"/>
      <c r="CY898" s="33"/>
      <c r="CZ898" s="33"/>
      <c r="DA898" s="33"/>
      <c r="DB898" s="33"/>
      <c r="DC898" s="33"/>
      <c r="DD898" s="33"/>
      <c r="DE898" s="33"/>
      <c r="DF898" s="33"/>
      <c r="DG898" s="33"/>
      <c r="DH898" s="33"/>
      <c r="DI898" s="33"/>
      <c r="DJ898" s="33"/>
      <c r="DK898" s="33"/>
      <c r="DL898" s="33"/>
      <c r="DM898" s="33"/>
      <c r="DN898" s="33"/>
      <c r="DO898" s="33"/>
      <c r="DP898" s="33"/>
      <c r="DQ898" s="33"/>
      <c r="DR898" s="33"/>
      <c r="DS898" s="33"/>
      <c r="DT898" s="33"/>
      <c r="DU898" s="33"/>
      <c r="DV898" s="33"/>
      <c r="DW898" s="33"/>
      <c r="DX898" s="33"/>
      <c r="DY898" s="33"/>
      <c r="DZ898" s="33"/>
      <c r="EA898" s="33"/>
      <c r="EB898" s="33"/>
      <c r="EC898" s="33"/>
      <c r="ED898" s="33"/>
      <c r="EE898" s="33"/>
      <c r="EF898" s="33"/>
      <c r="EG898" s="33"/>
      <c r="EH898" s="33"/>
      <c r="EI898" s="33"/>
      <c r="EJ898" s="33"/>
      <c r="EK898" s="33"/>
      <c r="EL898" s="33"/>
      <c r="EM898" s="33"/>
      <c r="EN898" s="33"/>
      <c r="EO898" s="33"/>
      <c r="EP898" s="33"/>
      <c r="EQ898" s="33"/>
      <c r="ER898" s="33"/>
      <c r="ES898" s="33"/>
    </row>
    <row r="899">
      <c r="A899" s="33"/>
      <c r="B899" s="33"/>
      <c r="C899" s="33"/>
      <c r="D899" s="33"/>
      <c r="E899" s="33"/>
      <c r="F899" s="33"/>
      <c r="G899" s="85"/>
      <c r="H899" s="85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33"/>
      <c r="Y899" s="33"/>
      <c r="Z899" s="33"/>
      <c r="AA899" s="33"/>
      <c r="AB899" s="33"/>
      <c r="AC899" s="33"/>
      <c r="AD899" s="33"/>
      <c r="AE899" s="33"/>
      <c r="AF899" s="33"/>
      <c r="AG899" s="33"/>
      <c r="AH899" s="33"/>
      <c r="AI899" s="33"/>
      <c r="AJ899" s="33"/>
      <c r="AK899" s="33"/>
      <c r="AL899" s="33"/>
      <c r="AM899" s="33"/>
      <c r="AN899" s="33"/>
      <c r="AO899" s="33"/>
      <c r="AP899" s="33"/>
      <c r="AQ899" s="33"/>
      <c r="AR899" s="33"/>
      <c r="AS899" s="33"/>
      <c r="AT899" s="33"/>
      <c r="AU899" s="33"/>
      <c r="AV899" s="33"/>
      <c r="AW899" s="33"/>
      <c r="AX899" s="33"/>
      <c r="AY899" s="33"/>
      <c r="AZ899" s="33"/>
      <c r="BA899" s="33"/>
      <c r="BB899" s="33"/>
      <c r="BC899" s="33"/>
      <c r="BD899" s="33"/>
      <c r="BE899" s="33"/>
      <c r="BF899" s="33"/>
      <c r="BG899" s="33"/>
      <c r="BH899" s="33"/>
      <c r="BI899" s="33"/>
      <c r="BJ899" s="33"/>
      <c r="BK899" s="33"/>
      <c r="BL899" s="33"/>
      <c r="BM899" s="33"/>
      <c r="BN899" s="33"/>
      <c r="BO899" s="33"/>
      <c r="BP899" s="33"/>
      <c r="BQ899" s="33"/>
      <c r="BR899" s="33"/>
      <c r="BS899" s="33"/>
      <c r="BT899" s="33"/>
      <c r="BU899" s="33"/>
      <c r="BV899" s="33"/>
      <c r="BW899" s="33"/>
      <c r="BX899" s="33"/>
      <c r="BY899" s="33"/>
      <c r="BZ899" s="33"/>
      <c r="CA899" s="33"/>
      <c r="CB899" s="33"/>
      <c r="CC899" s="33"/>
      <c r="CD899" s="33"/>
      <c r="CE899" s="33"/>
      <c r="CF899" s="33"/>
      <c r="CG899" s="33"/>
      <c r="CH899" s="33"/>
      <c r="CI899" s="33"/>
      <c r="CJ899" s="33"/>
      <c r="CK899" s="33"/>
      <c r="CL899" s="33"/>
      <c r="CM899" s="33"/>
      <c r="CN899" s="33"/>
      <c r="CO899" s="33"/>
      <c r="CP899" s="33"/>
      <c r="CQ899" s="33"/>
      <c r="CR899" s="33"/>
      <c r="CS899" s="33"/>
      <c r="CT899" s="33"/>
      <c r="CU899" s="33"/>
      <c r="CV899" s="33"/>
      <c r="CW899" s="33"/>
      <c r="CX899" s="33"/>
      <c r="CY899" s="33"/>
      <c r="CZ899" s="33"/>
      <c r="DA899" s="33"/>
      <c r="DB899" s="33"/>
      <c r="DC899" s="33"/>
      <c r="DD899" s="33"/>
      <c r="DE899" s="33"/>
      <c r="DF899" s="33"/>
      <c r="DG899" s="33"/>
      <c r="DH899" s="33"/>
      <c r="DI899" s="33"/>
      <c r="DJ899" s="33"/>
      <c r="DK899" s="33"/>
      <c r="DL899" s="33"/>
      <c r="DM899" s="33"/>
      <c r="DN899" s="33"/>
      <c r="DO899" s="33"/>
      <c r="DP899" s="33"/>
      <c r="DQ899" s="33"/>
      <c r="DR899" s="33"/>
      <c r="DS899" s="33"/>
      <c r="DT899" s="33"/>
      <c r="DU899" s="33"/>
      <c r="DV899" s="33"/>
      <c r="DW899" s="33"/>
      <c r="DX899" s="33"/>
      <c r="DY899" s="33"/>
      <c r="DZ899" s="33"/>
      <c r="EA899" s="33"/>
      <c r="EB899" s="33"/>
      <c r="EC899" s="33"/>
      <c r="ED899" s="33"/>
      <c r="EE899" s="33"/>
      <c r="EF899" s="33"/>
      <c r="EG899" s="33"/>
      <c r="EH899" s="33"/>
      <c r="EI899" s="33"/>
      <c r="EJ899" s="33"/>
      <c r="EK899" s="33"/>
      <c r="EL899" s="33"/>
      <c r="EM899" s="33"/>
      <c r="EN899" s="33"/>
      <c r="EO899" s="33"/>
      <c r="EP899" s="33"/>
      <c r="EQ899" s="33"/>
      <c r="ER899" s="33"/>
      <c r="ES899" s="33"/>
    </row>
    <row r="900">
      <c r="A900" s="33"/>
      <c r="B900" s="33"/>
      <c r="C900" s="33"/>
      <c r="D900" s="33"/>
      <c r="E900" s="33"/>
      <c r="F900" s="33"/>
      <c r="G900" s="85"/>
      <c r="H900" s="85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33"/>
      <c r="Y900" s="33"/>
      <c r="Z900" s="33"/>
      <c r="AA900" s="33"/>
      <c r="AB900" s="33"/>
      <c r="AC900" s="33"/>
      <c r="AD900" s="33"/>
      <c r="AE900" s="33"/>
      <c r="AF900" s="33"/>
      <c r="AG900" s="33"/>
      <c r="AH900" s="33"/>
      <c r="AI900" s="33"/>
      <c r="AJ900" s="33"/>
      <c r="AK900" s="33"/>
      <c r="AL900" s="33"/>
      <c r="AM900" s="33"/>
      <c r="AN900" s="33"/>
      <c r="AO900" s="33"/>
      <c r="AP900" s="33"/>
      <c r="AQ900" s="33"/>
      <c r="AR900" s="33"/>
      <c r="AS900" s="33"/>
      <c r="AT900" s="33"/>
      <c r="AU900" s="33"/>
      <c r="AV900" s="33"/>
      <c r="AW900" s="33"/>
      <c r="AX900" s="33"/>
      <c r="AY900" s="33"/>
      <c r="AZ900" s="33"/>
      <c r="BA900" s="33"/>
      <c r="BB900" s="33"/>
      <c r="BC900" s="33"/>
      <c r="BD900" s="33"/>
      <c r="BE900" s="33"/>
      <c r="BF900" s="33"/>
      <c r="BG900" s="33"/>
      <c r="BH900" s="33"/>
      <c r="BI900" s="33"/>
      <c r="BJ900" s="33"/>
      <c r="BK900" s="33"/>
      <c r="BL900" s="33"/>
      <c r="BM900" s="33"/>
      <c r="BN900" s="33"/>
      <c r="BO900" s="33"/>
      <c r="BP900" s="33"/>
      <c r="BQ900" s="33"/>
      <c r="BR900" s="33"/>
      <c r="BS900" s="33"/>
      <c r="BT900" s="33"/>
      <c r="BU900" s="33"/>
      <c r="BV900" s="33"/>
      <c r="BW900" s="33"/>
      <c r="BX900" s="33"/>
      <c r="BY900" s="33"/>
      <c r="BZ900" s="33"/>
      <c r="CA900" s="33"/>
      <c r="CB900" s="33"/>
      <c r="CC900" s="33"/>
      <c r="CD900" s="33"/>
      <c r="CE900" s="33"/>
      <c r="CF900" s="33"/>
      <c r="CG900" s="33"/>
      <c r="CH900" s="33"/>
      <c r="CI900" s="33"/>
      <c r="CJ900" s="33"/>
      <c r="CK900" s="33"/>
      <c r="CL900" s="33"/>
      <c r="CM900" s="33"/>
      <c r="CN900" s="33"/>
      <c r="CO900" s="33"/>
      <c r="CP900" s="33"/>
      <c r="CQ900" s="33"/>
      <c r="CR900" s="33"/>
      <c r="CS900" s="33"/>
      <c r="CT900" s="33"/>
      <c r="CU900" s="33"/>
      <c r="CV900" s="33"/>
      <c r="CW900" s="33"/>
      <c r="CX900" s="33"/>
      <c r="CY900" s="33"/>
      <c r="CZ900" s="33"/>
      <c r="DA900" s="33"/>
      <c r="DB900" s="33"/>
      <c r="DC900" s="33"/>
      <c r="DD900" s="33"/>
      <c r="DE900" s="33"/>
      <c r="DF900" s="33"/>
      <c r="DG900" s="33"/>
      <c r="DH900" s="33"/>
      <c r="DI900" s="33"/>
      <c r="DJ900" s="33"/>
      <c r="DK900" s="33"/>
      <c r="DL900" s="33"/>
      <c r="DM900" s="33"/>
      <c r="DN900" s="33"/>
      <c r="DO900" s="33"/>
      <c r="DP900" s="33"/>
      <c r="DQ900" s="33"/>
      <c r="DR900" s="33"/>
      <c r="DS900" s="33"/>
      <c r="DT900" s="33"/>
      <c r="DU900" s="33"/>
      <c r="DV900" s="33"/>
      <c r="DW900" s="33"/>
      <c r="DX900" s="33"/>
      <c r="DY900" s="33"/>
      <c r="DZ900" s="33"/>
      <c r="EA900" s="33"/>
      <c r="EB900" s="33"/>
      <c r="EC900" s="33"/>
      <c r="ED900" s="33"/>
      <c r="EE900" s="33"/>
      <c r="EF900" s="33"/>
      <c r="EG900" s="33"/>
      <c r="EH900" s="33"/>
      <c r="EI900" s="33"/>
      <c r="EJ900" s="33"/>
      <c r="EK900" s="33"/>
      <c r="EL900" s="33"/>
      <c r="EM900" s="33"/>
      <c r="EN900" s="33"/>
      <c r="EO900" s="33"/>
      <c r="EP900" s="33"/>
      <c r="EQ900" s="33"/>
      <c r="ER900" s="33"/>
      <c r="ES900" s="33"/>
    </row>
    <row r="901">
      <c r="A901" s="33"/>
      <c r="B901" s="33"/>
      <c r="C901" s="33"/>
      <c r="D901" s="33"/>
      <c r="E901" s="33"/>
      <c r="F901" s="33"/>
      <c r="G901" s="85"/>
      <c r="H901" s="85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33"/>
      <c r="Y901" s="33"/>
      <c r="Z901" s="33"/>
      <c r="AA901" s="33"/>
      <c r="AB901" s="33"/>
      <c r="AC901" s="33"/>
      <c r="AD901" s="33"/>
      <c r="AE901" s="33"/>
      <c r="AF901" s="33"/>
      <c r="AG901" s="33"/>
      <c r="AH901" s="33"/>
      <c r="AI901" s="33"/>
      <c r="AJ901" s="33"/>
      <c r="AK901" s="33"/>
      <c r="AL901" s="33"/>
      <c r="AM901" s="33"/>
      <c r="AN901" s="33"/>
      <c r="AO901" s="33"/>
      <c r="AP901" s="33"/>
      <c r="AQ901" s="33"/>
      <c r="AR901" s="33"/>
      <c r="AS901" s="33"/>
      <c r="AT901" s="33"/>
      <c r="AU901" s="33"/>
      <c r="AV901" s="33"/>
      <c r="AW901" s="33"/>
      <c r="AX901" s="33"/>
      <c r="AY901" s="33"/>
      <c r="AZ901" s="33"/>
      <c r="BA901" s="33"/>
      <c r="BB901" s="33"/>
      <c r="BC901" s="33"/>
      <c r="BD901" s="33"/>
      <c r="BE901" s="33"/>
      <c r="BF901" s="33"/>
      <c r="BG901" s="33"/>
      <c r="BH901" s="33"/>
      <c r="BI901" s="33"/>
      <c r="BJ901" s="33"/>
      <c r="BK901" s="33"/>
      <c r="BL901" s="33"/>
      <c r="BM901" s="33"/>
      <c r="BN901" s="33"/>
      <c r="BO901" s="33"/>
      <c r="BP901" s="33"/>
      <c r="BQ901" s="33"/>
      <c r="BR901" s="33"/>
      <c r="BS901" s="33"/>
      <c r="BT901" s="33"/>
      <c r="BU901" s="33"/>
      <c r="BV901" s="33"/>
      <c r="BW901" s="33"/>
      <c r="BX901" s="33"/>
      <c r="BY901" s="33"/>
      <c r="BZ901" s="33"/>
      <c r="CA901" s="33"/>
      <c r="CB901" s="33"/>
      <c r="CC901" s="33"/>
      <c r="CD901" s="33"/>
      <c r="CE901" s="33"/>
      <c r="CF901" s="33"/>
      <c r="CG901" s="33"/>
      <c r="CH901" s="33"/>
      <c r="CI901" s="33"/>
      <c r="CJ901" s="33"/>
      <c r="CK901" s="33"/>
      <c r="CL901" s="33"/>
      <c r="CM901" s="33"/>
      <c r="CN901" s="33"/>
      <c r="CO901" s="33"/>
      <c r="CP901" s="33"/>
      <c r="CQ901" s="33"/>
      <c r="CR901" s="33"/>
      <c r="CS901" s="33"/>
      <c r="CT901" s="33"/>
      <c r="CU901" s="33"/>
      <c r="CV901" s="33"/>
      <c r="CW901" s="33"/>
      <c r="CX901" s="33"/>
      <c r="CY901" s="33"/>
      <c r="CZ901" s="33"/>
      <c r="DA901" s="33"/>
      <c r="DB901" s="33"/>
      <c r="DC901" s="33"/>
      <c r="DD901" s="33"/>
      <c r="DE901" s="33"/>
      <c r="DF901" s="33"/>
      <c r="DG901" s="33"/>
      <c r="DH901" s="33"/>
      <c r="DI901" s="33"/>
      <c r="DJ901" s="33"/>
      <c r="DK901" s="33"/>
      <c r="DL901" s="33"/>
      <c r="DM901" s="33"/>
      <c r="DN901" s="33"/>
      <c r="DO901" s="33"/>
      <c r="DP901" s="33"/>
      <c r="DQ901" s="33"/>
      <c r="DR901" s="33"/>
      <c r="DS901" s="33"/>
      <c r="DT901" s="33"/>
      <c r="DU901" s="33"/>
      <c r="DV901" s="33"/>
      <c r="DW901" s="33"/>
      <c r="DX901" s="33"/>
      <c r="DY901" s="33"/>
      <c r="DZ901" s="33"/>
      <c r="EA901" s="33"/>
      <c r="EB901" s="33"/>
      <c r="EC901" s="33"/>
      <c r="ED901" s="33"/>
      <c r="EE901" s="33"/>
      <c r="EF901" s="33"/>
      <c r="EG901" s="33"/>
      <c r="EH901" s="33"/>
      <c r="EI901" s="33"/>
      <c r="EJ901" s="33"/>
      <c r="EK901" s="33"/>
      <c r="EL901" s="33"/>
      <c r="EM901" s="33"/>
      <c r="EN901" s="33"/>
      <c r="EO901" s="33"/>
      <c r="EP901" s="33"/>
      <c r="EQ901" s="33"/>
      <c r="ER901" s="33"/>
      <c r="ES901" s="33"/>
    </row>
    <row r="902">
      <c r="A902" s="33"/>
      <c r="B902" s="33"/>
      <c r="C902" s="33"/>
      <c r="D902" s="33"/>
      <c r="E902" s="33"/>
      <c r="F902" s="33"/>
      <c r="G902" s="85"/>
      <c r="H902" s="85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33"/>
      <c r="Y902" s="33"/>
      <c r="Z902" s="33"/>
      <c r="AA902" s="33"/>
      <c r="AB902" s="33"/>
      <c r="AC902" s="33"/>
      <c r="AD902" s="33"/>
      <c r="AE902" s="33"/>
      <c r="AF902" s="33"/>
      <c r="AG902" s="33"/>
      <c r="AH902" s="33"/>
      <c r="AI902" s="33"/>
      <c r="AJ902" s="33"/>
      <c r="AK902" s="33"/>
      <c r="AL902" s="33"/>
      <c r="AM902" s="33"/>
      <c r="AN902" s="33"/>
      <c r="AO902" s="33"/>
      <c r="AP902" s="33"/>
      <c r="AQ902" s="33"/>
      <c r="AR902" s="33"/>
      <c r="AS902" s="33"/>
      <c r="AT902" s="33"/>
      <c r="AU902" s="33"/>
      <c r="AV902" s="33"/>
      <c r="AW902" s="33"/>
      <c r="AX902" s="33"/>
      <c r="AY902" s="33"/>
      <c r="AZ902" s="33"/>
      <c r="BA902" s="33"/>
      <c r="BB902" s="33"/>
      <c r="BC902" s="33"/>
      <c r="BD902" s="33"/>
      <c r="BE902" s="33"/>
      <c r="BF902" s="33"/>
      <c r="BG902" s="33"/>
      <c r="BH902" s="33"/>
      <c r="BI902" s="33"/>
      <c r="BJ902" s="33"/>
      <c r="BK902" s="33"/>
      <c r="BL902" s="33"/>
      <c r="BM902" s="33"/>
      <c r="BN902" s="33"/>
      <c r="BO902" s="33"/>
      <c r="BP902" s="33"/>
      <c r="BQ902" s="33"/>
      <c r="BR902" s="33"/>
      <c r="BS902" s="33"/>
      <c r="BT902" s="33"/>
      <c r="BU902" s="33"/>
      <c r="BV902" s="33"/>
      <c r="BW902" s="33"/>
      <c r="BX902" s="33"/>
      <c r="BY902" s="33"/>
      <c r="BZ902" s="33"/>
      <c r="CA902" s="33"/>
      <c r="CB902" s="33"/>
      <c r="CC902" s="33"/>
      <c r="CD902" s="33"/>
      <c r="CE902" s="33"/>
      <c r="CF902" s="33"/>
      <c r="CG902" s="33"/>
      <c r="CH902" s="33"/>
      <c r="CI902" s="33"/>
      <c r="CJ902" s="33"/>
      <c r="CK902" s="33"/>
      <c r="CL902" s="33"/>
      <c r="CM902" s="33"/>
      <c r="CN902" s="33"/>
      <c r="CO902" s="33"/>
      <c r="CP902" s="33"/>
      <c r="CQ902" s="33"/>
      <c r="CR902" s="33"/>
      <c r="CS902" s="33"/>
      <c r="CT902" s="33"/>
      <c r="CU902" s="33"/>
      <c r="CV902" s="33"/>
      <c r="CW902" s="33"/>
      <c r="CX902" s="33"/>
      <c r="CY902" s="33"/>
      <c r="CZ902" s="33"/>
      <c r="DA902" s="33"/>
      <c r="DB902" s="33"/>
      <c r="DC902" s="33"/>
      <c r="DD902" s="33"/>
      <c r="DE902" s="33"/>
      <c r="DF902" s="33"/>
      <c r="DG902" s="33"/>
      <c r="DH902" s="33"/>
      <c r="DI902" s="33"/>
      <c r="DJ902" s="33"/>
      <c r="DK902" s="33"/>
      <c r="DL902" s="33"/>
      <c r="DM902" s="33"/>
      <c r="DN902" s="33"/>
      <c r="DO902" s="33"/>
      <c r="DP902" s="33"/>
      <c r="DQ902" s="33"/>
      <c r="DR902" s="33"/>
      <c r="DS902" s="33"/>
      <c r="DT902" s="33"/>
      <c r="DU902" s="33"/>
      <c r="DV902" s="33"/>
      <c r="DW902" s="33"/>
      <c r="DX902" s="33"/>
      <c r="DY902" s="33"/>
      <c r="DZ902" s="33"/>
      <c r="EA902" s="33"/>
      <c r="EB902" s="33"/>
      <c r="EC902" s="33"/>
      <c r="ED902" s="33"/>
      <c r="EE902" s="33"/>
      <c r="EF902" s="33"/>
      <c r="EG902" s="33"/>
      <c r="EH902" s="33"/>
      <c r="EI902" s="33"/>
      <c r="EJ902" s="33"/>
      <c r="EK902" s="33"/>
      <c r="EL902" s="33"/>
      <c r="EM902" s="33"/>
      <c r="EN902" s="33"/>
      <c r="EO902" s="33"/>
      <c r="EP902" s="33"/>
      <c r="EQ902" s="33"/>
      <c r="ER902" s="33"/>
      <c r="ES902" s="33"/>
    </row>
    <row r="903">
      <c r="A903" s="33"/>
      <c r="B903" s="33"/>
      <c r="C903" s="33"/>
      <c r="D903" s="33"/>
      <c r="E903" s="33"/>
      <c r="F903" s="33"/>
      <c r="G903" s="85"/>
      <c r="H903" s="85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33"/>
      <c r="Y903" s="33"/>
      <c r="Z903" s="33"/>
      <c r="AA903" s="33"/>
      <c r="AB903" s="33"/>
      <c r="AC903" s="33"/>
      <c r="AD903" s="33"/>
      <c r="AE903" s="33"/>
      <c r="AF903" s="33"/>
      <c r="AG903" s="33"/>
      <c r="AH903" s="33"/>
      <c r="AI903" s="33"/>
      <c r="AJ903" s="33"/>
      <c r="AK903" s="33"/>
      <c r="AL903" s="33"/>
      <c r="AM903" s="33"/>
      <c r="AN903" s="33"/>
      <c r="AO903" s="33"/>
      <c r="AP903" s="33"/>
      <c r="AQ903" s="33"/>
      <c r="AR903" s="33"/>
      <c r="AS903" s="33"/>
      <c r="AT903" s="33"/>
      <c r="AU903" s="33"/>
      <c r="AV903" s="33"/>
      <c r="AW903" s="33"/>
      <c r="AX903" s="33"/>
      <c r="AY903" s="33"/>
      <c r="AZ903" s="33"/>
      <c r="BA903" s="33"/>
      <c r="BB903" s="33"/>
      <c r="BC903" s="33"/>
      <c r="BD903" s="33"/>
      <c r="BE903" s="33"/>
      <c r="BF903" s="33"/>
      <c r="BG903" s="33"/>
      <c r="BH903" s="33"/>
      <c r="BI903" s="33"/>
      <c r="BJ903" s="33"/>
      <c r="BK903" s="33"/>
      <c r="BL903" s="33"/>
      <c r="BM903" s="33"/>
      <c r="BN903" s="33"/>
      <c r="BO903" s="33"/>
      <c r="BP903" s="33"/>
      <c r="BQ903" s="33"/>
      <c r="BR903" s="33"/>
      <c r="BS903" s="33"/>
      <c r="BT903" s="33"/>
      <c r="BU903" s="33"/>
      <c r="BV903" s="33"/>
      <c r="BW903" s="33"/>
      <c r="BX903" s="33"/>
      <c r="BY903" s="33"/>
      <c r="BZ903" s="33"/>
      <c r="CA903" s="33"/>
      <c r="CB903" s="33"/>
      <c r="CC903" s="33"/>
      <c r="CD903" s="33"/>
      <c r="CE903" s="33"/>
      <c r="CF903" s="33"/>
      <c r="CG903" s="33"/>
      <c r="CH903" s="33"/>
      <c r="CI903" s="33"/>
      <c r="CJ903" s="33"/>
      <c r="CK903" s="33"/>
      <c r="CL903" s="33"/>
      <c r="CM903" s="33"/>
      <c r="CN903" s="33"/>
      <c r="CO903" s="33"/>
      <c r="CP903" s="33"/>
      <c r="CQ903" s="33"/>
      <c r="CR903" s="33"/>
      <c r="CS903" s="33"/>
      <c r="CT903" s="33"/>
      <c r="CU903" s="33"/>
      <c r="CV903" s="33"/>
      <c r="CW903" s="33"/>
      <c r="CX903" s="33"/>
      <c r="CY903" s="33"/>
      <c r="CZ903" s="33"/>
      <c r="DA903" s="33"/>
      <c r="DB903" s="33"/>
      <c r="DC903" s="33"/>
      <c r="DD903" s="33"/>
      <c r="DE903" s="33"/>
      <c r="DF903" s="33"/>
      <c r="DG903" s="33"/>
      <c r="DH903" s="33"/>
      <c r="DI903" s="33"/>
      <c r="DJ903" s="33"/>
      <c r="DK903" s="33"/>
      <c r="DL903" s="33"/>
      <c r="DM903" s="33"/>
      <c r="DN903" s="33"/>
      <c r="DO903" s="33"/>
      <c r="DP903" s="33"/>
      <c r="DQ903" s="33"/>
      <c r="DR903" s="33"/>
      <c r="DS903" s="33"/>
      <c r="DT903" s="33"/>
      <c r="DU903" s="33"/>
      <c r="DV903" s="33"/>
      <c r="DW903" s="33"/>
      <c r="DX903" s="33"/>
      <c r="DY903" s="33"/>
      <c r="DZ903" s="33"/>
      <c r="EA903" s="33"/>
      <c r="EB903" s="33"/>
      <c r="EC903" s="33"/>
      <c r="ED903" s="33"/>
      <c r="EE903" s="33"/>
      <c r="EF903" s="33"/>
      <c r="EG903" s="33"/>
      <c r="EH903" s="33"/>
      <c r="EI903" s="33"/>
      <c r="EJ903" s="33"/>
      <c r="EK903" s="33"/>
      <c r="EL903" s="33"/>
      <c r="EM903" s="33"/>
      <c r="EN903" s="33"/>
      <c r="EO903" s="33"/>
      <c r="EP903" s="33"/>
      <c r="EQ903" s="33"/>
      <c r="ER903" s="33"/>
      <c r="ES903" s="33"/>
    </row>
    <row r="904">
      <c r="A904" s="33"/>
      <c r="B904" s="33"/>
      <c r="C904" s="33"/>
      <c r="D904" s="33"/>
      <c r="E904" s="33"/>
      <c r="F904" s="33"/>
      <c r="G904" s="85"/>
      <c r="H904" s="85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33"/>
      <c r="Y904" s="33"/>
      <c r="Z904" s="33"/>
      <c r="AA904" s="33"/>
      <c r="AB904" s="33"/>
      <c r="AC904" s="33"/>
      <c r="AD904" s="33"/>
      <c r="AE904" s="33"/>
      <c r="AF904" s="33"/>
      <c r="AG904" s="33"/>
      <c r="AH904" s="33"/>
      <c r="AI904" s="33"/>
      <c r="AJ904" s="33"/>
      <c r="AK904" s="33"/>
      <c r="AL904" s="33"/>
      <c r="AM904" s="33"/>
      <c r="AN904" s="33"/>
      <c r="AO904" s="33"/>
      <c r="AP904" s="33"/>
      <c r="AQ904" s="33"/>
      <c r="AR904" s="33"/>
      <c r="AS904" s="33"/>
      <c r="AT904" s="33"/>
      <c r="AU904" s="33"/>
      <c r="AV904" s="33"/>
      <c r="AW904" s="33"/>
      <c r="AX904" s="33"/>
      <c r="AY904" s="33"/>
      <c r="AZ904" s="33"/>
      <c r="BA904" s="33"/>
      <c r="BB904" s="33"/>
      <c r="BC904" s="33"/>
      <c r="BD904" s="33"/>
      <c r="BE904" s="33"/>
      <c r="BF904" s="33"/>
      <c r="BG904" s="33"/>
      <c r="BH904" s="33"/>
      <c r="BI904" s="33"/>
      <c r="BJ904" s="33"/>
      <c r="BK904" s="33"/>
      <c r="BL904" s="33"/>
      <c r="BM904" s="33"/>
      <c r="BN904" s="33"/>
      <c r="BO904" s="33"/>
      <c r="BP904" s="33"/>
      <c r="BQ904" s="33"/>
      <c r="BR904" s="33"/>
      <c r="BS904" s="33"/>
      <c r="BT904" s="33"/>
      <c r="BU904" s="33"/>
      <c r="BV904" s="33"/>
      <c r="BW904" s="33"/>
      <c r="BX904" s="33"/>
      <c r="BY904" s="33"/>
      <c r="BZ904" s="33"/>
      <c r="CA904" s="33"/>
      <c r="CB904" s="33"/>
      <c r="CC904" s="33"/>
      <c r="CD904" s="33"/>
      <c r="CE904" s="33"/>
      <c r="CF904" s="33"/>
      <c r="CG904" s="33"/>
      <c r="CH904" s="33"/>
      <c r="CI904" s="33"/>
      <c r="CJ904" s="33"/>
      <c r="CK904" s="33"/>
      <c r="CL904" s="33"/>
      <c r="CM904" s="33"/>
      <c r="CN904" s="33"/>
      <c r="CO904" s="33"/>
      <c r="CP904" s="33"/>
      <c r="CQ904" s="33"/>
      <c r="CR904" s="33"/>
      <c r="CS904" s="33"/>
      <c r="CT904" s="33"/>
      <c r="CU904" s="33"/>
      <c r="CV904" s="33"/>
      <c r="CW904" s="33"/>
      <c r="CX904" s="33"/>
      <c r="CY904" s="33"/>
      <c r="CZ904" s="33"/>
      <c r="DA904" s="33"/>
      <c r="DB904" s="33"/>
      <c r="DC904" s="33"/>
      <c r="DD904" s="33"/>
      <c r="DE904" s="33"/>
      <c r="DF904" s="33"/>
      <c r="DG904" s="33"/>
      <c r="DH904" s="33"/>
      <c r="DI904" s="33"/>
      <c r="DJ904" s="33"/>
      <c r="DK904" s="33"/>
      <c r="DL904" s="33"/>
      <c r="DM904" s="33"/>
      <c r="DN904" s="33"/>
      <c r="DO904" s="33"/>
      <c r="DP904" s="33"/>
      <c r="DQ904" s="33"/>
      <c r="DR904" s="33"/>
      <c r="DS904" s="33"/>
      <c r="DT904" s="33"/>
      <c r="DU904" s="33"/>
      <c r="DV904" s="33"/>
      <c r="DW904" s="33"/>
      <c r="DX904" s="33"/>
      <c r="DY904" s="33"/>
      <c r="DZ904" s="33"/>
      <c r="EA904" s="33"/>
      <c r="EB904" s="33"/>
      <c r="EC904" s="33"/>
      <c r="ED904" s="33"/>
      <c r="EE904" s="33"/>
      <c r="EF904" s="33"/>
      <c r="EG904" s="33"/>
      <c r="EH904" s="33"/>
      <c r="EI904" s="33"/>
      <c r="EJ904" s="33"/>
      <c r="EK904" s="33"/>
      <c r="EL904" s="33"/>
      <c r="EM904" s="33"/>
      <c r="EN904" s="33"/>
      <c r="EO904" s="33"/>
      <c r="EP904" s="33"/>
      <c r="EQ904" s="33"/>
      <c r="ER904" s="33"/>
      <c r="ES904" s="33"/>
    </row>
    <row r="905">
      <c r="A905" s="33"/>
      <c r="B905" s="33"/>
      <c r="C905" s="33"/>
      <c r="D905" s="33"/>
      <c r="E905" s="33"/>
      <c r="F905" s="33"/>
      <c r="G905" s="85"/>
      <c r="H905" s="85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33"/>
      <c r="Y905" s="33"/>
      <c r="Z905" s="33"/>
      <c r="AA905" s="33"/>
      <c r="AB905" s="33"/>
      <c r="AC905" s="33"/>
      <c r="AD905" s="33"/>
      <c r="AE905" s="33"/>
      <c r="AF905" s="33"/>
      <c r="AG905" s="33"/>
      <c r="AH905" s="33"/>
      <c r="AI905" s="33"/>
      <c r="AJ905" s="33"/>
      <c r="AK905" s="33"/>
      <c r="AL905" s="33"/>
      <c r="AM905" s="33"/>
      <c r="AN905" s="33"/>
      <c r="AO905" s="33"/>
      <c r="AP905" s="33"/>
      <c r="AQ905" s="33"/>
      <c r="AR905" s="33"/>
      <c r="AS905" s="33"/>
      <c r="AT905" s="33"/>
      <c r="AU905" s="33"/>
      <c r="AV905" s="33"/>
      <c r="AW905" s="33"/>
      <c r="AX905" s="33"/>
      <c r="AY905" s="33"/>
      <c r="AZ905" s="33"/>
      <c r="BA905" s="33"/>
      <c r="BB905" s="33"/>
      <c r="BC905" s="33"/>
      <c r="BD905" s="33"/>
      <c r="BE905" s="33"/>
      <c r="BF905" s="33"/>
      <c r="BG905" s="33"/>
      <c r="BH905" s="33"/>
      <c r="BI905" s="33"/>
      <c r="BJ905" s="33"/>
      <c r="BK905" s="33"/>
      <c r="BL905" s="33"/>
      <c r="BM905" s="33"/>
      <c r="BN905" s="33"/>
      <c r="BO905" s="33"/>
      <c r="BP905" s="33"/>
      <c r="BQ905" s="33"/>
      <c r="BR905" s="33"/>
      <c r="BS905" s="33"/>
      <c r="BT905" s="33"/>
      <c r="BU905" s="33"/>
      <c r="BV905" s="33"/>
      <c r="BW905" s="33"/>
      <c r="BX905" s="33"/>
      <c r="BY905" s="33"/>
      <c r="BZ905" s="33"/>
      <c r="CA905" s="33"/>
      <c r="CB905" s="33"/>
      <c r="CC905" s="33"/>
      <c r="CD905" s="33"/>
      <c r="CE905" s="33"/>
      <c r="CF905" s="33"/>
      <c r="CG905" s="33"/>
      <c r="CH905" s="33"/>
      <c r="CI905" s="33"/>
      <c r="CJ905" s="33"/>
      <c r="CK905" s="33"/>
      <c r="CL905" s="33"/>
      <c r="CM905" s="33"/>
      <c r="CN905" s="33"/>
      <c r="CO905" s="33"/>
      <c r="CP905" s="33"/>
      <c r="CQ905" s="33"/>
      <c r="CR905" s="33"/>
      <c r="CS905" s="33"/>
      <c r="CT905" s="33"/>
      <c r="CU905" s="33"/>
      <c r="CV905" s="33"/>
      <c r="CW905" s="33"/>
      <c r="CX905" s="33"/>
      <c r="CY905" s="33"/>
      <c r="CZ905" s="33"/>
      <c r="DA905" s="33"/>
      <c r="DB905" s="33"/>
      <c r="DC905" s="33"/>
      <c r="DD905" s="33"/>
      <c r="DE905" s="33"/>
      <c r="DF905" s="33"/>
      <c r="DG905" s="33"/>
      <c r="DH905" s="33"/>
      <c r="DI905" s="33"/>
      <c r="DJ905" s="33"/>
      <c r="DK905" s="33"/>
      <c r="DL905" s="33"/>
      <c r="DM905" s="33"/>
      <c r="DN905" s="33"/>
      <c r="DO905" s="33"/>
      <c r="DP905" s="33"/>
      <c r="DQ905" s="33"/>
      <c r="DR905" s="33"/>
      <c r="DS905" s="33"/>
      <c r="DT905" s="33"/>
      <c r="DU905" s="33"/>
      <c r="DV905" s="33"/>
      <c r="DW905" s="33"/>
      <c r="DX905" s="33"/>
      <c r="DY905" s="33"/>
      <c r="DZ905" s="33"/>
      <c r="EA905" s="33"/>
      <c r="EB905" s="33"/>
      <c r="EC905" s="33"/>
      <c r="ED905" s="33"/>
      <c r="EE905" s="33"/>
      <c r="EF905" s="33"/>
      <c r="EG905" s="33"/>
      <c r="EH905" s="33"/>
      <c r="EI905" s="33"/>
      <c r="EJ905" s="33"/>
      <c r="EK905" s="33"/>
      <c r="EL905" s="33"/>
      <c r="EM905" s="33"/>
      <c r="EN905" s="33"/>
      <c r="EO905" s="33"/>
      <c r="EP905" s="33"/>
      <c r="EQ905" s="33"/>
      <c r="ER905" s="33"/>
      <c r="ES905" s="33"/>
    </row>
    <row r="906">
      <c r="A906" s="33"/>
      <c r="B906" s="33"/>
      <c r="C906" s="33"/>
      <c r="D906" s="33"/>
      <c r="E906" s="33"/>
      <c r="F906" s="33"/>
      <c r="G906" s="85"/>
      <c r="H906" s="85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33"/>
      <c r="Y906" s="33"/>
      <c r="Z906" s="33"/>
      <c r="AA906" s="33"/>
      <c r="AB906" s="33"/>
      <c r="AC906" s="33"/>
      <c r="AD906" s="33"/>
      <c r="AE906" s="33"/>
      <c r="AF906" s="33"/>
      <c r="AG906" s="33"/>
      <c r="AH906" s="33"/>
      <c r="AI906" s="33"/>
      <c r="AJ906" s="33"/>
      <c r="AK906" s="33"/>
      <c r="AL906" s="33"/>
      <c r="AM906" s="33"/>
      <c r="AN906" s="33"/>
      <c r="AO906" s="33"/>
      <c r="AP906" s="33"/>
      <c r="AQ906" s="33"/>
      <c r="AR906" s="33"/>
      <c r="AS906" s="33"/>
      <c r="AT906" s="33"/>
      <c r="AU906" s="33"/>
      <c r="AV906" s="33"/>
      <c r="AW906" s="33"/>
      <c r="AX906" s="33"/>
      <c r="AY906" s="33"/>
      <c r="AZ906" s="33"/>
      <c r="BA906" s="33"/>
      <c r="BB906" s="33"/>
      <c r="BC906" s="33"/>
      <c r="BD906" s="33"/>
      <c r="BE906" s="33"/>
      <c r="BF906" s="33"/>
      <c r="BG906" s="33"/>
      <c r="BH906" s="33"/>
      <c r="BI906" s="33"/>
      <c r="BJ906" s="33"/>
      <c r="BK906" s="33"/>
      <c r="BL906" s="33"/>
      <c r="BM906" s="33"/>
      <c r="BN906" s="33"/>
      <c r="BO906" s="33"/>
      <c r="BP906" s="33"/>
      <c r="BQ906" s="33"/>
      <c r="BR906" s="33"/>
      <c r="BS906" s="33"/>
      <c r="BT906" s="33"/>
      <c r="BU906" s="33"/>
      <c r="BV906" s="33"/>
      <c r="BW906" s="33"/>
      <c r="BX906" s="33"/>
      <c r="BY906" s="33"/>
      <c r="BZ906" s="33"/>
      <c r="CA906" s="33"/>
      <c r="CB906" s="33"/>
      <c r="CC906" s="33"/>
      <c r="CD906" s="33"/>
      <c r="CE906" s="33"/>
      <c r="CF906" s="33"/>
      <c r="CG906" s="33"/>
      <c r="CH906" s="33"/>
      <c r="CI906" s="33"/>
      <c r="CJ906" s="33"/>
      <c r="CK906" s="33"/>
      <c r="CL906" s="33"/>
      <c r="CM906" s="33"/>
      <c r="CN906" s="33"/>
      <c r="CO906" s="33"/>
      <c r="CP906" s="33"/>
      <c r="CQ906" s="33"/>
      <c r="CR906" s="33"/>
      <c r="CS906" s="33"/>
      <c r="CT906" s="33"/>
      <c r="CU906" s="33"/>
      <c r="CV906" s="33"/>
      <c r="CW906" s="33"/>
      <c r="CX906" s="33"/>
      <c r="CY906" s="33"/>
      <c r="CZ906" s="33"/>
      <c r="DA906" s="33"/>
      <c r="DB906" s="33"/>
      <c r="DC906" s="33"/>
      <c r="DD906" s="33"/>
      <c r="DE906" s="33"/>
      <c r="DF906" s="33"/>
      <c r="DG906" s="33"/>
      <c r="DH906" s="33"/>
      <c r="DI906" s="33"/>
      <c r="DJ906" s="33"/>
      <c r="DK906" s="33"/>
      <c r="DL906" s="33"/>
      <c r="DM906" s="33"/>
      <c r="DN906" s="33"/>
      <c r="DO906" s="33"/>
      <c r="DP906" s="33"/>
      <c r="DQ906" s="33"/>
      <c r="DR906" s="33"/>
      <c r="DS906" s="33"/>
      <c r="DT906" s="33"/>
      <c r="DU906" s="33"/>
      <c r="DV906" s="33"/>
      <c r="DW906" s="33"/>
      <c r="DX906" s="33"/>
      <c r="DY906" s="33"/>
      <c r="DZ906" s="33"/>
      <c r="EA906" s="33"/>
      <c r="EB906" s="33"/>
      <c r="EC906" s="33"/>
      <c r="ED906" s="33"/>
      <c r="EE906" s="33"/>
      <c r="EF906" s="33"/>
      <c r="EG906" s="33"/>
      <c r="EH906" s="33"/>
      <c r="EI906" s="33"/>
      <c r="EJ906" s="33"/>
      <c r="EK906" s="33"/>
      <c r="EL906" s="33"/>
      <c r="EM906" s="33"/>
      <c r="EN906" s="33"/>
      <c r="EO906" s="33"/>
      <c r="EP906" s="33"/>
      <c r="EQ906" s="33"/>
      <c r="ER906" s="33"/>
      <c r="ES906" s="33"/>
    </row>
    <row r="907">
      <c r="A907" s="33"/>
      <c r="B907" s="33"/>
      <c r="C907" s="33"/>
      <c r="D907" s="33"/>
      <c r="E907" s="33"/>
      <c r="F907" s="33"/>
      <c r="G907" s="85"/>
      <c r="H907" s="85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33"/>
      <c r="Y907" s="33"/>
      <c r="Z907" s="33"/>
      <c r="AA907" s="33"/>
      <c r="AB907" s="33"/>
      <c r="AC907" s="33"/>
      <c r="AD907" s="33"/>
      <c r="AE907" s="33"/>
      <c r="AF907" s="33"/>
      <c r="AG907" s="33"/>
      <c r="AH907" s="33"/>
      <c r="AI907" s="33"/>
      <c r="AJ907" s="33"/>
      <c r="AK907" s="33"/>
      <c r="AL907" s="33"/>
      <c r="AM907" s="33"/>
      <c r="AN907" s="33"/>
      <c r="AO907" s="33"/>
      <c r="AP907" s="33"/>
      <c r="AQ907" s="33"/>
      <c r="AR907" s="33"/>
      <c r="AS907" s="33"/>
      <c r="AT907" s="33"/>
      <c r="AU907" s="33"/>
      <c r="AV907" s="33"/>
      <c r="AW907" s="33"/>
      <c r="AX907" s="33"/>
      <c r="AY907" s="33"/>
      <c r="AZ907" s="33"/>
      <c r="BA907" s="33"/>
      <c r="BB907" s="33"/>
      <c r="BC907" s="33"/>
      <c r="BD907" s="33"/>
      <c r="BE907" s="33"/>
      <c r="BF907" s="33"/>
      <c r="BG907" s="33"/>
      <c r="BH907" s="33"/>
      <c r="BI907" s="33"/>
      <c r="BJ907" s="33"/>
      <c r="BK907" s="33"/>
      <c r="BL907" s="33"/>
      <c r="BM907" s="33"/>
      <c r="BN907" s="33"/>
      <c r="BO907" s="33"/>
      <c r="BP907" s="33"/>
      <c r="BQ907" s="33"/>
      <c r="BR907" s="33"/>
      <c r="BS907" s="33"/>
      <c r="BT907" s="33"/>
      <c r="BU907" s="33"/>
      <c r="BV907" s="33"/>
      <c r="BW907" s="33"/>
      <c r="BX907" s="33"/>
      <c r="BY907" s="33"/>
      <c r="BZ907" s="33"/>
      <c r="CA907" s="33"/>
      <c r="CB907" s="33"/>
      <c r="CC907" s="33"/>
      <c r="CD907" s="33"/>
      <c r="CE907" s="33"/>
      <c r="CF907" s="33"/>
      <c r="CG907" s="33"/>
      <c r="CH907" s="33"/>
      <c r="CI907" s="33"/>
      <c r="CJ907" s="33"/>
      <c r="CK907" s="33"/>
      <c r="CL907" s="33"/>
      <c r="CM907" s="33"/>
      <c r="CN907" s="33"/>
      <c r="CO907" s="33"/>
      <c r="CP907" s="33"/>
      <c r="CQ907" s="33"/>
      <c r="CR907" s="33"/>
      <c r="CS907" s="33"/>
      <c r="CT907" s="33"/>
      <c r="CU907" s="33"/>
      <c r="CV907" s="33"/>
      <c r="CW907" s="33"/>
      <c r="CX907" s="33"/>
      <c r="CY907" s="33"/>
      <c r="CZ907" s="33"/>
      <c r="DA907" s="33"/>
      <c r="DB907" s="33"/>
      <c r="DC907" s="33"/>
      <c r="DD907" s="33"/>
      <c r="DE907" s="33"/>
      <c r="DF907" s="33"/>
      <c r="DG907" s="33"/>
      <c r="DH907" s="33"/>
      <c r="DI907" s="33"/>
      <c r="DJ907" s="33"/>
      <c r="DK907" s="33"/>
      <c r="DL907" s="33"/>
      <c r="DM907" s="33"/>
      <c r="DN907" s="33"/>
      <c r="DO907" s="33"/>
      <c r="DP907" s="33"/>
      <c r="DQ907" s="33"/>
      <c r="DR907" s="33"/>
      <c r="DS907" s="33"/>
      <c r="DT907" s="33"/>
      <c r="DU907" s="33"/>
      <c r="DV907" s="33"/>
      <c r="DW907" s="33"/>
      <c r="DX907" s="33"/>
      <c r="DY907" s="33"/>
      <c r="DZ907" s="33"/>
      <c r="EA907" s="33"/>
      <c r="EB907" s="33"/>
      <c r="EC907" s="33"/>
      <c r="ED907" s="33"/>
      <c r="EE907" s="33"/>
      <c r="EF907" s="33"/>
      <c r="EG907" s="33"/>
      <c r="EH907" s="33"/>
      <c r="EI907" s="33"/>
      <c r="EJ907" s="33"/>
      <c r="EK907" s="33"/>
      <c r="EL907" s="33"/>
      <c r="EM907" s="33"/>
      <c r="EN907" s="33"/>
      <c r="EO907" s="33"/>
      <c r="EP907" s="33"/>
      <c r="EQ907" s="33"/>
      <c r="ER907" s="33"/>
      <c r="ES907" s="33"/>
    </row>
    <row r="908">
      <c r="A908" s="33"/>
      <c r="B908" s="33"/>
      <c r="C908" s="33"/>
      <c r="D908" s="33"/>
      <c r="E908" s="33"/>
      <c r="F908" s="33"/>
      <c r="G908" s="85"/>
      <c r="H908" s="85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33"/>
      <c r="Y908" s="33"/>
      <c r="Z908" s="33"/>
      <c r="AA908" s="33"/>
      <c r="AB908" s="33"/>
      <c r="AC908" s="33"/>
      <c r="AD908" s="33"/>
      <c r="AE908" s="33"/>
      <c r="AF908" s="33"/>
      <c r="AG908" s="33"/>
      <c r="AH908" s="33"/>
      <c r="AI908" s="33"/>
      <c r="AJ908" s="33"/>
      <c r="AK908" s="33"/>
      <c r="AL908" s="33"/>
      <c r="AM908" s="33"/>
      <c r="AN908" s="33"/>
      <c r="AO908" s="33"/>
      <c r="AP908" s="33"/>
      <c r="AQ908" s="33"/>
      <c r="AR908" s="33"/>
      <c r="AS908" s="33"/>
      <c r="AT908" s="33"/>
      <c r="AU908" s="33"/>
      <c r="AV908" s="33"/>
      <c r="AW908" s="33"/>
      <c r="AX908" s="33"/>
      <c r="AY908" s="33"/>
      <c r="AZ908" s="33"/>
      <c r="BA908" s="33"/>
      <c r="BB908" s="33"/>
      <c r="BC908" s="33"/>
      <c r="BD908" s="33"/>
      <c r="BE908" s="33"/>
      <c r="BF908" s="33"/>
      <c r="BG908" s="33"/>
      <c r="BH908" s="33"/>
      <c r="BI908" s="33"/>
      <c r="BJ908" s="33"/>
      <c r="BK908" s="33"/>
      <c r="BL908" s="33"/>
      <c r="BM908" s="33"/>
      <c r="BN908" s="33"/>
      <c r="BO908" s="33"/>
      <c r="BP908" s="33"/>
      <c r="BQ908" s="33"/>
      <c r="BR908" s="33"/>
      <c r="BS908" s="33"/>
      <c r="BT908" s="33"/>
      <c r="BU908" s="33"/>
      <c r="BV908" s="33"/>
      <c r="BW908" s="33"/>
      <c r="BX908" s="33"/>
      <c r="BY908" s="33"/>
      <c r="BZ908" s="33"/>
      <c r="CA908" s="33"/>
      <c r="CB908" s="33"/>
      <c r="CC908" s="33"/>
      <c r="CD908" s="33"/>
      <c r="CE908" s="33"/>
      <c r="CF908" s="33"/>
      <c r="CG908" s="33"/>
      <c r="CH908" s="33"/>
      <c r="CI908" s="33"/>
      <c r="CJ908" s="33"/>
      <c r="CK908" s="33"/>
      <c r="CL908" s="33"/>
      <c r="CM908" s="33"/>
      <c r="CN908" s="33"/>
      <c r="CO908" s="33"/>
      <c r="CP908" s="33"/>
      <c r="CQ908" s="33"/>
      <c r="CR908" s="33"/>
      <c r="CS908" s="33"/>
      <c r="CT908" s="33"/>
      <c r="CU908" s="33"/>
      <c r="CV908" s="33"/>
      <c r="CW908" s="33"/>
      <c r="CX908" s="33"/>
      <c r="CY908" s="33"/>
      <c r="CZ908" s="33"/>
      <c r="DA908" s="33"/>
      <c r="DB908" s="33"/>
      <c r="DC908" s="33"/>
      <c r="DD908" s="33"/>
      <c r="DE908" s="33"/>
      <c r="DF908" s="33"/>
      <c r="DG908" s="33"/>
      <c r="DH908" s="33"/>
      <c r="DI908" s="33"/>
      <c r="DJ908" s="33"/>
      <c r="DK908" s="33"/>
      <c r="DL908" s="33"/>
      <c r="DM908" s="33"/>
      <c r="DN908" s="33"/>
      <c r="DO908" s="33"/>
      <c r="DP908" s="33"/>
      <c r="DQ908" s="33"/>
      <c r="DR908" s="33"/>
      <c r="DS908" s="33"/>
      <c r="DT908" s="33"/>
      <c r="DU908" s="33"/>
      <c r="DV908" s="33"/>
      <c r="DW908" s="33"/>
      <c r="DX908" s="33"/>
      <c r="DY908" s="33"/>
      <c r="DZ908" s="33"/>
      <c r="EA908" s="33"/>
      <c r="EB908" s="33"/>
      <c r="EC908" s="33"/>
      <c r="ED908" s="33"/>
      <c r="EE908" s="33"/>
      <c r="EF908" s="33"/>
      <c r="EG908" s="33"/>
      <c r="EH908" s="33"/>
      <c r="EI908" s="33"/>
      <c r="EJ908" s="33"/>
      <c r="EK908" s="33"/>
      <c r="EL908" s="33"/>
      <c r="EM908" s="33"/>
      <c r="EN908" s="33"/>
      <c r="EO908" s="33"/>
      <c r="EP908" s="33"/>
      <c r="EQ908" s="33"/>
      <c r="ER908" s="33"/>
      <c r="ES908" s="33"/>
    </row>
    <row r="909">
      <c r="A909" s="33"/>
      <c r="B909" s="33"/>
      <c r="C909" s="33"/>
      <c r="D909" s="33"/>
      <c r="E909" s="33"/>
      <c r="F909" s="33"/>
      <c r="G909" s="85"/>
      <c r="H909" s="85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33"/>
      <c r="Y909" s="33"/>
      <c r="Z909" s="33"/>
      <c r="AA909" s="33"/>
      <c r="AB909" s="33"/>
      <c r="AC909" s="33"/>
      <c r="AD909" s="33"/>
      <c r="AE909" s="33"/>
      <c r="AF909" s="33"/>
      <c r="AG909" s="33"/>
      <c r="AH909" s="33"/>
      <c r="AI909" s="33"/>
      <c r="AJ909" s="33"/>
      <c r="AK909" s="33"/>
      <c r="AL909" s="33"/>
      <c r="AM909" s="33"/>
      <c r="AN909" s="33"/>
      <c r="AO909" s="33"/>
      <c r="AP909" s="33"/>
      <c r="AQ909" s="33"/>
      <c r="AR909" s="33"/>
      <c r="AS909" s="33"/>
      <c r="AT909" s="33"/>
      <c r="AU909" s="33"/>
      <c r="AV909" s="33"/>
      <c r="AW909" s="33"/>
      <c r="AX909" s="33"/>
      <c r="AY909" s="33"/>
      <c r="AZ909" s="33"/>
      <c r="BA909" s="33"/>
      <c r="BB909" s="33"/>
      <c r="BC909" s="33"/>
      <c r="BD909" s="33"/>
      <c r="BE909" s="33"/>
      <c r="BF909" s="33"/>
      <c r="BG909" s="33"/>
      <c r="BH909" s="33"/>
      <c r="BI909" s="33"/>
      <c r="BJ909" s="33"/>
      <c r="BK909" s="33"/>
      <c r="BL909" s="33"/>
      <c r="BM909" s="33"/>
      <c r="BN909" s="33"/>
      <c r="BO909" s="33"/>
      <c r="BP909" s="33"/>
      <c r="BQ909" s="33"/>
      <c r="BR909" s="33"/>
      <c r="BS909" s="33"/>
      <c r="BT909" s="33"/>
      <c r="BU909" s="33"/>
      <c r="BV909" s="33"/>
      <c r="BW909" s="33"/>
      <c r="BX909" s="33"/>
      <c r="BY909" s="33"/>
      <c r="BZ909" s="33"/>
      <c r="CA909" s="33"/>
      <c r="CB909" s="33"/>
      <c r="CC909" s="33"/>
      <c r="CD909" s="33"/>
      <c r="CE909" s="33"/>
      <c r="CF909" s="33"/>
      <c r="CG909" s="33"/>
      <c r="CH909" s="33"/>
      <c r="CI909" s="33"/>
      <c r="CJ909" s="33"/>
      <c r="CK909" s="33"/>
      <c r="CL909" s="33"/>
      <c r="CM909" s="33"/>
      <c r="CN909" s="33"/>
      <c r="CO909" s="33"/>
      <c r="CP909" s="33"/>
      <c r="CQ909" s="33"/>
      <c r="CR909" s="33"/>
      <c r="CS909" s="33"/>
      <c r="CT909" s="33"/>
      <c r="CU909" s="33"/>
      <c r="CV909" s="33"/>
      <c r="CW909" s="33"/>
      <c r="CX909" s="33"/>
      <c r="CY909" s="33"/>
      <c r="CZ909" s="33"/>
      <c r="DA909" s="33"/>
      <c r="DB909" s="33"/>
      <c r="DC909" s="33"/>
      <c r="DD909" s="33"/>
      <c r="DE909" s="33"/>
      <c r="DF909" s="33"/>
      <c r="DG909" s="33"/>
      <c r="DH909" s="33"/>
      <c r="DI909" s="33"/>
      <c r="DJ909" s="33"/>
      <c r="DK909" s="33"/>
      <c r="DL909" s="33"/>
      <c r="DM909" s="33"/>
      <c r="DN909" s="33"/>
      <c r="DO909" s="33"/>
      <c r="DP909" s="33"/>
      <c r="DQ909" s="33"/>
      <c r="DR909" s="33"/>
      <c r="DS909" s="33"/>
      <c r="DT909" s="33"/>
      <c r="DU909" s="33"/>
      <c r="DV909" s="33"/>
      <c r="DW909" s="33"/>
      <c r="DX909" s="33"/>
      <c r="DY909" s="33"/>
      <c r="DZ909" s="33"/>
      <c r="EA909" s="33"/>
      <c r="EB909" s="33"/>
      <c r="EC909" s="33"/>
      <c r="ED909" s="33"/>
      <c r="EE909" s="33"/>
      <c r="EF909" s="33"/>
      <c r="EG909" s="33"/>
      <c r="EH909" s="33"/>
      <c r="EI909" s="33"/>
      <c r="EJ909" s="33"/>
      <c r="EK909" s="33"/>
      <c r="EL909" s="33"/>
      <c r="EM909" s="33"/>
      <c r="EN909" s="33"/>
      <c r="EO909" s="33"/>
      <c r="EP909" s="33"/>
      <c r="EQ909" s="33"/>
      <c r="ER909" s="33"/>
      <c r="ES909" s="33"/>
    </row>
    <row r="910">
      <c r="A910" s="33"/>
      <c r="B910" s="33"/>
      <c r="C910" s="33"/>
      <c r="D910" s="33"/>
      <c r="E910" s="33"/>
      <c r="F910" s="33"/>
      <c r="G910" s="85"/>
      <c r="H910" s="85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33"/>
      <c r="Y910" s="33"/>
      <c r="Z910" s="33"/>
      <c r="AA910" s="33"/>
      <c r="AB910" s="33"/>
      <c r="AC910" s="33"/>
      <c r="AD910" s="33"/>
      <c r="AE910" s="33"/>
      <c r="AF910" s="33"/>
      <c r="AG910" s="33"/>
      <c r="AH910" s="33"/>
      <c r="AI910" s="33"/>
      <c r="AJ910" s="33"/>
      <c r="AK910" s="33"/>
      <c r="AL910" s="33"/>
      <c r="AM910" s="33"/>
      <c r="AN910" s="33"/>
      <c r="AO910" s="33"/>
      <c r="AP910" s="33"/>
      <c r="AQ910" s="33"/>
      <c r="AR910" s="33"/>
      <c r="AS910" s="33"/>
      <c r="AT910" s="33"/>
      <c r="AU910" s="33"/>
      <c r="AV910" s="33"/>
      <c r="AW910" s="33"/>
      <c r="AX910" s="33"/>
      <c r="AY910" s="33"/>
      <c r="AZ910" s="33"/>
      <c r="BA910" s="33"/>
      <c r="BB910" s="33"/>
      <c r="BC910" s="33"/>
      <c r="BD910" s="33"/>
      <c r="BE910" s="33"/>
      <c r="BF910" s="33"/>
      <c r="BG910" s="33"/>
      <c r="BH910" s="33"/>
      <c r="BI910" s="33"/>
      <c r="BJ910" s="33"/>
      <c r="BK910" s="33"/>
      <c r="BL910" s="33"/>
      <c r="BM910" s="33"/>
      <c r="BN910" s="33"/>
      <c r="BO910" s="33"/>
      <c r="BP910" s="33"/>
      <c r="BQ910" s="33"/>
      <c r="BR910" s="33"/>
      <c r="BS910" s="33"/>
      <c r="BT910" s="33"/>
      <c r="BU910" s="33"/>
      <c r="BV910" s="33"/>
      <c r="BW910" s="33"/>
      <c r="BX910" s="33"/>
      <c r="BY910" s="33"/>
      <c r="BZ910" s="33"/>
      <c r="CA910" s="33"/>
      <c r="CB910" s="33"/>
      <c r="CC910" s="33"/>
      <c r="CD910" s="33"/>
      <c r="CE910" s="33"/>
      <c r="CF910" s="33"/>
      <c r="CG910" s="33"/>
      <c r="CH910" s="33"/>
      <c r="CI910" s="33"/>
      <c r="CJ910" s="33"/>
      <c r="CK910" s="33"/>
      <c r="CL910" s="33"/>
      <c r="CM910" s="33"/>
      <c r="CN910" s="33"/>
      <c r="CO910" s="33"/>
      <c r="CP910" s="33"/>
      <c r="CQ910" s="33"/>
      <c r="CR910" s="33"/>
      <c r="CS910" s="33"/>
      <c r="CT910" s="33"/>
      <c r="CU910" s="33"/>
      <c r="CV910" s="33"/>
      <c r="CW910" s="33"/>
      <c r="CX910" s="33"/>
      <c r="CY910" s="33"/>
      <c r="CZ910" s="33"/>
      <c r="DA910" s="33"/>
      <c r="DB910" s="33"/>
      <c r="DC910" s="33"/>
      <c r="DD910" s="33"/>
      <c r="DE910" s="33"/>
      <c r="DF910" s="33"/>
      <c r="DG910" s="33"/>
      <c r="DH910" s="33"/>
      <c r="DI910" s="33"/>
      <c r="DJ910" s="33"/>
      <c r="DK910" s="33"/>
      <c r="DL910" s="33"/>
      <c r="DM910" s="33"/>
      <c r="DN910" s="33"/>
      <c r="DO910" s="33"/>
      <c r="DP910" s="33"/>
      <c r="DQ910" s="33"/>
      <c r="DR910" s="33"/>
      <c r="DS910" s="33"/>
      <c r="DT910" s="33"/>
      <c r="DU910" s="33"/>
      <c r="DV910" s="33"/>
      <c r="DW910" s="33"/>
      <c r="DX910" s="33"/>
      <c r="DY910" s="33"/>
      <c r="DZ910" s="33"/>
      <c r="EA910" s="33"/>
      <c r="EB910" s="33"/>
      <c r="EC910" s="33"/>
      <c r="ED910" s="33"/>
      <c r="EE910" s="33"/>
      <c r="EF910" s="33"/>
      <c r="EG910" s="33"/>
      <c r="EH910" s="33"/>
      <c r="EI910" s="33"/>
      <c r="EJ910" s="33"/>
      <c r="EK910" s="33"/>
      <c r="EL910" s="33"/>
      <c r="EM910" s="33"/>
      <c r="EN910" s="33"/>
      <c r="EO910" s="33"/>
      <c r="EP910" s="33"/>
      <c r="EQ910" s="33"/>
      <c r="ER910" s="33"/>
      <c r="ES910" s="33"/>
    </row>
    <row r="911">
      <c r="A911" s="33"/>
      <c r="B911" s="33"/>
      <c r="C911" s="33"/>
      <c r="D911" s="33"/>
      <c r="E911" s="33"/>
      <c r="F911" s="33"/>
      <c r="G911" s="85"/>
      <c r="H911" s="85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33"/>
      <c r="Y911" s="33"/>
      <c r="Z911" s="33"/>
      <c r="AA911" s="33"/>
      <c r="AB911" s="33"/>
      <c r="AC911" s="33"/>
      <c r="AD911" s="33"/>
      <c r="AE911" s="33"/>
      <c r="AF911" s="33"/>
      <c r="AG911" s="33"/>
      <c r="AH911" s="33"/>
      <c r="AI911" s="33"/>
      <c r="AJ911" s="33"/>
      <c r="AK911" s="33"/>
      <c r="AL911" s="33"/>
      <c r="AM911" s="33"/>
      <c r="AN911" s="33"/>
      <c r="AO911" s="33"/>
      <c r="AP911" s="33"/>
      <c r="AQ911" s="33"/>
      <c r="AR911" s="33"/>
      <c r="AS911" s="33"/>
      <c r="AT911" s="33"/>
      <c r="AU911" s="33"/>
      <c r="AV911" s="33"/>
      <c r="AW911" s="33"/>
      <c r="AX911" s="33"/>
      <c r="AY911" s="33"/>
      <c r="AZ911" s="33"/>
      <c r="BA911" s="33"/>
      <c r="BB911" s="33"/>
      <c r="BC911" s="33"/>
      <c r="BD911" s="33"/>
      <c r="BE911" s="33"/>
      <c r="BF911" s="33"/>
      <c r="BG911" s="33"/>
      <c r="BH911" s="33"/>
      <c r="BI911" s="33"/>
      <c r="BJ911" s="33"/>
      <c r="BK911" s="33"/>
      <c r="BL911" s="33"/>
      <c r="BM911" s="33"/>
      <c r="BN911" s="33"/>
      <c r="BO911" s="33"/>
      <c r="BP911" s="33"/>
      <c r="BQ911" s="33"/>
      <c r="BR911" s="33"/>
      <c r="BS911" s="33"/>
      <c r="BT911" s="33"/>
      <c r="BU911" s="33"/>
      <c r="BV911" s="33"/>
      <c r="BW911" s="33"/>
      <c r="BX911" s="33"/>
      <c r="BY911" s="33"/>
      <c r="BZ911" s="33"/>
      <c r="CA911" s="33"/>
      <c r="CB911" s="33"/>
      <c r="CC911" s="33"/>
      <c r="CD911" s="33"/>
      <c r="CE911" s="33"/>
      <c r="CF911" s="33"/>
      <c r="CG911" s="33"/>
      <c r="CH911" s="33"/>
      <c r="CI911" s="33"/>
      <c r="CJ911" s="33"/>
      <c r="CK911" s="33"/>
      <c r="CL911" s="33"/>
      <c r="CM911" s="33"/>
      <c r="CN911" s="33"/>
      <c r="CO911" s="33"/>
      <c r="CP911" s="33"/>
      <c r="CQ911" s="33"/>
      <c r="CR911" s="33"/>
      <c r="CS911" s="33"/>
      <c r="CT911" s="33"/>
      <c r="CU911" s="33"/>
      <c r="CV911" s="33"/>
      <c r="CW911" s="33"/>
      <c r="CX911" s="33"/>
      <c r="CY911" s="33"/>
      <c r="CZ911" s="33"/>
      <c r="DA911" s="33"/>
      <c r="DB911" s="33"/>
      <c r="DC911" s="33"/>
      <c r="DD911" s="33"/>
      <c r="DE911" s="33"/>
      <c r="DF911" s="33"/>
      <c r="DG911" s="33"/>
      <c r="DH911" s="33"/>
      <c r="DI911" s="33"/>
      <c r="DJ911" s="33"/>
      <c r="DK911" s="33"/>
      <c r="DL911" s="33"/>
      <c r="DM911" s="33"/>
      <c r="DN911" s="33"/>
      <c r="DO911" s="33"/>
      <c r="DP911" s="33"/>
      <c r="DQ911" s="33"/>
      <c r="DR911" s="33"/>
      <c r="DS911" s="33"/>
      <c r="DT911" s="33"/>
      <c r="DU911" s="33"/>
      <c r="DV911" s="33"/>
      <c r="DW911" s="33"/>
      <c r="DX911" s="33"/>
      <c r="DY911" s="33"/>
      <c r="DZ911" s="33"/>
      <c r="EA911" s="33"/>
      <c r="EB911" s="33"/>
      <c r="EC911" s="33"/>
      <c r="ED911" s="33"/>
      <c r="EE911" s="33"/>
      <c r="EF911" s="33"/>
      <c r="EG911" s="33"/>
      <c r="EH911" s="33"/>
      <c r="EI911" s="33"/>
      <c r="EJ911" s="33"/>
      <c r="EK911" s="33"/>
      <c r="EL911" s="33"/>
      <c r="EM911" s="33"/>
      <c r="EN911" s="33"/>
      <c r="EO911" s="33"/>
      <c r="EP911" s="33"/>
      <c r="EQ911" s="33"/>
      <c r="ER911" s="33"/>
      <c r="ES911" s="33"/>
    </row>
    <row r="912">
      <c r="A912" s="33"/>
      <c r="B912" s="33"/>
      <c r="C912" s="33"/>
      <c r="D912" s="33"/>
      <c r="E912" s="33"/>
      <c r="F912" s="33"/>
      <c r="G912" s="85"/>
      <c r="H912" s="85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33"/>
      <c r="Y912" s="33"/>
      <c r="Z912" s="33"/>
      <c r="AA912" s="33"/>
      <c r="AB912" s="33"/>
      <c r="AC912" s="33"/>
      <c r="AD912" s="33"/>
      <c r="AE912" s="33"/>
      <c r="AF912" s="33"/>
      <c r="AG912" s="33"/>
      <c r="AH912" s="33"/>
      <c r="AI912" s="33"/>
      <c r="AJ912" s="33"/>
      <c r="AK912" s="33"/>
      <c r="AL912" s="33"/>
      <c r="AM912" s="33"/>
      <c r="AN912" s="33"/>
      <c r="AO912" s="33"/>
      <c r="AP912" s="33"/>
      <c r="AQ912" s="33"/>
      <c r="AR912" s="33"/>
      <c r="AS912" s="33"/>
      <c r="AT912" s="33"/>
      <c r="AU912" s="33"/>
      <c r="AV912" s="33"/>
      <c r="AW912" s="33"/>
      <c r="AX912" s="33"/>
      <c r="AY912" s="33"/>
      <c r="AZ912" s="33"/>
      <c r="BA912" s="33"/>
      <c r="BB912" s="33"/>
      <c r="BC912" s="33"/>
      <c r="BD912" s="33"/>
      <c r="BE912" s="33"/>
      <c r="BF912" s="33"/>
      <c r="BG912" s="33"/>
      <c r="BH912" s="33"/>
      <c r="BI912" s="33"/>
      <c r="BJ912" s="33"/>
      <c r="BK912" s="33"/>
      <c r="BL912" s="33"/>
      <c r="BM912" s="33"/>
      <c r="BN912" s="33"/>
      <c r="BO912" s="33"/>
      <c r="BP912" s="33"/>
      <c r="BQ912" s="33"/>
      <c r="BR912" s="33"/>
      <c r="BS912" s="33"/>
      <c r="BT912" s="33"/>
      <c r="BU912" s="33"/>
      <c r="BV912" s="33"/>
      <c r="BW912" s="33"/>
      <c r="BX912" s="33"/>
      <c r="BY912" s="33"/>
      <c r="BZ912" s="33"/>
      <c r="CA912" s="33"/>
      <c r="CB912" s="33"/>
      <c r="CC912" s="33"/>
      <c r="CD912" s="33"/>
      <c r="CE912" s="33"/>
      <c r="CF912" s="33"/>
      <c r="CG912" s="33"/>
      <c r="CH912" s="33"/>
      <c r="CI912" s="33"/>
      <c r="CJ912" s="33"/>
      <c r="CK912" s="33"/>
      <c r="CL912" s="33"/>
      <c r="CM912" s="33"/>
      <c r="CN912" s="33"/>
      <c r="CO912" s="33"/>
      <c r="CP912" s="33"/>
      <c r="CQ912" s="33"/>
      <c r="CR912" s="33"/>
      <c r="CS912" s="33"/>
      <c r="CT912" s="33"/>
      <c r="CU912" s="33"/>
      <c r="CV912" s="33"/>
      <c r="CW912" s="33"/>
      <c r="CX912" s="33"/>
      <c r="CY912" s="33"/>
      <c r="CZ912" s="33"/>
      <c r="DA912" s="33"/>
      <c r="DB912" s="33"/>
      <c r="DC912" s="33"/>
      <c r="DD912" s="33"/>
      <c r="DE912" s="33"/>
      <c r="DF912" s="33"/>
      <c r="DG912" s="33"/>
      <c r="DH912" s="33"/>
      <c r="DI912" s="33"/>
      <c r="DJ912" s="33"/>
      <c r="DK912" s="33"/>
      <c r="DL912" s="33"/>
      <c r="DM912" s="33"/>
      <c r="DN912" s="33"/>
      <c r="DO912" s="33"/>
      <c r="DP912" s="33"/>
      <c r="DQ912" s="33"/>
      <c r="DR912" s="33"/>
      <c r="DS912" s="33"/>
      <c r="DT912" s="33"/>
      <c r="DU912" s="33"/>
      <c r="DV912" s="33"/>
      <c r="DW912" s="33"/>
      <c r="DX912" s="33"/>
      <c r="DY912" s="33"/>
      <c r="DZ912" s="33"/>
      <c r="EA912" s="33"/>
      <c r="EB912" s="33"/>
      <c r="EC912" s="33"/>
      <c r="ED912" s="33"/>
      <c r="EE912" s="33"/>
      <c r="EF912" s="33"/>
      <c r="EG912" s="33"/>
      <c r="EH912" s="33"/>
      <c r="EI912" s="33"/>
      <c r="EJ912" s="33"/>
      <c r="EK912" s="33"/>
      <c r="EL912" s="33"/>
      <c r="EM912" s="33"/>
      <c r="EN912" s="33"/>
      <c r="EO912" s="33"/>
      <c r="EP912" s="33"/>
      <c r="EQ912" s="33"/>
      <c r="ER912" s="33"/>
      <c r="ES912" s="33"/>
    </row>
    <row r="913">
      <c r="A913" s="33"/>
      <c r="B913" s="33"/>
      <c r="C913" s="33"/>
      <c r="D913" s="33"/>
      <c r="E913" s="33"/>
      <c r="F913" s="33"/>
      <c r="G913" s="85"/>
      <c r="H913" s="85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33"/>
      <c r="Y913" s="33"/>
      <c r="Z913" s="33"/>
      <c r="AA913" s="33"/>
      <c r="AB913" s="33"/>
      <c r="AC913" s="33"/>
      <c r="AD913" s="33"/>
      <c r="AE913" s="33"/>
      <c r="AF913" s="33"/>
      <c r="AG913" s="33"/>
      <c r="AH913" s="33"/>
      <c r="AI913" s="33"/>
      <c r="AJ913" s="33"/>
      <c r="AK913" s="33"/>
      <c r="AL913" s="33"/>
      <c r="AM913" s="33"/>
      <c r="AN913" s="33"/>
      <c r="AO913" s="33"/>
      <c r="AP913" s="33"/>
      <c r="AQ913" s="33"/>
      <c r="AR913" s="33"/>
      <c r="AS913" s="33"/>
      <c r="AT913" s="33"/>
      <c r="AU913" s="33"/>
      <c r="AV913" s="33"/>
      <c r="AW913" s="33"/>
      <c r="AX913" s="33"/>
      <c r="AY913" s="33"/>
      <c r="AZ913" s="33"/>
      <c r="BA913" s="33"/>
      <c r="BB913" s="33"/>
      <c r="BC913" s="33"/>
      <c r="BD913" s="33"/>
      <c r="BE913" s="33"/>
      <c r="BF913" s="33"/>
      <c r="BG913" s="33"/>
      <c r="BH913" s="33"/>
      <c r="BI913" s="33"/>
      <c r="BJ913" s="33"/>
      <c r="BK913" s="33"/>
      <c r="BL913" s="33"/>
      <c r="BM913" s="33"/>
      <c r="BN913" s="33"/>
      <c r="BO913" s="33"/>
      <c r="BP913" s="33"/>
      <c r="BQ913" s="33"/>
      <c r="BR913" s="33"/>
      <c r="BS913" s="33"/>
      <c r="BT913" s="33"/>
      <c r="BU913" s="33"/>
      <c r="BV913" s="33"/>
      <c r="BW913" s="33"/>
      <c r="BX913" s="33"/>
      <c r="BY913" s="33"/>
      <c r="BZ913" s="33"/>
      <c r="CA913" s="33"/>
      <c r="CB913" s="33"/>
      <c r="CC913" s="33"/>
      <c r="CD913" s="33"/>
      <c r="CE913" s="33"/>
      <c r="CF913" s="33"/>
      <c r="CG913" s="33"/>
      <c r="CH913" s="33"/>
      <c r="CI913" s="33"/>
      <c r="CJ913" s="33"/>
      <c r="CK913" s="33"/>
      <c r="CL913" s="33"/>
      <c r="CM913" s="33"/>
      <c r="CN913" s="33"/>
      <c r="CO913" s="33"/>
      <c r="CP913" s="33"/>
      <c r="CQ913" s="33"/>
      <c r="CR913" s="33"/>
      <c r="CS913" s="33"/>
      <c r="CT913" s="33"/>
      <c r="CU913" s="33"/>
      <c r="CV913" s="33"/>
      <c r="CW913" s="33"/>
      <c r="CX913" s="33"/>
      <c r="CY913" s="33"/>
      <c r="CZ913" s="33"/>
      <c r="DA913" s="33"/>
      <c r="DB913" s="33"/>
      <c r="DC913" s="33"/>
      <c r="DD913" s="33"/>
      <c r="DE913" s="33"/>
      <c r="DF913" s="33"/>
      <c r="DG913" s="33"/>
      <c r="DH913" s="33"/>
      <c r="DI913" s="33"/>
      <c r="DJ913" s="33"/>
      <c r="DK913" s="33"/>
      <c r="DL913" s="33"/>
      <c r="DM913" s="33"/>
      <c r="DN913" s="33"/>
      <c r="DO913" s="33"/>
      <c r="DP913" s="33"/>
      <c r="DQ913" s="33"/>
      <c r="DR913" s="33"/>
      <c r="DS913" s="33"/>
      <c r="DT913" s="33"/>
      <c r="DU913" s="33"/>
      <c r="DV913" s="33"/>
      <c r="DW913" s="33"/>
      <c r="DX913" s="33"/>
      <c r="DY913" s="33"/>
      <c r="DZ913" s="33"/>
      <c r="EA913" s="33"/>
      <c r="EB913" s="33"/>
      <c r="EC913" s="33"/>
      <c r="ED913" s="33"/>
      <c r="EE913" s="33"/>
      <c r="EF913" s="33"/>
      <c r="EG913" s="33"/>
      <c r="EH913" s="33"/>
      <c r="EI913" s="33"/>
      <c r="EJ913" s="33"/>
      <c r="EK913" s="33"/>
      <c r="EL913" s="33"/>
      <c r="EM913" s="33"/>
      <c r="EN913" s="33"/>
      <c r="EO913" s="33"/>
      <c r="EP913" s="33"/>
      <c r="EQ913" s="33"/>
      <c r="ER913" s="33"/>
      <c r="ES913" s="33"/>
    </row>
    <row r="914">
      <c r="A914" s="33"/>
      <c r="B914" s="33"/>
      <c r="C914" s="33"/>
      <c r="D914" s="33"/>
      <c r="E914" s="33"/>
      <c r="F914" s="33"/>
      <c r="G914" s="85"/>
      <c r="H914" s="85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33"/>
      <c r="Y914" s="33"/>
      <c r="Z914" s="33"/>
      <c r="AA914" s="33"/>
      <c r="AB914" s="33"/>
      <c r="AC914" s="33"/>
      <c r="AD914" s="33"/>
      <c r="AE914" s="33"/>
      <c r="AF914" s="33"/>
      <c r="AG914" s="33"/>
      <c r="AH914" s="33"/>
      <c r="AI914" s="33"/>
      <c r="AJ914" s="33"/>
      <c r="AK914" s="33"/>
      <c r="AL914" s="33"/>
      <c r="AM914" s="33"/>
      <c r="AN914" s="33"/>
      <c r="AO914" s="33"/>
      <c r="AP914" s="33"/>
      <c r="AQ914" s="33"/>
      <c r="AR914" s="33"/>
      <c r="AS914" s="33"/>
      <c r="AT914" s="33"/>
      <c r="AU914" s="33"/>
      <c r="AV914" s="33"/>
      <c r="AW914" s="33"/>
      <c r="AX914" s="33"/>
      <c r="AY914" s="33"/>
      <c r="AZ914" s="33"/>
      <c r="BA914" s="33"/>
      <c r="BB914" s="33"/>
      <c r="BC914" s="33"/>
      <c r="BD914" s="33"/>
      <c r="BE914" s="33"/>
      <c r="BF914" s="33"/>
      <c r="BG914" s="33"/>
      <c r="BH914" s="33"/>
      <c r="BI914" s="33"/>
      <c r="BJ914" s="33"/>
      <c r="BK914" s="33"/>
      <c r="BL914" s="33"/>
      <c r="BM914" s="33"/>
      <c r="BN914" s="33"/>
      <c r="BO914" s="33"/>
      <c r="BP914" s="33"/>
      <c r="BQ914" s="33"/>
      <c r="BR914" s="33"/>
      <c r="BS914" s="33"/>
      <c r="BT914" s="33"/>
      <c r="BU914" s="33"/>
      <c r="BV914" s="33"/>
      <c r="BW914" s="33"/>
      <c r="BX914" s="33"/>
      <c r="BY914" s="33"/>
      <c r="BZ914" s="33"/>
      <c r="CA914" s="33"/>
      <c r="CB914" s="33"/>
      <c r="CC914" s="33"/>
      <c r="CD914" s="33"/>
      <c r="CE914" s="33"/>
      <c r="CF914" s="33"/>
      <c r="CG914" s="33"/>
      <c r="CH914" s="33"/>
      <c r="CI914" s="33"/>
      <c r="CJ914" s="33"/>
      <c r="CK914" s="33"/>
      <c r="CL914" s="33"/>
      <c r="CM914" s="33"/>
      <c r="CN914" s="33"/>
      <c r="CO914" s="33"/>
      <c r="CP914" s="33"/>
      <c r="CQ914" s="33"/>
      <c r="CR914" s="33"/>
      <c r="CS914" s="33"/>
      <c r="CT914" s="33"/>
      <c r="CU914" s="33"/>
      <c r="CV914" s="33"/>
      <c r="CW914" s="33"/>
      <c r="CX914" s="33"/>
      <c r="CY914" s="33"/>
      <c r="CZ914" s="33"/>
      <c r="DA914" s="33"/>
      <c r="DB914" s="33"/>
      <c r="DC914" s="33"/>
      <c r="DD914" s="33"/>
      <c r="DE914" s="33"/>
      <c r="DF914" s="33"/>
      <c r="DG914" s="33"/>
      <c r="DH914" s="33"/>
      <c r="DI914" s="33"/>
      <c r="DJ914" s="33"/>
      <c r="DK914" s="33"/>
      <c r="DL914" s="33"/>
      <c r="DM914" s="33"/>
      <c r="DN914" s="33"/>
      <c r="DO914" s="33"/>
      <c r="DP914" s="33"/>
      <c r="DQ914" s="33"/>
      <c r="DR914" s="33"/>
      <c r="DS914" s="33"/>
      <c r="DT914" s="33"/>
      <c r="DU914" s="33"/>
      <c r="DV914" s="33"/>
      <c r="DW914" s="33"/>
      <c r="DX914" s="33"/>
      <c r="DY914" s="33"/>
      <c r="DZ914" s="33"/>
      <c r="EA914" s="33"/>
      <c r="EB914" s="33"/>
      <c r="EC914" s="33"/>
      <c r="ED914" s="33"/>
      <c r="EE914" s="33"/>
      <c r="EF914" s="33"/>
      <c r="EG914" s="33"/>
      <c r="EH914" s="33"/>
      <c r="EI914" s="33"/>
      <c r="EJ914" s="33"/>
      <c r="EK914" s="33"/>
      <c r="EL914" s="33"/>
      <c r="EM914" s="33"/>
      <c r="EN914" s="33"/>
      <c r="EO914" s="33"/>
      <c r="EP914" s="33"/>
      <c r="EQ914" s="33"/>
      <c r="ER914" s="33"/>
      <c r="ES914" s="33"/>
    </row>
    <row r="915">
      <c r="A915" s="33"/>
      <c r="B915" s="33"/>
      <c r="C915" s="33"/>
      <c r="D915" s="33"/>
      <c r="E915" s="33"/>
      <c r="F915" s="33"/>
      <c r="G915" s="85"/>
      <c r="H915" s="85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33"/>
      <c r="Y915" s="33"/>
      <c r="Z915" s="33"/>
      <c r="AA915" s="33"/>
      <c r="AB915" s="33"/>
      <c r="AC915" s="33"/>
      <c r="AD915" s="33"/>
      <c r="AE915" s="33"/>
      <c r="AF915" s="33"/>
      <c r="AG915" s="33"/>
      <c r="AH915" s="33"/>
      <c r="AI915" s="33"/>
      <c r="AJ915" s="33"/>
      <c r="AK915" s="33"/>
      <c r="AL915" s="33"/>
      <c r="AM915" s="33"/>
      <c r="AN915" s="33"/>
      <c r="AO915" s="33"/>
      <c r="AP915" s="33"/>
      <c r="AQ915" s="33"/>
      <c r="AR915" s="33"/>
      <c r="AS915" s="33"/>
      <c r="AT915" s="33"/>
      <c r="AU915" s="33"/>
      <c r="AV915" s="33"/>
      <c r="AW915" s="33"/>
      <c r="AX915" s="33"/>
      <c r="AY915" s="33"/>
      <c r="AZ915" s="33"/>
      <c r="BA915" s="33"/>
      <c r="BB915" s="33"/>
      <c r="BC915" s="33"/>
      <c r="BD915" s="33"/>
      <c r="BE915" s="33"/>
      <c r="BF915" s="33"/>
      <c r="BG915" s="33"/>
      <c r="BH915" s="33"/>
      <c r="BI915" s="33"/>
      <c r="BJ915" s="33"/>
      <c r="BK915" s="33"/>
      <c r="BL915" s="33"/>
      <c r="BM915" s="33"/>
      <c r="BN915" s="33"/>
      <c r="BO915" s="33"/>
      <c r="BP915" s="33"/>
      <c r="BQ915" s="33"/>
      <c r="BR915" s="33"/>
      <c r="BS915" s="33"/>
      <c r="BT915" s="33"/>
      <c r="BU915" s="33"/>
      <c r="BV915" s="33"/>
      <c r="BW915" s="33"/>
      <c r="BX915" s="33"/>
      <c r="BY915" s="33"/>
      <c r="BZ915" s="33"/>
      <c r="CA915" s="33"/>
      <c r="CB915" s="33"/>
      <c r="CC915" s="33"/>
      <c r="CD915" s="33"/>
      <c r="CE915" s="33"/>
      <c r="CF915" s="33"/>
      <c r="CG915" s="33"/>
      <c r="CH915" s="33"/>
      <c r="CI915" s="33"/>
      <c r="CJ915" s="33"/>
      <c r="CK915" s="33"/>
      <c r="CL915" s="33"/>
      <c r="CM915" s="33"/>
      <c r="CN915" s="33"/>
      <c r="CO915" s="33"/>
      <c r="CP915" s="33"/>
      <c r="CQ915" s="33"/>
      <c r="CR915" s="33"/>
      <c r="CS915" s="33"/>
      <c r="CT915" s="33"/>
      <c r="CU915" s="33"/>
      <c r="CV915" s="33"/>
      <c r="CW915" s="33"/>
      <c r="CX915" s="33"/>
      <c r="CY915" s="33"/>
      <c r="CZ915" s="33"/>
      <c r="DA915" s="33"/>
      <c r="DB915" s="33"/>
      <c r="DC915" s="33"/>
      <c r="DD915" s="33"/>
      <c r="DE915" s="33"/>
      <c r="DF915" s="33"/>
      <c r="DG915" s="33"/>
      <c r="DH915" s="33"/>
      <c r="DI915" s="33"/>
      <c r="DJ915" s="33"/>
      <c r="DK915" s="33"/>
      <c r="DL915" s="33"/>
      <c r="DM915" s="33"/>
      <c r="DN915" s="33"/>
      <c r="DO915" s="33"/>
      <c r="DP915" s="33"/>
      <c r="DQ915" s="33"/>
      <c r="DR915" s="33"/>
      <c r="DS915" s="33"/>
      <c r="DT915" s="33"/>
      <c r="DU915" s="33"/>
      <c r="DV915" s="33"/>
      <c r="DW915" s="33"/>
      <c r="DX915" s="33"/>
      <c r="DY915" s="33"/>
      <c r="DZ915" s="33"/>
      <c r="EA915" s="33"/>
      <c r="EB915" s="33"/>
      <c r="EC915" s="33"/>
      <c r="ED915" s="33"/>
      <c r="EE915" s="33"/>
      <c r="EF915" s="33"/>
      <c r="EG915" s="33"/>
      <c r="EH915" s="33"/>
      <c r="EI915" s="33"/>
      <c r="EJ915" s="33"/>
      <c r="EK915" s="33"/>
      <c r="EL915" s="33"/>
      <c r="EM915" s="33"/>
      <c r="EN915" s="33"/>
      <c r="EO915" s="33"/>
      <c r="EP915" s="33"/>
      <c r="EQ915" s="33"/>
      <c r="ER915" s="33"/>
      <c r="ES915" s="33"/>
    </row>
    <row r="916">
      <c r="A916" s="33"/>
      <c r="B916" s="33"/>
      <c r="C916" s="33"/>
      <c r="D916" s="33"/>
      <c r="E916" s="33"/>
      <c r="F916" s="33"/>
      <c r="G916" s="85"/>
      <c r="H916" s="85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33"/>
      <c r="Y916" s="33"/>
      <c r="Z916" s="33"/>
      <c r="AA916" s="33"/>
      <c r="AB916" s="33"/>
      <c r="AC916" s="33"/>
      <c r="AD916" s="33"/>
      <c r="AE916" s="33"/>
      <c r="AF916" s="33"/>
      <c r="AG916" s="33"/>
      <c r="AH916" s="33"/>
      <c r="AI916" s="33"/>
      <c r="AJ916" s="33"/>
      <c r="AK916" s="33"/>
      <c r="AL916" s="33"/>
      <c r="AM916" s="33"/>
      <c r="AN916" s="33"/>
      <c r="AO916" s="33"/>
      <c r="AP916" s="33"/>
      <c r="AQ916" s="33"/>
      <c r="AR916" s="33"/>
      <c r="AS916" s="33"/>
      <c r="AT916" s="33"/>
      <c r="AU916" s="33"/>
      <c r="AV916" s="33"/>
      <c r="AW916" s="33"/>
      <c r="AX916" s="33"/>
      <c r="AY916" s="33"/>
      <c r="AZ916" s="33"/>
      <c r="BA916" s="33"/>
      <c r="BB916" s="33"/>
      <c r="BC916" s="33"/>
      <c r="BD916" s="33"/>
      <c r="BE916" s="33"/>
      <c r="BF916" s="33"/>
      <c r="BG916" s="33"/>
      <c r="BH916" s="33"/>
      <c r="BI916" s="33"/>
      <c r="BJ916" s="33"/>
      <c r="BK916" s="33"/>
      <c r="BL916" s="33"/>
      <c r="BM916" s="33"/>
      <c r="BN916" s="33"/>
      <c r="BO916" s="33"/>
      <c r="BP916" s="33"/>
      <c r="BQ916" s="33"/>
      <c r="BR916" s="33"/>
      <c r="BS916" s="33"/>
      <c r="BT916" s="33"/>
      <c r="BU916" s="33"/>
      <c r="BV916" s="33"/>
      <c r="BW916" s="33"/>
      <c r="BX916" s="33"/>
      <c r="BY916" s="33"/>
      <c r="BZ916" s="33"/>
      <c r="CA916" s="33"/>
      <c r="CB916" s="33"/>
      <c r="CC916" s="33"/>
      <c r="CD916" s="33"/>
      <c r="CE916" s="33"/>
      <c r="CF916" s="33"/>
      <c r="CG916" s="33"/>
      <c r="CH916" s="33"/>
      <c r="CI916" s="33"/>
      <c r="CJ916" s="33"/>
      <c r="CK916" s="33"/>
      <c r="CL916" s="33"/>
      <c r="CM916" s="33"/>
      <c r="CN916" s="33"/>
      <c r="CO916" s="33"/>
      <c r="CP916" s="33"/>
      <c r="CQ916" s="33"/>
      <c r="CR916" s="33"/>
      <c r="CS916" s="33"/>
      <c r="CT916" s="33"/>
      <c r="CU916" s="33"/>
      <c r="CV916" s="33"/>
      <c r="CW916" s="33"/>
      <c r="CX916" s="33"/>
      <c r="CY916" s="33"/>
      <c r="CZ916" s="33"/>
      <c r="DA916" s="33"/>
      <c r="DB916" s="33"/>
      <c r="DC916" s="33"/>
      <c r="DD916" s="33"/>
      <c r="DE916" s="33"/>
      <c r="DF916" s="33"/>
      <c r="DG916" s="33"/>
      <c r="DH916" s="33"/>
      <c r="DI916" s="33"/>
      <c r="DJ916" s="33"/>
      <c r="DK916" s="33"/>
      <c r="DL916" s="33"/>
      <c r="DM916" s="33"/>
      <c r="DN916" s="33"/>
      <c r="DO916" s="33"/>
      <c r="DP916" s="33"/>
      <c r="DQ916" s="33"/>
      <c r="DR916" s="33"/>
      <c r="DS916" s="33"/>
      <c r="DT916" s="33"/>
      <c r="DU916" s="33"/>
      <c r="DV916" s="33"/>
      <c r="DW916" s="33"/>
      <c r="DX916" s="33"/>
      <c r="DY916" s="33"/>
      <c r="DZ916" s="33"/>
      <c r="EA916" s="33"/>
      <c r="EB916" s="33"/>
      <c r="EC916" s="33"/>
      <c r="ED916" s="33"/>
      <c r="EE916" s="33"/>
      <c r="EF916" s="33"/>
      <c r="EG916" s="33"/>
      <c r="EH916" s="33"/>
      <c r="EI916" s="33"/>
      <c r="EJ916" s="33"/>
      <c r="EK916" s="33"/>
      <c r="EL916" s="33"/>
      <c r="EM916" s="33"/>
      <c r="EN916" s="33"/>
      <c r="EO916" s="33"/>
      <c r="EP916" s="33"/>
      <c r="EQ916" s="33"/>
      <c r="ER916" s="33"/>
      <c r="ES916" s="33"/>
    </row>
    <row r="917">
      <c r="A917" s="33"/>
      <c r="B917" s="33"/>
      <c r="C917" s="33"/>
      <c r="D917" s="33"/>
      <c r="E917" s="33"/>
      <c r="F917" s="33"/>
      <c r="G917" s="85"/>
      <c r="H917" s="85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33"/>
      <c r="Y917" s="33"/>
      <c r="Z917" s="33"/>
      <c r="AA917" s="33"/>
      <c r="AB917" s="33"/>
      <c r="AC917" s="33"/>
      <c r="AD917" s="33"/>
      <c r="AE917" s="33"/>
      <c r="AF917" s="33"/>
      <c r="AG917" s="33"/>
      <c r="AH917" s="33"/>
      <c r="AI917" s="33"/>
      <c r="AJ917" s="33"/>
      <c r="AK917" s="33"/>
      <c r="AL917" s="33"/>
      <c r="AM917" s="33"/>
      <c r="AN917" s="33"/>
      <c r="AO917" s="33"/>
      <c r="AP917" s="33"/>
      <c r="AQ917" s="33"/>
      <c r="AR917" s="33"/>
      <c r="AS917" s="33"/>
      <c r="AT917" s="33"/>
      <c r="AU917" s="33"/>
      <c r="AV917" s="33"/>
      <c r="AW917" s="33"/>
      <c r="AX917" s="33"/>
      <c r="AY917" s="33"/>
      <c r="AZ917" s="33"/>
      <c r="BA917" s="33"/>
      <c r="BB917" s="33"/>
      <c r="BC917" s="33"/>
      <c r="BD917" s="33"/>
      <c r="BE917" s="33"/>
      <c r="BF917" s="33"/>
      <c r="BG917" s="33"/>
      <c r="BH917" s="33"/>
      <c r="BI917" s="33"/>
      <c r="BJ917" s="33"/>
      <c r="BK917" s="33"/>
      <c r="BL917" s="33"/>
      <c r="BM917" s="33"/>
      <c r="BN917" s="33"/>
      <c r="BO917" s="33"/>
      <c r="BP917" s="33"/>
      <c r="BQ917" s="33"/>
      <c r="BR917" s="33"/>
      <c r="BS917" s="33"/>
      <c r="BT917" s="33"/>
      <c r="BU917" s="33"/>
      <c r="BV917" s="33"/>
      <c r="BW917" s="33"/>
      <c r="BX917" s="33"/>
      <c r="BY917" s="33"/>
      <c r="BZ917" s="33"/>
      <c r="CA917" s="33"/>
      <c r="CB917" s="33"/>
      <c r="CC917" s="33"/>
      <c r="CD917" s="33"/>
      <c r="CE917" s="33"/>
      <c r="CF917" s="33"/>
      <c r="CG917" s="33"/>
      <c r="CH917" s="33"/>
      <c r="CI917" s="33"/>
      <c r="CJ917" s="33"/>
      <c r="CK917" s="33"/>
      <c r="CL917" s="33"/>
      <c r="CM917" s="33"/>
      <c r="CN917" s="33"/>
      <c r="CO917" s="33"/>
      <c r="CP917" s="33"/>
      <c r="CQ917" s="33"/>
      <c r="CR917" s="33"/>
      <c r="CS917" s="33"/>
      <c r="CT917" s="33"/>
      <c r="CU917" s="33"/>
      <c r="CV917" s="33"/>
      <c r="CW917" s="33"/>
      <c r="CX917" s="33"/>
      <c r="CY917" s="33"/>
      <c r="CZ917" s="33"/>
      <c r="DA917" s="33"/>
      <c r="DB917" s="33"/>
      <c r="DC917" s="33"/>
      <c r="DD917" s="33"/>
      <c r="DE917" s="33"/>
      <c r="DF917" s="33"/>
      <c r="DG917" s="33"/>
      <c r="DH917" s="33"/>
      <c r="DI917" s="33"/>
      <c r="DJ917" s="33"/>
      <c r="DK917" s="33"/>
      <c r="DL917" s="33"/>
      <c r="DM917" s="33"/>
      <c r="DN917" s="33"/>
      <c r="DO917" s="33"/>
      <c r="DP917" s="33"/>
      <c r="DQ917" s="33"/>
      <c r="DR917" s="33"/>
      <c r="DS917" s="33"/>
      <c r="DT917" s="33"/>
      <c r="DU917" s="33"/>
      <c r="DV917" s="33"/>
      <c r="DW917" s="33"/>
      <c r="DX917" s="33"/>
      <c r="DY917" s="33"/>
      <c r="DZ917" s="33"/>
      <c r="EA917" s="33"/>
      <c r="EB917" s="33"/>
      <c r="EC917" s="33"/>
      <c r="ED917" s="33"/>
      <c r="EE917" s="33"/>
      <c r="EF917" s="33"/>
      <c r="EG917" s="33"/>
      <c r="EH917" s="33"/>
      <c r="EI917" s="33"/>
      <c r="EJ917" s="33"/>
      <c r="EK917" s="33"/>
      <c r="EL917" s="33"/>
      <c r="EM917" s="33"/>
      <c r="EN917" s="33"/>
      <c r="EO917" s="33"/>
      <c r="EP917" s="33"/>
      <c r="EQ917" s="33"/>
      <c r="ER917" s="33"/>
      <c r="ES917" s="33"/>
    </row>
    <row r="918">
      <c r="A918" s="33"/>
      <c r="B918" s="33"/>
      <c r="C918" s="33"/>
      <c r="D918" s="33"/>
      <c r="E918" s="33"/>
      <c r="F918" s="33"/>
      <c r="G918" s="85"/>
      <c r="H918" s="85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33"/>
      <c r="Y918" s="33"/>
      <c r="Z918" s="33"/>
      <c r="AA918" s="33"/>
      <c r="AB918" s="33"/>
      <c r="AC918" s="33"/>
      <c r="AD918" s="33"/>
      <c r="AE918" s="33"/>
      <c r="AF918" s="33"/>
      <c r="AG918" s="33"/>
      <c r="AH918" s="33"/>
      <c r="AI918" s="33"/>
      <c r="AJ918" s="33"/>
      <c r="AK918" s="33"/>
      <c r="AL918" s="33"/>
      <c r="AM918" s="33"/>
      <c r="AN918" s="33"/>
      <c r="AO918" s="33"/>
      <c r="AP918" s="33"/>
      <c r="AQ918" s="33"/>
      <c r="AR918" s="33"/>
      <c r="AS918" s="33"/>
      <c r="AT918" s="33"/>
      <c r="AU918" s="33"/>
      <c r="AV918" s="33"/>
      <c r="AW918" s="33"/>
      <c r="AX918" s="33"/>
      <c r="AY918" s="33"/>
      <c r="AZ918" s="33"/>
      <c r="BA918" s="33"/>
      <c r="BB918" s="33"/>
      <c r="BC918" s="33"/>
      <c r="BD918" s="33"/>
      <c r="BE918" s="33"/>
      <c r="BF918" s="33"/>
      <c r="BG918" s="33"/>
      <c r="BH918" s="33"/>
      <c r="BI918" s="33"/>
      <c r="BJ918" s="33"/>
      <c r="BK918" s="33"/>
      <c r="BL918" s="33"/>
      <c r="BM918" s="33"/>
      <c r="BN918" s="33"/>
      <c r="BO918" s="33"/>
      <c r="BP918" s="33"/>
      <c r="BQ918" s="33"/>
      <c r="BR918" s="33"/>
      <c r="BS918" s="33"/>
      <c r="BT918" s="33"/>
      <c r="BU918" s="33"/>
      <c r="BV918" s="33"/>
      <c r="BW918" s="33"/>
      <c r="BX918" s="33"/>
      <c r="BY918" s="33"/>
      <c r="BZ918" s="33"/>
      <c r="CA918" s="33"/>
      <c r="CB918" s="33"/>
      <c r="CC918" s="33"/>
      <c r="CD918" s="33"/>
      <c r="CE918" s="33"/>
      <c r="CF918" s="33"/>
      <c r="CG918" s="33"/>
      <c r="CH918" s="33"/>
      <c r="CI918" s="33"/>
      <c r="CJ918" s="33"/>
      <c r="CK918" s="33"/>
      <c r="CL918" s="33"/>
      <c r="CM918" s="33"/>
      <c r="CN918" s="33"/>
      <c r="CO918" s="33"/>
      <c r="CP918" s="33"/>
      <c r="CQ918" s="33"/>
      <c r="CR918" s="33"/>
      <c r="CS918" s="33"/>
      <c r="CT918" s="33"/>
      <c r="CU918" s="33"/>
      <c r="CV918" s="33"/>
      <c r="CW918" s="33"/>
      <c r="CX918" s="33"/>
      <c r="CY918" s="33"/>
      <c r="CZ918" s="33"/>
      <c r="DA918" s="33"/>
      <c r="DB918" s="33"/>
      <c r="DC918" s="33"/>
      <c r="DD918" s="33"/>
      <c r="DE918" s="33"/>
      <c r="DF918" s="33"/>
      <c r="DG918" s="33"/>
      <c r="DH918" s="33"/>
      <c r="DI918" s="33"/>
      <c r="DJ918" s="33"/>
      <c r="DK918" s="33"/>
      <c r="DL918" s="33"/>
      <c r="DM918" s="33"/>
      <c r="DN918" s="33"/>
      <c r="DO918" s="33"/>
      <c r="DP918" s="33"/>
      <c r="DQ918" s="33"/>
      <c r="DR918" s="33"/>
      <c r="DS918" s="33"/>
      <c r="DT918" s="33"/>
      <c r="DU918" s="33"/>
      <c r="DV918" s="33"/>
      <c r="DW918" s="33"/>
      <c r="DX918" s="33"/>
      <c r="DY918" s="33"/>
      <c r="DZ918" s="33"/>
      <c r="EA918" s="33"/>
      <c r="EB918" s="33"/>
      <c r="EC918" s="33"/>
      <c r="ED918" s="33"/>
      <c r="EE918" s="33"/>
      <c r="EF918" s="33"/>
      <c r="EG918" s="33"/>
      <c r="EH918" s="33"/>
      <c r="EI918" s="33"/>
      <c r="EJ918" s="33"/>
      <c r="EK918" s="33"/>
      <c r="EL918" s="33"/>
      <c r="EM918" s="33"/>
      <c r="EN918" s="33"/>
      <c r="EO918" s="33"/>
      <c r="EP918" s="33"/>
      <c r="EQ918" s="33"/>
      <c r="ER918" s="33"/>
      <c r="ES918" s="33"/>
    </row>
    <row r="919">
      <c r="A919" s="33"/>
      <c r="B919" s="33"/>
      <c r="C919" s="33"/>
      <c r="D919" s="33"/>
      <c r="E919" s="33"/>
      <c r="F919" s="33"/>
      <c r="G919" s="85"/>
      <c r="H919" s="85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33"/>
      <c r="Y919" s="33"/>
      <c r="Z919" s="33"/>
      <c r="AA919" s="33"/>
      <c r="AB919" s="33"/>
      <c r="AC919" s="33"/>
      <c r="AD919" s="33"/>
      <c r="AE919" s="33"/>
      <c r="AF919" s="33"/>
      <c r="AG919" s="33"/>
      <c r="AH919" s="33"/>
      <c r="AI919" s="33"/>
      <c r="AJ919" s="33"/>
      <c r="AK919" s="33"/>
      <c r="AL919" s="33"/>
      <c r="AM919" s="33"/>
      <c r="AN919" s="33"/>
      <c r="AO919" s="33"/>
      <c r="AP919" s="33"/>
      <c r="AQ919" s="33"/>
      <c r="AR919" s="33"/>
      <c r="AS919" s="33"/>
      <c r="AT919" s="33"/>
      <c r="AU919" s="33"/>
      <c r="AV919" s="33"/>
      <c r="AW919" s="33"/>
      <c r="AX919" s="33"/>
      <c r="AY919" s="33"/>
      <c r="AZ919" s="33"/>
      <c r="BA919" s="33"/>
      <c r="BB919" s="33"/>
      <c r="BC919" s="33"/>
      <c r="BD919" s="33"/>
      <c r="BE919" s="33"/>
      <c r="BF919" s="33"/>
      <c r="BG919" s="33"/>
      <c r="BH919" s="33"/>
      <c r="BI919" s="33"/>
      <c r="BJ919" s="33"/>
      <c r="BK919" s="33"/>
      <c r="BL919" s="33"/>
      <c r="BM919" s="33"/>
      <c r="BN919" s="33"/>
      <c r="BO919" s="33"/>
      <c r="BP919" s="33"/>
      <c r="BQ919" s="33"/>
      <c r="BR919" s="33"/>
      <c r="BS919" s="33"/>
      <c r="BT919" s="33"/>
      <c r="BU919" s="33"/>
      <c r="BV919" s="33"/>
      <c r="BW919" s="33"/>
      <c r="BX919" s="33"/>
      <c r="BY919" s="33"/>
      <c r="BZ919" s="33"/>
      <c r="CA919" s="33"/>
      <c r="CB919" s="33"/>
      <c r="CC919" s="33"/>
      <c r="CD919" s="33"/>
      <c r="CE919" s="33"/>
      <c r="CF919" s="33"/>
      <c r="CG919" s="33"/>
      <c r="CH919" s="33"/>
      <c r="CI919" s="33"/>
      <c r="CJ919" s="33"/>
      <c r="CK919" s="33"/>
      <c r="CL919" s="33"/>
      <c r="CM919" s="33"/>
      <c r="CN919" s="33"/>
      <c r="CO919" s="33"/>
      <c r="CP919" s="33"/>
      <c r="CQ919" s="33"/>
      <c r="CR919" s="33"/>
      <c r="CS919" s="33"/>
      <c r="CT919" s="33"/>
      <c r="CU919" s="33"/>
      <c r="CV919" s="33"/>
      <c r="CW919" s="33"/>
      <c r="CX919" s="33"/>
      <c r="CY919" s="33"/>
      <c r="CZ919" s="33"/>
      <c r="DA919" s="33"/>
      <c r="DB919" s="33"/>
      <c r="DC919" s="33"/>
      <c r="DD919" s="33"/>
      <c r="DE919" s="33"/>
      <c r="DF919" s="33"/>
      <c r="DG919" s="33"/>
      <c r="DH919" s="33"/>
      <c r="DI919" s="33"/>
      <c r="DJ919" s="33"/>
      <c r="DK919" s="33"/>
      <c r="DL919" s="33"/>
      <c r="DM919" s="33"/>
      <c r="DN919" s="33"/>
      <c r="DO919" s="33"/>
      <c r="DP919" s="33"/>
      <c r="DQ919" s="33"/>
      <c r="DR919" s="33"/>
      <c r="DS919" s="33"/>
      <c r="DT919" s="33"/>
      <c r="DU919" s="33"/>
      <c r="DV919" s="33"/>
      <c r="DW919" s="33"/>
      <c r="DX919" s="33"/>
      <c r="DY919" s="33"/>
      <c r="DZ919" s="33"/>
      <c r="EA919" s="33"/>
      <c r="EB919" s="33"/>
      <c r="EC919" s="33"/>
      <c r="ED919" s="33"/>
      <c r="EE919" s="33"/>
      <c r="EF919" s="33"/>
      <c r="EG919" s="33"/>
      <c r="EH919" s="33"/>
      <c r="EI919" s="33"/>
      <c r="EJ919" s="33"/>
      <c r="EK919" s="33"/>
      <c r="EL919" s="33"/>
      <c r="EM919" s="33"/>
      <c r="EN919" s="33"/>
      <c r="EO919" s="33"/>
      <c r="EP919" s="33"/>
      <c r="EQ919" s="33"/>
      <c r="ER919" s="33"/>
      <c r="ES919" s="33"/>
    </row>
    <row r="920">
      <c r="A920" s="33"/>
      <c r="B920" s="33"/>
      <c r="C920" s="33"/>
      <c r="D920" s="33"/>
      <c r="E920" s="33"/>
      <c r="F920" s="33"/>
      <c r="G920" s="85"/>
      <c r="H920" s="85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33"/>
      <c r="Y920" s="33"/>
      <c r="Z920" s="33"/>
      <c r="AA920" s="33"/>
      <c r="AB920" s="33"/>
      <c r="AC920" s="33"/>
      <c r="AD920" s="33"/>
      <c r="AE920" s="33"/>
      <c r="AF920" s="33"/>
      <c r="AG920" s="33"/>
      <c r="AH920" s="33"/>
      <c r="AI920" s="33"/>
      <c r="AJ920" s="33"/>
      <c r="AK920" s="33"/>
      <c r="AL920" s="33"/>
      <c r="AM920" s="33"/>
      <c r="AN920" s="33"/>
      <c r="AO920" s="33"/>
      <c r="AP920" s="33"/>
      <c r="AQ920" s="33"/>
      <c r="AR920" s="33"/>
      <c r="AS920" s="33"/>
      <c r="AT920" s="33"/>
      <c r="AU920" s="33"/>
      <c r="AV920" s="33"/>
      <c r="AW920" s="33"/>
      <c r="AX920" s="33"/>
      <c r="AY920" s="33"/>
      <c r="AZ920" s="33"/>
      <c r="BA920" s="33"/>
      <c r="BB920" s="33"/>
      <c r="BC920" s="33"/>
      <c r="BD920" s="33"/>
      <c r="BE920" s="33"/>
      <c r="BF920" s="33"/>
      <c r="BG920" s="33"/>
      <c r="BH920" s="33"/>
      <c r="BI920" s="33"/>
      <c r="BJ920" s="33"/>
      <c r="BK920" s="33"/>
      <c r="BL920" s="33"/>
      <c r="BM920" s="33"/>
      <c r="BN920" s="33"/>
      <c r="BO920" s="33"/>
      <c r="BP920" s="33"/>
      <c r="BQ920" s="33"/>
      <c r="BR920" s="33"/>
      <c r="BS920" s="33"/>
      <c r="BT920" s="33"/>
      <c r="BU920" s="33"/>
      <c r="BV920" s="33"/>
      <c r="BW920" s="33"/>
      <c r="BX920" s="33"/>
      <c r="BY920" s="33"/>
      <c r="BZ920" s="33"/>
      <c r="CA920" s="33"/>
      <c r="CB920" s="33"/>
      <c r="CC920" s="33"/>
      <c r="CD920" s="33"/>
      <c r="CE920" s="33"/>
      <c r="CF920" s="33"/>
      <c r="CG920" s="33"/>
      <c r="CH920" s="33"/>
      <c r="CI920" s="33"/>
      <c r="CJ920" s="33"/>
      <c r="CK920" s="33"/>
      <c r="CL920" s="33"/>
      <c r="CM920" s="33"/>
      <c r="CN920" s="33"/>
      <c r="CO920" s="33"/>
      <c r="CP920" s="33"/>
      <c r="CQ920" s="33"/>
      <c r="CR920" s="33"/>
      <c r="CS920" s="33"/>
      <c r="CT920" s="33"/>
      <c r="CU920" s="33"/>
      <c r="CV920" s="33"/>
      <c r="CW920" s="33"/>
      <c r="CX920" s="33"/>
      <c r="CY920" s="33"/>
      <c r="CZ920" s="33"/>
      <c r="DA920" s="33"/>
      <c r="DB920" s="33"/>
      <c r="DC920" s="33"/>
      <c r="DD920" s="33"/>
      <c r="DE920" s="33"/>
      <c r="DF920" s="33"/>
      <c r="DG920" s="33"/>
      <c r="DH920" s="33"/>
      <c r="DI920" s="33"/>
      <c r="DJ920" s="33"/>
      <c r="DK920" s="33"/>
      <c r="DL920" s="33"/>
      <c r="DM920" s="33"/>
      <c r="DN920" s="33"/>
      <c r="DO920" s="33"/>
      <c r="DP920" s="33"/>
      <c r="DQ920" s="33"/>
      <c r="DR920" s="33"/>
      <c r="DS920" s="33"/>
      <c r="DT920" s="33"/>
      <c r="DU920" s="33"/>
      <c r="DV920" s="33"/>
      <c r="DW920" s="33"/>
      <c r="DX920" s="33"/>
      <c r="DY920" s="33"/>
      <c r="DZ920" s="33"/>
      <c r="EA920" s="33"/>
      <c r="EB920" s="33"/>
      <c r="EC920" s="33"/>
      <c r="ED920" s="33"/>
      <c r="EE920" s="33"/>
      <c r="EF920" s="33"/>
      <c r="EG920" s="33"/>
      <c r="EH920" s="33"/>
      <c r="EI920" s="33"/>
      <c r="EJ920" s="33"/>
      <c r="EK920" s="33"/>
      <c r="EL920" s="33"/>
      <c r="EM920" s="33"/>
      <c r="EN920" s="33"/>
      <c r="EO920" s="33"/>
      <c r="EP920" s="33"/>
      <c r="EQ920" s="33"/>
      <c r="ER920" s="33"/>
      <c r="ES920" s="33"/>
    </row>
    <row r="921">
      <c r="A921" s="33"/>
      <c r="B921" s="33"/>
      <c r="C921" s="33"/>
      <c r="D921" s="33"/>
      <c r="E921" s="33"/>
      <c r="F921" s="33"/>
      <c r="G921" s="85"/>
      <c r="H921" s="85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33"/>
      <c r="Y921" s="33"/>
      <c r="Z921" s="33"/>
      <c r="AA921" s="33"/>
      <c r="AB921" s="33"/>
      <c r="AC921" s="33"/>
      <c r="AD921" s="33"/>
      <c r="AE921" s="33"/>
      <c r="AF921" s="33"/>
      <c r="AG921" s="33"/>
      <c r="AH921" s="33"/>
      <c r="AI921" s="33"/>
      <c r="AJ921" s="33"/>
      <c r="AK921" s="33"/>
      <c r="AL921" s="33"/>
      <c r="AM921" s="33"/>
      <c r="AN921" s="33"/>
      <c r="AO921" s="33"/>
      <c r="AP921" s="33"/>
      <c r="AQ921" s="33"/>
      <c r="AR921" s="33"/>
      <c r="AS921" s="33"/>
      <c r="AT921" s="33"/>
      <c r="AU921" s="33"/>
      <c r="AV921" s="33"/>
      <c r="AW921" s="33"/>
      <c r="AX921" s="33"/>
      <c r="AY921" s="33"/>
      <c r="AZ921" s="33"/>
      <c r="BA921" s="33"/>
      <c r="BB921" s="33"/>
      <c r="BC921" s="33"/>
      <c r="BD921" s="33"/>
      <c r="BE921" s="33"/>
      <c r="BF921" s="33"/>
      <c r="BG921" s="33"/>
      <c r="BH921" s="33"/>
      <c r="BI921" s="33"/>
      <c r="BJ921" s="33"/>
      <c r="BK921" s="33"/>
      <c r="BL921" s="33"/>
      <c r="BM921" s="33"/>
      <c r="BN921" s="33"/>
      <c r="BO921" s="33"/>
      <c r="BP921" s="33"/>
      <c r="BQ921" s="33"/>
      <c r="BR921" s="33"/>
      <c r="BS921" s="33"/>
      <c r="BT921" s="33"/>
      <c r="BU921" s="33"/>
      <c r="BV921" s="33"/>
      <c r="BW921" s="33"/>
      <c r="BX921" s="33"/>
      <c r="BY921" s="33"/>
      <c r="BZ921" s="33"/>
      <c r="CA921" s="33"/>
      <c r="CB921" s="33"/>
      <c r="CC921" s="33"/>
      <c r="CD921" s="33"/>
      <c r="CE921" s="33"/>
      <c r="CF921" s="33"/>
      <c r="CG921" s="33"/>
      <c r="CH921" s="33"/>
      <c r="CI921" s="33"/>
      <c r="CJ921" s="33"/>
      <c r="CK921" s="33"/>
      <c r="CL921" s="33"/>
      <c r="CM921" s="33"/>
      <c r="CN921" s="33"/>
      <c r="CO921" s="33"/>
      <c r="CP921" s="33"/>
      <c r="CQ921" s="33"/>
      <c r="CR921" s="33"/>
      <c r="CS921" s="33"/>
      <c r="CT921" s="33"/>
      <c r="CU921" s="33"/>
      <c r="CV921" s="33"/>
      <c r="CW921" s="33"/>
      <c r="CX921" s="33"/>
      <c r="CY921" s="33"/>
      <c r="CZ921" s="33"/>
      <c r="DA921" s="33"/>
      <c r="DB921" s="33"/>
      <c r="DC921" s="33"/>
      <c r="DD921" s="33"/>
      <c r="DE921" s="33"/>
      <c r="DF921" s="33"/>
      <c r="DG921" s="33"/>
      <c r="DH921" s="33"/>
      <c r="DI921" s="33"/>
      <c r="DJ921" s="33"/>
      <c r="DK921" s="33"/>
      <c r="DL921" s="33"/>
      <c r="DM921" s="33"/>
      <c r="DN921" s="33"/>
      <c r="DO921" s="33"/>
      <c r="DP921" s="33"/>
      <c r="DQ921" s="33"/>
      <c r="DR921" s="33"/>
      <c r="DS921" s="33"/>
      <c r="DT921" s="33"/>
      <c r="DU921" s="33"/>
      <c r="DV921" s="33"/>
      <c r="DW921" s="33"/>
      <c r="DX921" s="33"/>
      <c r="DY921" s="33"/>
      <c r="DZ921" s="33"/>
      <c r="EA921" s="33"/>
      <c r="EB921" s="33"/>
      <c r="EC921" s="33"/>
      <c r="ED921" s="33"/>
      <c r="EE921" s="33"/>
      <c r="EF921" s="33"/>
      <c r="EG921" s="33"/>
      <c r="EH921" s="33"/>
      <c r="EI921" s="33"/>
      <c r="EJ921" s="33"/>
      <c r="EK921" s="33"/>
      <c r="EL921" s="33"/>
      <c r="EM921" s="33"/>
      <c r="EN921" s="33"/>
      <c r="EO921" s="33"/>
      <c r="EP921" s="33"/>
      <c r="EQ921" s="33"/>
      <c r="ER921" s="33"/>
      <c r="ES921" s="33"/>
    </row>
    <row r="922">
      <c r="A922" s="33"/>
      <c r="B922" s="33"/>
      <c r="C922" s="33"/>
      <c r="D922" s="33"/>
      <c r="E922" s="33"/>
      <c r="F922" s="33"/>
      <c r="G922" s="85"/>
      <c r="H922" s="85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33"/>
      <c r="Y922" s="33"/>
      <c r="Z922" s="33"/>
      <c r="AA922" s="33"/>
      <c r="AB922" s="33"/>
      <c r="AC922" s="33"/>
      <c r="AD922" s="33"/>
      <c r="AE922" s="33"/>
      <c r="AF922" s="33"/>
      <c r="AG922" s="33"/>
      <c r="AH922" s="33"/>
      <c r="AI922" s="33"/>
      <c r="AJ922" s="33"/>
      <c r="AK922" s="33"/>
      <c r="AL922" s="33"/>
      <c r="AM922" s="33"/>
      <c r="AN922" s="33"/>
      <c r="AO922" s="33"/>
      <c r="AP922" s="33"/>
      <c r="AQ922" s="33"/>
      <c r="AR922" s="33"/>
      <c r="AS922" s="33"/>
      <c r="AT922" s="33"/>
      <c r="AU922" s="33"/>
      <c r="AV922" s="33"/>
      <c r="AW922" s="33"/>
      <c r="AX922" s="33"/>
      <c r="AY922" s="33"/>
      <c r="AZ922" s="33"/>
      <c r="BA922" s="33"/>
      <c r="BB922" s="33"/>
      <c r="BC922" s="33"/>
      <c r="BD922" s="33"/>
      <c r="BE922" s="33"/>
      <c r="BF922" s="33"/>
      <c r="BG922" s="33"/>
      <c r="BH922" s="33"/>
      <c r="BI922" s="33"/>
      <c r="BJ922" s="33"/>
      <c r="BK922" s="33"/>
      <c r="BL922" s="33"/>
      <c r="BM922" s="33"/>
      <c r="BN922" s="33"/>
      <c r="BO922" s="33"/>
      <c r="BP922" s="33"/>
      <c r="BQ922" s="33"/>
      <c r="BR922" s="33"/>
      <c r="BS922" s="33"/>
      <c r="BT922" s="33"/>
      <c r="BU922" s="33"/>
      <c r="BV922" s="33"/>
      <c r="BW922" s="33"/>
      <c r="BX922" s="33"/>
      <c r="BY922" s="33"/>
      <c r="BZ922" s="33"/>
      <c r="CA922" s="33"/>
      <c r="CB922" s="33"/>
      <c r="CC922" s="33"/>
      <c r="CD922" s="33"/>
      <c r="CE922" s="33"/>
      <c r="CF922" s="33"/>
      <c r="CG922" s="33"/>
      <c r="CH922" s="33"/>
      <c r="CI922" s="33"/>
      <c r="CJ922" s="33"/>
      <c r="CK922" s="33"/>
      <c r="CL922" s="33"/>
      <c r="CM922" s="33"/>
      <c r="CN922" s="33"/>
      <c r="CO922" s="33"/>
      <c r="CP922" s="33"/>
      <c r="CQ922" s="33"/>
      <c r="CR922" s="33"/>
      <c r="CS922" s="33"/>
      <c r="CT922" s="33"/>
      <c r="CU922" s="33"/>
      <c r="CV922" s="33"/>
      <c r="CW922" s="33"/>
      <c r="CX922" s="33"/>
      <c r="CY922" s="33"/>
      <c r="CZ922" s="33"/>
      <c r="DA922" s="33"/>
      <c r="DB922" s="33"/>
      <c r="DC922" s="33"/>
      <c r="DD922" s="33"/>
      <c r="DE922" s="33"/>
      <c r="DF922" s="33"/>
      <c r="DG922" s="33"/>
      <c r="DH922" s="33"/>
      <c r="DI922" s="33"/>
      <c r="DJ922" s="33"/>
      <c r="DK922" s="33"/>
      <c r="DL922" s="33"/>
      <c r="DM922" s="33"/>
      <c r="DN922" s="33"/>
      <c r="DO922" s="33"/>
      <c r="DP922" s="33"/>
      <c r="DQ922" s="33"/>
      <c r="DR922" s="33"/>
      <c r="DS922" s="33"/>
      <c r="DT922" s="33"/>
      <c r="DU922" s="33"/>
      <c r="DV922" s="33"/>
      <c r="DW922" s="33"/>
      <c r="DX922" s="33"/>
      <c r="DY922" s="33"/>
      <c r="DZ922" s="33"/>
      <c r="EA922" s="33"/>
      <c r="EB922" s="33"/>
      <c r="EC922" s="33"/>
      <c r="ED922" s="33"/>
      <c r="EE922" s="33"/>
      <c r="EF922" s="33"/>
      <c r="EG922" s="33"/>
      <c r="EH922" s="33"/>
      <c r="EI922" s="33"/>
      <c r="EJ922" s="33"/>
      <c r="EK922" s="33"/>
      <c r="EL922" s="33"/>
      <c r="EM922" s="33"/>
      <c r="EN922" s="33"/>
      <c r="EO922" s="33"/>
      <c r="EP922" s="33"/>
      <c r="EQ922" s="33"/>
      <c r="ER922" s="33"/>
      <c r="ES922" s="33"/>
    </row>
    <row r="923">
      <c r="A923" s="33"/>
      <c r="B923" s="33"/>
      <c r="C923" s="33"/>
      <c r="D923" s="33"/>
      <c r="E923" s="33"/>
      <c r="F923" s="33"/>
      <c r="G923" s="85"/>
      <c r="H923" s="85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33"/>
      <c r="Y923" s="33"/>
      <c r="Z923" s="33"/>
      <c r="AA923" s="33"/>
      <c r="AB923" s="33"/>
      <c r="AC923" s="33"/>
      <c r="AD923" s="33"/>
      <c r="AE923" s="33"/>
      <c r="AF923" s="33"/>
      <c r="AG923" s="33"/>
      <c r="AH923" s="33"/>
      <c r="AI923" s="33"/>
      <c r="AJ923" s="33"/>
      <c r="AK923" s="33"/>
      <c r="AL923" s="33"/>
      <c r="AM923" s="33"/>
      <c r="AN923" s="33"/>
      <c r="AO923" s="33"/>
      <c r="AP923" s="33"/>
      <c r="AQ923" s="33"/>
      <c r="AR923" s="33"/>
      <c r="AS923" s="33"/>
      <c r="AT923" s="33"/>
      <c r="AU923" s="33"/>
      <c r="AV923" s="33"/>
      <c r="AW923" s="33"/>
      <c r="AX923" s="33"/>
      <c r="AY923" s="33"/>
      <c r="AZ923" s="33"/>
      <c r="BA923" s="33"/>
      <c r="BB923" s="33"/>
      <c r="BC923" s="33"/>
      <c r="BD923" s="33"/>
      <c r="BE923" s="33"/>
      <c r="BF923" s="33"/>
      <c r="BG923" s="33"/>
      <c r="BH923" s="33"/>
      <c r="BI923" s="33"/>
      <c r="BJ923" s="33"/>
      <c r="BK923" s="33"/>
      <c r="BL923" s="33"/>
      <c r="BM923" s="33"/>
      <c r="BN923" s="33"/>
      <c r="BO923" s="33"/>
      <c r="BP923" s="33"/>
      <c r="BQ923" s="33"/>
      <c r="BR923" s="33"/>
      <c r="BS923" s="33"/>
      <c r="BT923" s="33"/>
      <c r="BU923" s="33"/>
      <c r="BV923" s="33"/>
      <c r="BW923" s="33"/>
      <c r="BX923" s="33"/>
      <c r="BY923" s="33"/>
      <c r="BZ923" s="33"/>
      <c r="CA923" s="33"/>
      <c r="CB923" s="33"/>
      <c r="CC923" s="33"/>
      <c r="CD923" s="33"/>
      <c r="CE923" s="33"/>
      <c r="CF923" s="33"/>
      <c r="CG923" s="33"/>
      <c r="CH923" s="33"/>
      <c r="CI923" s="33"/>
      <c r="CJ923" s="33"/>
      <c r="CK923" s="33"/>
      <c r="CL923" s="33"/>
      <c r="CM923" s="33"/>
      <c r="CN923" s="33"/>
      <c r="CO923" s="33"/>
      <c r="CP923" s="33"/>
      <c r="CQ923" s="33"/>
      <c r="CR923" s="33"/>
      <c r="CS923" s="33"/>
      <c r="CT923" s="33"/>
      <c r="CU923" s="33"/>
      <c r="CV923" s="33"/>
      <c r="CW923" s="33"/>
      <c r="CX923" s="33"/>
      <c r="CY923" s="33"/>
      <c r="CZ923" s="33"/>
      <c r="DA923" s="33"/>
      <c r="DB923" s="33"/>
      <c r="DC923" s="33"/>
      <c r="DD923" s="33"/>
      <c r="DE923" s="33"/>
      <c r="DF923" s="33"/>
      <c r="DG923" s="33"/>
      <c r="DH923" s="33"/>
      <c r="DI923" s="33"/>
      <c r="DJ923" s="33"/>
      <c r="DK923" s="33"/>
      <c r="DL923" s="33"/>
      <c r="DM923" s="33"/>
      <c r="DN923" s="33"/>
      <c r="DO923" s="33"/>
      <c r="DP923" s="33"/>
      <c r="DQ923" s="33"/>
      <c r="DR923" s="33"/>
      <c r="DS923" s="33"/>
      <c r="DT923" s="33"/>
      <c r="DU923" s="33"/>
      <c r="DV923" s="33"/>
      <c r="DW923" s="33"/>
      <c r="DX923" s="33"/>
      <c r="DY923" s="33"/>
      <c r="DZ923" s="33"/>
      <c r="EA923" s="33"/>
      <c r="EB923" s="33"/>
      <c r="EC923" s="33"/>
      <c r="ED923" s="33"/>
      <c r="EE923" s="33"/>
      <c r="EF923" s="33"/>
      <c r="EG923" s="33"/>
      <c r="EH923" s="33"/>
      <c r="EI923" s="33"/>
      <c r="EJ923" s="33"/>
      <c r="EK923" s="33"/>
      <c r="EL923" s="33"/>
      <c r="EM923" s="33"/>
      <c r="EN923" s="33"/>
      <c r="EO923" s="33"/>
      <c r="EP923" s="33"/>
      <c r="EQ923" s="33"/>
      <c r="ER923" s="33"/>
      <c r="ES923" s="33"/>
    </row>
    <row r="924">
      <c r="A924" s="33"/>
      <c r="B924" s="33"/>
      <c r="C924" s="33"/>
      <c r="D924" s="33"/>
      <c r="E924" s="33"/>
      <c r="F924" s="33"/>
      <c r="G924" s="85"/>
      <c r="H924" s="85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33"/>
      <c r="Y924" s="33"/>
      <c r="Z924" s="33"/>
      <c r="AA924" s="33"/>
      <c r="AB924" s="33"/>
      <c r="AC924" s="33"/>
      <c r="AD924" s="33"/>
      <c r="AE924" s="33"/>
      <c r="AF924" s="33"/>
      <c r="AG924" s="33"/>
      <c r="AH924" s="33"/>
      <c r="AI924" s="33"/>
      <c r="AJ924" s="33"/>
      <c r="AK924" s="33"/>
      <c r="AL924" s="33"/>
      <c r="AM924" s="33"/>
      <c r="AN924" s="33"/>
      <c r="AO924" s="33"/>
      <c r="AP924" s="33"/>
      <c r="AQ924" s="33"/>
      <c r="AR924" s="33"/>
      <c r="AS924" s="33"/>
      <c r="AT924" s="33"/>
      <c r="AU924" s="33"/>
      <c r="AV924" s="33"/>
      <c r="AW924" s="33"/>
      <c r="AX924" s="33"/>
      <c r="AY924" s="33"/>
      <c r="AZ924" s="33"/>
      <c r="BA924" s="33"/>
      <c r="BB924" s="33"/>
      <c r="BC924" s="33"/>
      <c r="BD924" s="33"/>
      <c r="BE924" s="33"/>
      <c r="BF924" s="33"/>
      <c r="BG924" s="33"/>
      <c r="BH924" s="33"/>
      <c r="BI924" s="33"/>
      <c r="BJ924" s="33"/>
      <c r="BK924" s="33"/>
      <c r="BL924" s="33"/>
      <c r="BM924" s="33"/>
      <c r="BN924" s="33"/>
      <c r="BO924" s="33"/>
      <c r="BP924" s="33"/>
      <c r="BQ924" s="33"/>
      <c r="BR924" s="33"/>
      <c r="BS924" s="33"/>
      <c r="BT924" s="33"/>
      <c r="BU924" s="33"/>
      <c r="BV924" s="33"/>
      <c r="BW924" s="33"/>
      <c r="BX924" s="33"/>
      <c r="BY924" s="33"/>
      <c r="BZ924" s="33"/>
      <c r="CA924" s="33"/>
      <c r="CB924" s="33"/>
      <c r="CC924" s="33"/>
      <c r="CD924" s="33"/>
      <c r="CE924" s="33"/>
      <c r="CF924" s="33"/>
      <c r="CG924" s="33"/>
      <c r="CH924" s="33"/>
      <c r="CI924" s="33"/>
      <c r="CJ924" s="33"/>
      <c r="CK924" s="33"/>
      <c r="CL924" s="33"/>
      <c r="CM924" s="33"/>
      <c r="CN924" s="33"/>
      <c r="CO924" s="33"/>
      <c r="CP924" s="33"/>
      <c r="CQ924" s="33"/>
      <c r="CR924" s="33"/>
      <c r="CS924" s="33"/>
      <c r="CT924" s="33"/>
      <c r="CU924" s="33"/>
      <c r="CV924" s="33"/>
      <c r="CW924" s="33"/>
      <c r="CX924" s="33"/>
      <c r="CY924" s="33"/>
      <c r="CZ924" s="33"/>
      <c r="DA924" s="33"/>
      <c r="DB924" s="33"/>
      <c r="DC924" s="33"/>
      <c r="DD924" s="33"/>
      <c r="DE924" s="33"/>
      <c r="DF924" s="33"/>
      <c r="DG924" s="33"/>
      <c r="DH924" s="33"/>
      <c r="DI924" s="33"/>
      <c r="DJ924" s="33"/>
      <c r="DK924" s="33"/>
      <c r="DL924" s="33"/>
      <c r="DM924" s="33"/>
      <c r="DN924" s="33"/>
      <c r="DO924" s="33"/>
      <c r="DP924" s="33"/>
      <c r="DQ924" s="33"/>
      <c r="DR924" s="33"/>
      <c r="DS924" s="33"/>
      <c r="DT924" s="33"/>
      <c r="DU924" s="33"/>
      <c r="DV924" s="33"/>
      <c r="DW924" s="33"/>
      <c r="DX924" s="33"/>
      <c r="DY924" s="33"/>
      <c r="DZ924" s="33"/>
      <c r="EA924" s="33"/>
      <c r="EB924" s="33"/>
      <c r="EC924" s="33"/>
      <c r="ED924" s="33"/>
      <c r="EE924" s="33"/>
      <c r="EF924" s="33"/>
      <c r="EG924" s="33"/>
      <c r="EH924" s="33"/>
      <c r="EI924" s="33"/>
      <c r="EJ924" s="33"/>
      <c r="EK924" s="33"/>
      <c r="EL924" s="33"/>
      <c r="EM924" s="33"/>
      <c r="EN924" s="33"/>
      <c r="EO924" s="33"/>
      <c r="EP924" s="33"/>
      <c r="EQ924" s="33"/>
      <c r="ER924" s="33"/>
      <c r="ES924" s="33"/>
    </row>
    <row r="925">
      <c r="A925" s="33"/>
      <c r="B925" s="33"/>
      <c r="C925" s="33"/>
      <c r="D925" s="33"/>
      <c r="E925" s="33"/>
      <c r="F925" s="33"/>
      <c r="G925" s="85"/>
      <c r="H925" s="85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33"/>
      <c r="Y925" s="33"/>
      <c r="Z925" s="33"/>
      <c r="AA925" s="33"/>
      <c r="AB925" s="33"/>
      <c r="AC925" s="33"/>
      <c r="AD925" s="33"/>
      <c r="AE925" s="33"/>
      <c r="AF925" s="33"/>
      <c r="AG925" s="33"/>
      <c r="AH925" s="33"/>
      <c r="AI925" s="33"/>
      <c r="AJ925" s="33"/>
      <c r="AK925" s="33"/>
      <c r="AL925" s="33"/>
      <c r="AM925" s="33"/>
      <c r="AN925" s="33"/>
      <c r="AO925" s="33"/>
      <c r="AP925" s="33"/>
      <c r="AQ925" s="33"/>
      <c r="AR925" s="33"/>
      <c r="AS925" s="33"/>
      <c r="AT925" s="33"/>
      <c r="AU925" s="33"/>
      <c r="AV925" s="33"/>
      <c r="AW925" s="33"/>
      <c r="AX925" s="33"/>
      <c r="AY925" s="33"/>
      <c r="AZ925" s="33"/>
      <c r="BA925" s="33"/>
      <c r="BB925" s="33"/>
      <c r="BC925" s="33"/>
      <c r="BD925" s="33"/>
      <c r="BE925" s="33"/>
      <c r="BF925" s="33"/>
      <c r="BG925" s="33"/>
      <c r="BH925" s="33"/>
      <c r="BI925" s="33"/>
      <c r="BJ925" s="33"/>
      <c r="BK925" s="33"/>
      <c r="BL925" s="33"/>
      <c r="BM925" s="33"/>
      <c r="BN925" s="33"/>
      <c r="BO925" s="33"/>
      <c r="BP925" s="33"/>
      <c r="BQ925" s="33"/>
      <c r="BR925" s="33"/>
      <c r="BS925" s="33"/>
      <c r="BT925" s="33"/>
      <c r="BU925" s="33"/>
      <c r="BV925" s="33"/>
      <c r="BW925" s="33"/>
      <c r="BX925" s="33"/>
      <c r="BY925" s="33"/>
      <c r="BZ925" s="33"/>
      <c r="CA925" s="33"/>
      <c r="CB925" s="33"/>
      <c r="CC925" s="33"/>
      <c r="CD925" s="33"/>
      <c r="CE925" s="33"/>
      <c r="CF925" s="33"/>
      <c r="CG925" s="33"/>
      <c r="CH925" s="33"/>
      <c r="CI925" s="33"/>
      <c r="CJ925" s="33"/>
      <c r="CK925" s="33"/>
      <c r="CL925" s="33"/>
      <c r="CM925" s="33"/>
      <c r="CN925" s="33"/>
      <c r="CO925" s="33"/>
      <c r="CP925" s="33"/>
      <c r="CQ925" s="33"/>
      <c r="CR925" s="33"/>
      <c r="CS925" s="33"/>
      <c r="CT925" s="33"/>
      <c r="CU925" s="33"/>
      <c r="CV925" s="33"/>
      <c r="CW925" s="33"/>
      <c r="CX925" s="33"/>
      <c r="CY925" s="33"/>
      <c r="CZ925" s="33"/>
      <c r="DA925" s="33"/>
      <c r="DB925" s="33"/>
      <c r="DC925" s="33"/>
      <c r="DD925" s="33"/>
      <c r="DE925" s="33"/>
      <c r="DF925" s="33"/>
      <c r="DG925" s="33"/>
      <c r="DH925" s="33"/>
      <c r="DI925" s="33"/>
      <c r="DJ925" s="33"/>
      <c r="DK925" s="33"/>
      <c r="DL925" s="33"/>
      <c r="DM925" s="33"/>
      <c r="DN925" s="33"/>
      <c r="DO925" s="33"/>
      <c r="DP925" s="33"/>
      <c r="DQ925" s="33"/>
      <c r="DR925" s="33"/>
      <c r="DS925" s="33"/>
      <c r="DT925" s="33"/>
      <c r="DU925" s="33"/>
      <c r="DV925" s="33"/>
      <c r="DW925" s="33"/>
      <c r="DX925" s="33"/>
      <c r="DY925" s="33"/>
      <c r="DZ925" s="33"/>
      <c r="EA925" s="33"/>
      <c r="EB925" s="33"/>
      <c r="EC925" s="33"/>
      <c r="ED925" s="33"/>
      <c r="EE925" s="33"/>
      <c r="EF925" s="33"/>
      <c r="EG925" s="33"/>
      <c r="EH925" s="33"/>
      <c r="EI925" s="33"/>
      <c r="EJ925" s="33"/>
      <c r="EK925" s="33"/>
      <c r="EL925" s="33"/>
      <c r="EM925" s="33"/>
      <c r="EN925" s="33"/>
      <c r="EO925" s="33"/>
      <c r="EP925" s="33"/>
      <c r="EQ925" s="33"/>
      <c r="ER925" s="33"/>
      <c r="ES925" s="33"/>
    </row>
    <row r="926">
      <c r="A926" s="33"/>
      <c r="B926" s="33"/>
      <c r="C926" s="33"/>
      <c r="D926" s="33"/>
      <c r="E926" s="33"/>
      <c r="F926" s="33"/>
      <c r="G926" s="85"/>
      <c r="H926" s="85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33"/>
      <c r="Y926" s="33"/>
      <c r="Z926" s="33"/>
      <c r="AA926" s="33"/>
      <c r="AB926" s="33"/>
      <c r="AC926" s="33"/>
      <c r="AD926" s="33"/>
      <c r="AE926" s="33"/>
      <c r="AF926" s="33"/>
      <c r="AG926" s="33"/>
      <c r="AH926" s="33"/>
      <c r="AI926" s="33"/>
      <c r="AJ926" s="33"/>
      <c r="AK926" s="33"/>
      <c r="AL926" s="33"/>
      <c r="AM926" s="33"/>
      <c r="AN926" s="33"/>
      <c r="AO926" s="33"/>
      <c r="AP926" s="33"/>
      <c r="AQ926" s="33"/>
      <c r="AR926" s="33"/>
      <c r="AS926" s="33"/>
      <c r="AT926" s="33"/>
      <c r="AU926" s="33"/>
      <c r="AV926" s="33"/>
      <c r="AW926" s="33"/>
      <c r="AX926" s="33"/>
      <c r="AY926" s="33"/>
      <c r="AZ926" s="33"/>
      <c r="BA926" s="33"/>
      <c r="BB926" s="33"/>
      <c r="BC926" s="33"/>
      <c r="BD926" s="33"/>
      <c r="BE926" s="33"/>
      <c r="BF926" s="33"/>
      <c r="BG926" s="33"/>
      <c r="BH926" s="33"/>
      <c r="BI926" s="33"/>
      <c r="BJ926" s="33"/>
      <c r="BK926" s="33"/>
      <c r="BL926" s="33"/>
      <c r="BM926" s="33"/>
      <c r="BN926" s="33"/>
      <c r="BO926" s="33"/>
      <c r="BP926" s="33"/>
      <c r="BQ926" s="33"/>
      <c r="BR926" s="33"/>
      <c r="BS926" s="33"/>
      <c r="BT926" s="33"/>
      <c r="BU926" s="33"/>
      <c r="BV926" s="33"/>
      <c r="BW926" s="33"/>
      <c r="BX926" s="33"/>
      <c r="BY926" s="33"/>
      <c r="BZ926" s="33"/>
      <c r="CA926" s="33"/>
      <c r="CB926" s="33"/>
      <c r="CC926" s="33"/>
      <c r="CD926" s="33"/>
      <c r="CE926" s="33"/>
      <c r="CF926" s="33"/>
      <c r="CG926" s="33"/>
      <c r="CH926" s="33"/>
      <c r="CI926" s="33"/>
      <c r="CJ926" s="33"/>
      <c r="CK926" s="33"/>
      <c r="CL926" s="33"/>
      <c r="CM926" s="33"/>
      <c r="CN926" s="33"/>
      <c r="CO926" s="33"/>
      <c r="CP926" s="33"/>
      <c r="CQ926" s="33"/>
      <c r="CR926" s="33"/>
      <c r="CS926" s="33"/>
      <c r="CT926" s="33"/>
      <c r="CU926" s="33"/>
      <c r="CV926" s="33"/>
      <c r="CW926" s="33"/>
      <c r="CX926" s="33"/>
      <c r="CY926" s="33"/>
      <c r="CZ926" s="33"/>
      <c r="DA926" s="33"/>
      <c r="DB926" s="33"/>
      <c r="DC926" s="33"/>
      <c r="DD926" s="33"/>
      <c r="DE926" s="33"/>
      <c r="DF926" s="33"/>
      <c r="DG926" s="33"/>
      <c r="DH926" s="33"/>
      <c r="DI926" s="33"/>
      <c r="DJ926" s="33"/>
      <c r="DK926" s="33"/>
      <c r="DL926" s="33"/>
      <c r="DM926" s="33"/>
      <c r="DN926" s="33"/>
      <c r="DO926" s="33"/>
      <c r="DP926" s="33"/>
      <c r="DQ926" s="33"/>
      <c r="DR926" s="33"/>
      <c r="DS926" s="33"/>
      <c r="DT926" s="33"/>
      <c r="DU926" s="33"/>
      <c r="DV926" s="33"/>
      <c r="DW926" s="33"/>
      <c r="DX926" s="33"/>
      <c r="DY926" s="33"/>
      <c r="DZ926" s="33"/>
      <c r="EA926" s="33"/>
      <c r="EB926" s="33"/>
      <c r="EC926" s="33"/>
      <c r="ED926" s="33"/>
      <c r="EE926" s="33"/>
      <c r="EF926" s="33"/>
      <c r="EG926" s="33"/>
      <c r="EH926" s="33"/>
      <c r="EI926" s="33"/>
      <c r="EJ926" s="33"/>
      <c r="EK926" s="33"/>
      <c r="EL926" s="33"/>
      <c r="EM926" s="33"/>
      <c r="EN926" s="33"/>
      <c r="EO926" s="33"/>
      <c r="EP926" s="33"/>
      <c r="EQ926" s="33"/>
      <c r="ER926" s="33"/>
      <c r="ES926" s="33"/>
    </row>
    <row r="927">
      <c r="A927" s="33"/>
      <c r="B927" s="33"/>
      <c r="C927" s="33"/>
      <c r="D927" s="33"/>
      <c r="E927" s="33"/>
      <c r="F927" s="33"/>
      <c r="G927" s="85"/>
      <c r="H927" s="85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33"/>
      <c r="Y927" s="33"/>
      <c r="Z927" s="33"/>
      <c r="AA927" s="33"/>
      <c r="AB927" s="33"/>
      <c r="AC927" s="33"/>
      <c r="AD927" s="33"/>
      <c r="AE927" s="33"/>
      <c r="AF927" s="33"/>
      <c r="AG927" s="33"/>
      <c r="AH927" s="33"/>
      <c r="AI927" s="33"/>
      <c r="AJ927" s="33"/>
      <c r="AK927" s="33"/>
      <c r="AL927" s="33"/>
      <c r="AM927" s="33"/>
      <c r="AN927" s="33"/>
      <c r="AO927" s="33"/>
      <c r="AP927" s="33"/>
      <c r="AQ927" s="33"/>
      <c r="AR927" s="33"/>
      <c r="AS927" s="33"/>
      <c r="AT927" s="33"/>
      <c r="AU927" s="33"/>
      <c r="AV927" s="33"/>
      <c r="AW927" s="33"/>
      <c r="AX927" s="33"/>
      <c r="AY927" s="33"/>
      <c r="AZ927" s="33"/>
      <c r="BA927" s="33"/>
      <c r="BB927" s="33"/>
      <c r="BC927" s="33"/>
      <c r="BD927" s="33"/>
      <c r="BE927" s="33"/>
      <c r="BF927" s="33"/>
      <c r="BG927" s="33"/>
      <c r="BH927" s="33"/>
      <c r="BI927" s="33"/>
      <c r="BJ927" s="33"/>
      <c r="BK927" s="33"/>
      <c r="BL927" s="33"/>
      <c r="BM927" s="33"/>
      <c r="BN927" s="33"/>
      <c r="BO927" s="33"/>
      <c r="BP927" s="33"/>
      <c r="BQ927" s="33"/>
      <c r="BR927" s="33"/>
      <c r="BS927" s="33"/>
      <c r="BT927" s="33"/>
      <c r="BU927" s="33"/>
      <c r="BV927" s="33"/>
      <c r="BW927" s="33"/>
      <c r="BX927" s="33"/>
      <c r="BY927" s="33"/>
      <c r="BZ927" s="33"/>
      <c r="CA927" s="33"/>
      <c r="CB927" s="33"/>
      <c r="CC927" s="33"/>
      <c r="CD927" s="33"/>
      <c r="CE927" s="33"/>
      <c r="CF927" s="33"/>
      <c r="CG927" s="33"/>
      <c r="CH927" s="33"/>
      <c r="CI927" s="33"/>
      <c r="CJ927" s="33"/>
      <c r="CK927" s="33"/>
      <c r="CL927" s="33"/>
      <c r="CM927" s="33"/>
      <c r="CN927" s="33"/>
      <c r="CO927" s="33"/>
      <c r="CP927" s="33"/>
      <c r="CQ927" s="33"/>
      <c r="CR927" s="33"/>
      <c r="CS927" s="33"/>
      <c r="CT927" s="33"/>
      <c r="CU927" s="33"/>
      <c r="CV927" s="33"/>
      <c r="CW927" s="33"/>
      <c r="CX927" s="33"/>
      <c r="CY927" s="33"/>
      <c r="CZ927" s="33"/>
      <c r="DA927" s="33"/>
      <c r="DB927" s="33"/>
      <c r="DC927" s="33"/>
      <c r="DD927" s="33"/>
      <c r="DE927" s="33"/>
      <c r="DF927" s="33"/>
      <c r="DG927" s="33"/>
      <c r="DH927" s="33"/>
      <c r="DI927" s="33"/>
      <c r="DJ927" s="33"/>
      <c r="DK927" s="33"/>
      <c r="DL927" s="33"/>
      <c r="DM927" s="33"/>
      <c r="DN927" s="33"/>
      <c r="DO927" s="33"/>
      <c r="DP927" s="33"/>
      <c r="DQ927" s="33"/>
      <c r="DR927" s="33"/>
      <c r="DS927" s="33"/>
      <c r="DT927" s="33"/>
      <c r="DU927" s="33"/>
      <c r="DV927" s="33"/>
      <c r="DW927" s="33"/>
      <c r="DX927" s="33"/>
      <c r="DY927" s="33"/>
      <c r="DZ927" s="33"/>
      <c r="EA927" s="33"/>
      <c r="EB927" s="33"/>
      <c r="EC927" s="33"/>
      <c r="ED927" s="33"/>
      <c r="EE927" s="33"/>
      <c r="EF927" s="33"/>
      <c r="EG927" s="33"/>
      <c r="EH927" s="33"/>
      <c r="EI927" s="33"/>
      <c r="EJ927" s="33"/>
      <c r="EK927" s="33"/>
      <c r="EL927" s="33"/>
      <c r="EM927" s="33"/>
      <c r="EN927" s="33"/>
      <c r="EO927" s="33"/>
      <c r="EP927" s="33"/>
      <c r="EQ927" s="33"/>
      <c r="ER927" s="33"/>
      <c r="ES927" s="33"/>
    </row>
    <row r="928">
      <c r="A928" s="33"/>
      <c r="B928" s="33"/>
      <c r="C928" s="33"/>
      <c r="D928" s="33"/>
      <c r="E928" s="33"/>
      <c r="F928" s="33"/>
      <c r="G928" s="85"/>
      <c r="H928" s="85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33"/>
      <c r="Y928" s="33"/>
      <c r="Z928" s="33"/>
      <c r="AA928" s="33"/>
      <c r="AB928" s="33"/>
      <c r="AC928" s="33"/>
      <c r="AD928" s="33"/>
      <c r="AE928" s="33"/>
      <c r="AF928" s="33"/>
      <c r="AG928" s="33"/>
      <c r="AH928" s="33"/>
      <c r="AI928" s="33"/>
      <c r="AJ928" s="33"/>
      <c r="AK928" s="33"/>
      <c r="AL928" s="33"/>
      <c r="AM928" s="33"/>
      <c r="AN928" s="33"/>
      <c r="AO928" s="33"/>
      <c r="AP928" s="33"/>
      <c r="AQ928" s="33"/>
      <c r="AR928" s="33"/>
      <c r="AS928" s="33"/>
      <c r="AT928" s="33"/>
      <c r="AU928" s="33"/>
      <c r="AV928" s="33"/>
      <c r="AW928" s="33"/>
      <c r="AX928" s="33"/>
      <c r="AY928" s="33"/>
      <c r="AZ928" s="33"/>
      <c r="BA928" s="33"/>
      <c r="BB928" s="33"/>
      <c r="BC928" s="33"/>
      <c r="BD928" s="33"/>
      <c r="BE928" s="33"/>
      <c r="BF928" s="33"/>
      <c r="BG928" s="33"/>
      <c r="BH928" s="33"/>
      <c r="BI928" s="33"/>
      <c r="BJ928" s="33"/>
      <c r="BK928" s="33"/>
      <c r="BL928" s="33"/>
      <c r="BM928" s="33"/>
      <c r="BN928" s="33"/>
      <c r="BO928" s="33"/>
      <c r="BP928" s="33"/>
      <c r="BQ928" s="33"/>
      <c r="BR928" s="33"/>
      <c r="BS928" s="33"/>
      <c r="BT928" s="33"/>
      <c r="BU928" s="33"/>
      <c r="BV928" s="33"/>
      <c r="BW928" s="33"/>
      <c r="BX928" s="33"/>
      <c r="BY928" s="33"/>
      <c r="BZ928" s="33"/>
      <c r="CA928" s="33"/>
      <c r="CB928" s="33"/>
      <c r="CC928" s="33"/>
      <c r="CD928" s="33"/>
      <c r="CE928" s="33"/>
      <c r="CF928" s="33"/>
      <c r="CG928" s="33"/>
      <c r="CH928" s="33"/>
      <c r="CI928" s="33"/>
      <c r="CJ928" s="33"/>
      <c r="CK928" s="33"/>
      <c r="CL928" s="33"/>
      <c r="CM928" s="33"/>
      <c r="CN928" s="33"/>
      <c r="CO928" s="33"/>
      <c r="CP928" s="33"/>
      <c r="CQ928" s="33"/>
      <c r="CR928" s="33"/>
      <c r="CS928" s="33"/>
      <c r="CT928" s="33"/>
      <c r="CU928" s="33"/>
      <c r="CV928" s="33"/>
      <c r="CW928" s="33"/>
      <c r="CX928" s="33"/>
      <c r="CY928" s="33"/>
      <c r="CZ928" s="33"/>
      <c r="DA928" s="33"/>
      <c r="DB928" s="33"/>
      <c r="DC928" s="33"/>
      <c r="DD928" s="33"/>
      <c r="DE928" s="33"/>
      <c r="DF928" s="33"/>
      <c r="DG928" s="33"/>
      <c r="DH928" s="33"/>
      <c r="DI928" s="33"/>
      <c r="DJ928" s="33"/>
      <c r="DK928" s="33"/>
      <c r="DL928" s="33"/>
      <c r="DM928" s="33"/>
      <c r="DN928" s="33"/>
      <c r="DO928" s="33"/>
      <c r="DP928" s="33"/>
      <c r="DQ928" s="33"/>
      <c r="DR928" s="33"/>
      <c r="DS928" s="33"/>
      <c r="DT928" s="33"/>
      <c r="DU928" s="33"/>
      <c r="DV928" s="33"/>
      <c r="DW928" s="33"/>
      <c r="DX928" s="33"/>
      <c r="DY928" s="33"/>
      <c r="DZ928" s="33"/>
      <c r="EA928" s="33"/>
      <c r="EB928" s="33"/>
      <c r="EC928" s="33"/>
      <c r="ED928" s="33"/>
      <c r="EE928" s="33"/>
      <c r="EF928" s="33"/>
      <c r="EG928" s="33"/>
      <c r="EH928" s="33"/>
      <c r="EI928" s="33"/>
      <c r="EJ928" s="33"/>
      <c r="EK928" s="33"/>
      <c r="EL928" s="33"/>
      <c r="EM928" s="33"/>
      <c r="EN928" s="33"/>
      <c r="EO928" s="33"/>
      <c r="EP928" s="33"/>
      <c r="EQ928" s="33"/>
      <c r="ER928" s="33"/>
      <c r="ES928" s="33"/>
    </row>
    <row r="929">
      <c r="A929" s="33"/>
      <c r="B929" s="33"/>
      <c r="C929" s="33"/>
      <c r="D929" s="33"/>
      <c r="E929" s="33"/>
      <c r="F929" s="33"/>
      <c r="G929" s="85"/>
      <c r="H929" s="85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33"/>
      <c r="Y929" s="33"/>
      <c r="Z929" s="33"/>
      <c r="AA929" s="33"/>
      <c r="AB929" s="33"/>
      <c r="AC929" s="33"/>
      <c r="AD929" s="33"/>
      <c r="AE929" s="33"/>
      <c r="AF929" s="33"/>
      <c r="AG929" s="33"/>
      <c r="AH929" s="33"/>
      <c r="AI929" s="33"/>
      <c r="AJ929" s="33"/>
      <c r="AK929" s="33"/>
      <c r="AL929" s="33"/>
      <c r="AM929" s="33"/>
      <c r="AN929" s="33"/>
      <c r="AO929" s="33"/>
      <c r="AP929" s="33"/>
      <c r="AQ929" s="33"/>
      <c r="AR929" s="33"/>
      <c r="AS929" s="33"/>
      <c r="AT929" s="33"/>
      <c r="AU929" s="33"/>
      <c r="AV929" s="33"/>
      <c r="AW929" s="33"/>
      <c r="AX929" s="33"/>
      <c r="AY929" s="33"/>
      <c r="AZ929" s="33"/>
      <c r="BA929" s="33"/>
      <c r="BB929" s="33"/>
      <c r="BC929" s="33"/>
      <c r="BD929" s="33"/>
      <c r="BE929" s="33"/>
      <c r="BF929" s="33"/>
      <c r="BG929" s="33"/>
      <c r="BH929" s="33"/>
      <c r="BI929" s="33"/>
      <c r="BJ929" s="33"/>
      <c r="BK929" s="33"/>
      <c r="BL929" s="33"/>
      <c r="BM929" s="33"/>
      <c r="BN929" s="33"/>
      <c r="BO929" s="33"/>
      <c r="BP929" s="33"/>
      <c r="BQ929" s="33"/>
      <c r="BR929" s="33"/>
      <c r="BS929" s="33"/>
      <c r="BT929" s="33"/>
      <c r="BU929" s="33"/>
      <c r="BV929" s="33"/>
      <c r="BW929" s="33"/>
      <c r="BX929" s="33"/>
      <c r="BY929" s="33"/>
      <c r="BZ929" s="33"/>
      <c r="CA929" s="33"/>
      <c r="CB929" s="33"/>
      <c r="CC929" s="33"/>
      <c r="CD929" s="33"/>
      <c r="CE929" s="33"/>
      <c r="CF929" s="33"/>
      <c r="CG929" s="33"/>
      <c r="CH929" s="33"/>
      <c r="CI929" s="33"/>
      <c r="CJ929" s="33"/>
      <c r="CK929" s="33"/>
      <c r="CL929" s="33"/>
      <c r="CM929" s="33"/>
      <c r="CN929" s="33"/>
      <c r="CO929" s="33"/>
      <c r="CP929" s="33"/>
      <c r="CQ929" s="33"/>
      <c r="CR929" s="33"/>
      <c r="CS929" s="33"/>
      <c r="CT929" s="33"/>
      <c r="CU929" s="33"/>
      <c r="CV929" s="33"/>
      <c r="CW929" s="33"/>
      <c r="CX929" s="33"/>
      <c r="CY929" s="33"/>
      <c r="CZ929" s="33"/>
      <c r="DA929" s="33"/>
      <c r="DB929" s="33"/>
      <c r="DC929" s="33"/>
      <c r="DD929" s="33"/>
      <c r="DE929" s="33"/>
      <c r="DF929" s="33"/>
      <c r="DG929" s="33"/>
      <c r="DH929" s="33"/>
      <c r="DI929" s="33"/>
      <c r="DJ929" s="33"/>
      <c r="DK929" s="33"/>
      <c r="DL929" s="33"/>
      <c r="DM929" s="33"/>
      <c r="DN929" s="33"/>
      <c r="DO929" s="33"/>
      <c r="DP929" s="33"/>
      <c r="DQ929" s="33"/>
      <c r="DR929" s="33"/>
      <c r="DS929" s="33"/>
      <c r="DT929" s="33"/>
      <c r="DU929" s="33"/>
      <c r="DV929" s="33"/>
      <c r="DW929" s="33"/>
      <c r="DX929" s="33"/>
      <c r="DY929" s="33"/>
      <c r="DZ929" s="33"/>
      <c r="EA929" s="33"/>
      <c r="EB929" s="33"/>
      <c r="EC929" s="33"/>
      <c r="ED929" s="33"/>
      <c r="EE929" s="33"/>
      <c r="EF929" s="33"/>
      <c r="EG929" s="33"/>
      <c r="EH929" s="33"/>
      <c r="EI929" s="33"/>
      <c r="EJ929" s="33"/>
      <c r="EK929" s="33"/>
      <c r="EL929" s="33"/>
      <c r="EM929" s="33"/>
      <c r="EN929" s="33"/>
      <c r="EO929" s="33"/>
      <c r="EP929" s="33"/>
      <c r="EQ929" s="33"/>
      <c r="ER929" s="33"/>
      <c r="ES929" s="33"/>
    </row>
    <row r="930">
      <c r="A930" s="33"/>
      <c r="B930" s="33"/>
      <c r="C930" s="33"/>
      <c r="D930" s="33"/>
      <c r="E930" s="33"/>
      <c r="F930" s="33"/>
      <c r="G930" s="85"/>
      <c r="H930" s="85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33"/>
      <c r="Y930" s="33"/>
      <c r="Z930" s="33"/>
      <c r="AA930" s="33"/>
      <c r="AB930" s="33"/>
      <c r="AC930" s="33"/>
      <c r="AD930" s="33"/>
      <c r="AE930" s="33"/>
      <c r="AF930" s="33"/>
      <c r="AG930" s="33"/>
      <c r="AH930" s="33"/>
      <c r="AI930" s="33"/>
      <c r="AJ930" s="33"/>
      <c r="AK930" s="33"/>
      <c r="AL930" s="33"/>
      <c r="AM930" s="33"/>
      <c r="AN930" s="33"/>
      <c r="AO930" s="33"/>
      <c r="AP930" s="33"/>
      <c r="AQ930" s="33"/>
      <c r="AR930" s="33"/>
      <c r="AS930" s="33"/>
      <c r="AT930" s="33"/>
      <c r="AU930" s="33"/>
      <c r="AV930" s="33"/>
      <c r="AW930" s="33"/>
      <c r="AX930" s="33"/>
      <c r="AY930" s="33"/>
      <c r="AZ930" s="33"/>
      <c r="BA930" s="33"/>
      <c r="BB930" s="33"/>
      <c r="BC930" s="33"/>
      <c r="BD930" s="33"/>
      <c r="BE930" s="33"/>
      <c r="BF930" s="33"/>
      <c r="BG930" s="33"/>
      <c r="BH930" s="33"/>
      <c r="BI930" s="33"/>
      <c r="BJ930" s="33"/>
      <c r="BK930" s="33"/>
      <c r="BL930" s="33"/>
      <c r="BM930" s="33"/>
      <c r="BN930" s="33"/>
      <c r="BO930" s="33"/>
      <c r="BP930" s="33"/>
      <c r="BQ930" s="33"/>
      <c r="BR930" s="33"/>
      <c r="BS930" s="33"/>
      <c r="BT930" s="33"/>
      <c r="BU930" s="33"/>
      <c r="BV930" s="33"/>
      <c r="BW930" s="33"/>
      <c r="BX930" s="33"/>
      <c r="BY930" s="33"/>
      <c r="BZ930" s="33"/>
      <c r="CA930" s="33"/>
      <c r="CB930" s="33"/>
      <c r="CC930" s="33"/>
      <c r="CD930" s="33"/>
      <c r="CE930" s="33"/>
      <c r="CF930" s="33"/>
      <c r="CG930" s="33"/>
      <c r="CH930" s="33"/>
      <c r="CI930" s="33"/>
      <c r="CJ930" s="33"/>
      <c r="CK930" s="33"/>
      <c r="CL930" s="33"/>
      <c r="CM930" s="33"/>
      <c r="CN930" s="33"/>
      <c r="CO930" s="33"/>
      <c r="CP930" s="33"/>
      <c r="CQ930" s="33"/>
      <c r="CR930" s="33"/>
      <c r="CS930" s="33"/>
      <c r="CT930" s="33"/>
      <c r="CU930" s="33"/>
      <c r="CV930" s="33"/>
      <c r="CW930" s="33"/>
      <c r="CX930" s="33"/>
      <c r="CY930" s="33"/>
      <c r="CZ930" s="33"/>
      <c r="DA930" s="33"/>
      <c r="DB930" s="33"/>
      <c r="DC930" s="33"/>
      <c r="DD930" s="33"/>
      <c r="DE930" s="33"/>
      <c r="DF930" s="33"/>
      <c r="DG930" s="33"/>
      <c r="DH930" s="33"/>
      <c r="DI930" s="33"/>
      <c r="DJ930" s="33"/>
      <c r="DK930" s="33"/>
      <c r="DL930" s="33"/>
      <c r="DM930" s="33"/>
      <c r="DN930" s="33"/>
      <c r="DO930" s="33"/>
      <c r="DP930" s="33"/>
      <c r="DQ930" s="33"/>
      <c r="DR930" s="33"/>
      <c r="DS930" s="33"/>
      <c r="DT930" s="33"/>
      <c r="DU930" s="33"/>
      <c r="DV930" s="33"/>
      <c r="DW930" s="33"/>
      <c r="DX930" s="33"/>
      <c r="DY930" s="33"/>
      <c r="DZ930" s="33"/>
      <c r="EA930" s="33"/>
      <c r="EB930" s="33"/>
      <c r="EC930" s="33"/>
      <c r="ED930" s="33"/>
      <c r="EE930" s="33"/>
      <c r="EF930" s="33"/>
      <c r="EG930" s="33"/>
      <c r="EH930" s="33"/>
      <c r="EI930" s="33"/>
      <c r="EJ930" s="33"/>
      <c r="EK930" s="33"/>
      <c r="EL930" s="33"/>
      <c r="EM930" s="33"/>
      <c r="EN930" s="33"/>
      <c r="EO930" s="33"/>
      <c r="EP930" s="33"/>
      <c r="EQ930" s="33"/>
      <c r="ER930" s="33"/>
      <c r="ES930" s="33"/>
    </row>
    <row r="931">
      <c r="A931" s="33"/>
      <c r="B931" s="33"/>
      <c r="C931" s="33"/>
      <c r="D931" s="33"/>
      <c r="E931" s="33"/>
      <c r="F931" s="33"/>
      <c r="G931" s="85"/>
      <c r="H931" s="85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33"/>
      <c r="Y931" s="33"/>
      <c r="Z931" s="33"/>
      <c r="AA931" s="33"/>
      <c r="AB931" s="33"/>
      <c r="AC931" s="33"/>
      <c r="AD931" s="33"/>
      <c r="AE931" s="33"/>
      <c r="AF931" s="33"/>
      <c r="AG931" s="33"/>
      <c r="AH931" s="33"/>
      <c r="AI931" s="33"/>
      <c r="AJ931" s="33"/>
      <c r="AK931" s="33"/>
      <c r="AL931" s="33"/>
      <c r="AM931" s="33"/>
      <c r="AN931" s="33"/>
      <c r="AO931" s="33"/>
      <c r="AP931" s="33"/>
      <c r="AQ931" s="33"/>
      <c r="AR931" s="33"/>
      <c r="AS931" s="33"/>
      <c r="AT931" s="33"/>
      <c r="AU931" s="33"/>
      <c r="AV931" s="33"/>
      <c r="AW931" s="33"/>
      <c r="AX931" s="33"/>
      <c r="AY931" s="33"/>
      <c r="AZ931" s="33"/>
      <c r="BA931" s="33"/>
      <c r="BB931" s="33"/>
      <c r="BC931" s="33"/>
      <c r="BD931" s="33"/>
      <c r="BE931" s="33"/>
      <c r="BF931" s="33"/>
      <c r="BG931" s="33"/>
      <c r="BH931" s="33"/>
      <c r="BI931" s="33"/>
      <c r="BJ931" s="33"/>
      <c r="BK931" s="33"/>
      <c r="BL931" s="33"/>
      <c r="BM931" s="33"/>
      <c r="BN931" s="33"/>
      <c r="BO931" s="33"/>
      <c r="BP931" s="33"/>
      <c r="BQ931" s="33"/>
      <c r="BR931" s="33"/>
      <c r="BS931" s="33"/>
      <c r="BT931" s="33"/>
      <c r="BU931" s="33"/>
      <c r="BV931" s="33"/>
      <c r="BW931" s="33"/>
      <c r="BX931" s="33"/>
      <c r="BY931" s="33"/>
      <c r="BZ931" s="33"/>
      <c r="CA931" s="33"/>
      <c r="CB931" s="33"/>
      <c r="CC931" s="33"/>
      <c r="CD931" s="33"/>
      <c r="CE931" s="33"/>
      <c r="CF931" s="33"/>
      <c r="CG931" s="33"/>
      <c r="CH931" s="33"/>
      <c r="CI931" s="33"/>
      <c r="CJ931" s="33"/>
      <c r="CK931" s="33"/>
      <c r="CL931" s="33"/>
      <c r="CM931" s="33"/>
      <c r="CN931" s="33"/>
      <c r="CO931" s="33"/>
      <c r="CP931" s="33"/>
      <c r="CQ931" s="33"/>
      <c r="CR931" s="33"/>
      <c r="CS931" s="33"/>
      <c r="CT931" s="33"/>
      <c r="CU931" s="33"/>
      <c r="CV931" s="33"/>
      <c r="CW931" s="33"/>
      <c r="CX931" s="33"/>
      <c r="CY931" s="33"/>
      <c r="CZ931" s="33"/>
      <c r="DA931" s="33"/>
      <c r="DB931" s="33"/>
      <c r="DC931" s="33"/>
      <c r="DD931" s="33"/>
      <c r="DE931" s="33"/>
      <c r="DF931" s="33"/>
      <c r="DG931" s="33"/>
      <c r="DH931" s="33"/>
      <c r="DI931" s="33"/>
      <c r="DJ931" s="33"/>
      <c r="DK931" s="33"/>
      <c r="DL931" s="33"/>
      <c r="DM931" s="33"/>
      <c r="DN931" s="33"/>
      <c r="DO931" s="33"/>
      <c r="DP931" s="33"/>
      <c r="DQ931" s="33"/>
      <c r="DR931" s="33"/>
      <c r="DS931" s="33"/>
      <c r="DT931" s="33"/>
      <c r="DU931" s="33"/>
      <c r="DV931" s="33"/>
      <c r="DW931" s="33"/>
      <c r="DX931" s="33"/>
      <c r="DY931" s="33"/>
      <c r="DZ931" s="33"/>
      <c r="EA931" s="33"/>
      <c r="EB931" s="33"/>
      <c r="EC931" s="33"/>
      <c r="ED931" s="33"/>
      <c r="EE931" s="33"/>
      <c r="EF931" s="33"/>
      <c r="EG931" s="33"/>
      <c r="EH931" s="33"/>
      <c r="EI931" s="33"/>
      <c r="EJ931" s="33"/>
      <c r="EK931" s="33"/>
      <c r="EL931" s="33"/>
      <c r="EM931" s="33"/>
      <c r="EN931" s="33"/>
      <c r="EO931" s="33"/>
      <c r="EP931" s="33"/>
      <c r="EQ931" s="33"/>
      <c r="ER931" s="33"/>
      <c r="ES931" s="33"/>
    </row>
    <row r="932">
      <c r="A932" s="33"/>
      <c r="B932" s="33"/>
      <c r="C932" s="33"/>
      <c r="D932" s="33"/>
      <c r="E932" s="33"/>
      <c r="F932" s="33"/>
      <c r="G932" s="85"/>
      <c r="H932" s="85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33"/>
      <c r="AD932" s="33"/>
      <c r="AE932" s="33"/>
      <c r="AF932" s="33"/>
      <c r="AG932" s="33"/>
      <c r="AH932" s="33"/>
      <c r="AI932" s="33"/>
      <c r="AJ932" s="33"/>
      <c r="AK932" s="33"/>
      <c r="AL932" s="33"/>
      <c r="AM932" s="33"/>
      <c r="AN932" s="33"/>
      <c r="AO932" s="33"/>
      <c r="AP932" s="33"/>
      <c r="AQ932" s="33"/>
      <c r="AR932" s="33"/>
      <c r="AS932" s="33"/>
      <c r="AT932" s="33"/>
      <c r="AU932" s="33"/>
      <c r="AV932" s="33"/>
      <c r="AW932" s="33"/>
      <c r="AX932" s="33"/>
      <c r="AY932" s="33"/>
      <c r="AZ932" s="33"/>
      <c r="BA932" s="33"/>
      <c r="BB932" s="33"/>
      <c r="BC932" s="33"/>
      <c r="BD932" s="33"/>
      <c r="BE932" s="33"/>
      <c r="BF932" s="33"/>
      <c r="BG932" s="33"/>
      <c r="BH932" s="33"/>
      <c r="BI932" s="33"/>
      <c r="BJ932" s="33"/>
      <c r="BK932" s="33"/>
      <c r="BL932" s="33"/>
      <c r="BM932" s="33"/>
      <c r="BN932" s="33"/>
      <c r="BO932" s="33"/>
      <c r="BP932" s="33"/>
      <c r="BQ932" s="33"/>
      <c r="BR932" s="33"/>
      <c r="BS932" s="33"/>
      <c r="BT932" s="33"/>
      <c r="BU932" s="33"/>
      <c r="BV932" s="33"/>
      <c r="BW932" s="33"/>
      <c r="BX932" s="33"/>
      <c r="BY932" s="33"/>
      <c r="BZ932" s="33"/>
      <c r="CA932" s="33"/>
      <c r="CB932" s="33"/>
      <c r="CC932" s="33"/>
      <c r="CD932" s="33"/>
      <c r="CE932" s="33"/>
      <c r="CF932" s="33"/>
      <c r="CG932" s="33"/>
      <c r="CH932" s="33"/>
      <c r="CI932" s="33"/>
      <c r="CJ932" s="33"/>
      <c r="CK932" s="33"/>
      <c r="CL932" s="33"/>
      <c r="CM932" s="33"/>
      <c r="CN932" s="33"/>
      <c r="CO932" s="33"/>
      <c r="CP932" s="33"/>
      <c r="CQ932" s="33"/>
      <c r="CR932" s="33"/>
      <c r="CS932" s="33"/>
      <c r="CT932" s="33"/>
      <c r="CU932" s="33"/>
      <c r="CV932" s="33"/>
      <c r="CW932" s="33"/>
      <c r="CX932" s="33"/>
      <c r="CY932" s="33"/>
      <c r="CZ932" s="33"/>
      <c r="DA932" s="33"/>
      <c r="DB932" s="33"/>
      <c r="DC932" s="33"/>
      <c r="DD932" s="33"/>
      <c r="DE932" s="33"/>
      <c r="DF932" s="33"/>
      <c r="DG932" s="33"/>
      <c r="DH932" s="33"/>
      <c r="DI932" s="33"/>
      <c r="DJ932" s="33"/>
      <c r="DK932" s="33"/>
      <c r="DL932" s="33"/>
      <c r="DM932" s="33"/>
      <c r="DN932" s="33"/>
      <c r="DO932" s="33"/>
      <c r="DP932" s="33"/>
      <c r="DQ932" s="33"/>
      <c r="DR932" s="33"/>
      <c r="DS932" s="33"/>
      <c r="DT932" s="33"/>
      <c r="DU932" s="33"/>
      <c r="DV932" s="33"/>
      <c r="DW932" s="33"/>
      <c r="DX932" s="33"/>
      <c r="DY932" s="33"/>
      <c r="DZ932" s="33"/>
      <c r="EA932" s="33"/>
      <c r="EB932" s="33"/>
      <c r="EC932" s="33"/>
      <c r="ED932" s="33"/>
      <c r="EE932" s="33"/>
      <c r="EF932" s="33"/>
      <c r="EG932" s="33"/>
      <c r="EH932" s="33"/>
      <c r="EI932" s="33"/>
      <c r="EJ932" s="33"/>
      <c r="EK932" s="33"/>
      <c r="EL932" s="33"/>
      <c r="EM932" s="33"/>
      <c r="EN932" s="33"/>
      <c r="EO932" s="33"/>
      <c r="EP932" s="33"/>
      <c r="EQ932" s="33"/>
      <c r="ER932" s="33"/>
      <c r="ES932" s="33"/>
    </row>
    <row r="933">
      <c r="A933" s="33"/>
      <c r="B933" s="33"/>
      <c r="C933" s="33"/>
      <c r="D933" s="33"/>
      <c r="E933" s="33"/>
      <c r="F933" s="33"/>
      <c r="G933" s="85"/>
      <c r="H933" s="85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33"/>
      <c r="Y933" s="33"/>
      <c r="Z933" s="33"/>
      <c r="AA933" s="33"/>
      <c r="AB933" s="33"/>
      <c r="AC933" s="33"/>
      <c r="AD933" s="33"/>
      <c r="AE933" s="33"/>
      <c r="AF933" s="33"/>
      <c r="AG933" s="33"/>
      <c r="AH933" s="33"/>
      <c r="AI933" s="33"/>
      <c r="AJ933" s="33"/>
      <c r="AK933" s="33"/>
      <c r="AL933" s="33"/>
      <c r="AM933" s="33"/>
      <c r="AN933" s="33"/>
      <c r="AO933" s="33"/>
      <c r="AP933" s="33"/>
      <c r="AQ933" s="33"/>
      <c r="AR933" s="33"/>
      <c r="AS933" s="33"/>
      <c r="AT933" s="33"/>
      <c r="AU933" s="33"/>
      <c r="AV933" s="33"/>
      <c r="AW933" s="33"/>
      <c r="AX933" s="33"/>
      <c r="AY933" s="33"/>
      <c r="AZ933" s="33"/>
      <c r="BA933" s="33"/>
      <c r="BB933" s="33"/>
      <c r="BC933" s="33"/>
      <c r="BD933" s="33"/>
      <c r="BE933" s="33"/>
      <c r="BF933" s="33"/>
      <c r="BG933" s="33"/>
      <c r="BH933" s="33"/>
      <c r="BI933" s="33"/>
      <c r="BJ933" s="33"/>
      <c r="BK933" s="33"/>
      <c r="BL933" s="33"/>
      <c r="BM933" s="33"/>
      <c r="BN933" s="33"/>
      <c r="BO933" s="33"/>
      <c r="BP933" s="33"/>
      <c r="BQ933" s="33"/>
      <c r="BR933" s="33"/>
      <c r="BS933" s="33"/>
      <c r="BT933" s="33"/>
      <c r="BU933" s="33"/>
      <c r="BV933" s="33"/>
      <c r="BW933" s="33"/>
      <c r="BX933" s="33"/>
      <c r="BY933" s="33"/>
      <c r="BZ933" s="33"/>
      <c r="CA933" s="33"/>
      <c r="CB933" s="33"/>
      <c r="CC933" s="33"/>
      <c r="CD933" s="33"/>
      <c r="CE933" s="33"/>
      <c r="CF933" s="33"/>
      <c r="CG933" s="33"/>
      <c r="CH933" s="33"/>
      <c r="CI933" s="33"/>
      <c r="CJ933" s="33"/>
      <c r="CK933" s="33"/>
      <c r="CL933" s="33"/>
      <c r="CM933" s="33"/>
      <c r="CN933" s="33"/>
      <c r="CO933" s="33"/>
      <c r="CP933" s="33"/>
      <c r="CQ933" s="33"/>
      <c r="CR933" s="33"/>
      <c r="CS933" s="33"/>
      <c r="CT933" s="33"/>
      <c r="CU933" s="33"/>
      <c r="CV933" s="33"/>
      <c r="CW933" s="33"/>
      <c r="CX933" s="33"/>
      <c r="CY933" s="33"/>
      <c r="CZ933" s="33"/>
      <c r="DA933" s="33"/>
      <c r="DB933" s="33"/>
      <c r="DC933" s="33"/>
      <c r="DD933" s="33"/>
      <c r="DE933" s="33"/>
      <c r="DF933" s="33"/>
      <c r="DG933" s="33"/>
      <c r="DH933" s="33"/>
      <c r="DI933" s="33"/>
      <c r="DJ933" s="33"/>
      <c r="DK933" s="33"/>
      <c r="DL933" s="33"/>
      <c r="DM933" s="33"/>
      <c r="DN933" s="33"/>
      <c r="DO933" s="33"/>
      <c r="DP933" s="33"/>
      <c r="DQ933" s="33"/>
      <c r="DR933" s="33"/>
      <c r="DS933" s="33"/>
      <c r="DT933" s="33"/>
      <c r="DU933" s="33"/>
      <c r="DV933" s="33"/>
      <c r="DW933" s="33"/>
      <c r="DX933" s="33"/>
      <c r="DY933" s="33"/>
      <c r="DZ933" s="33"/>
      <c r="EA933" s="33"/>
      <c r="EB933" s="33"/>
      <c r="EC933" s="33"/>
      <c r="ED933" s="33"/>
      <c r="EE933" s="33"/>
      <c r="EF933" s="33"/>
      <c r="EG933" s="33"/>
      <c r="EH933" s="33"/>
      <c r="EI933" s="33"/>
      <c r="EJ933" s="33"/>
      <c r="EK933" s="33"/>
      <c r="EL933" s="33"/>
      <c r="EM933" s="33"/>
      <c r="EN933" s="33"/>
      <c r="EO933" s="33"/>
      <c r="EP933" s="33"/>
      <c r="EQ933" s="33"/>
      <c r="ER933" s="33"/>
      <c r="ES933" s="33"/>
    </row>
    <row r="934">
      <c r="A934" s="33"/>
      <c r="B934" s="33"/>
      <c r="C934" s="33"/>
      <c r="D934" s="33"/>
      <c r="E934" s="33"/>
      <c r="F934" s="33"/>
      <c r="G934" s="85"/>
      <c r="H934" s="85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33"/>
      <c r="Y934" s="33"/>
      <c r="Z934" s="33"/>
      <c r="AA934" s="33"/>
      <c r="AB934" s="33"/>
      <c r="AC934" s="33"/>
      <c r="AD934" s="33"/>
      <c r="AE934" s="33"/>
      <c r="AF934" s="33"/>
      <c r="AG934" s="33"/>
      <c r="AH934" s="33"/>
      <c r="AI934" s="33"/>
      <c r="AJ934" s="33"/>
      <c r="AK934" s="33"/>
      <c r="AL934" s="33"/>
      <c r="AM934" s="33"/>
      <c r="AN934" s="33"/>
      <c r="AO934" s="33"/>
      <c r="AP934" s="33"/>
      <c r="AQ934" s="33"/>
      <c r="AR934" s="33"/>
      <c r="AS934" s="33"/>
      <c r="AT934" s="33"/>
      <c r="AU934" s="33"/>
      <c r="AV934" s="33"/>
      <c r="AW934" s="33"/>
      <c r="AX934" s="33"/>
      <c r="AY934" s="33"/>
      <c r="AZ934" s="33"/>
      <c r="BA934" s="33"/>
      <c r="BB934" s="33"/>
      <c r="BC934" s="33"/>
      <c r="BD934" s="33"/>
      <c r="BE934" s="33"/>
      <c r="BF934" s="33"/>
      <c r="BG934" s="33"/>
      <c r="BH934" s="33"/>
      <c r="BI934" s="33"/>
      <c r="BJ934" s="33"/>
      <c r="BK934" s="33"/>
      <c r="BL934" s="33"/>
      <c r="BM934" s="33"/>
      <c r="BN934" s="33"/>
      <c r="BO934" s="33"/>
      <c r="BP934" s="33"/>
      <c r="BQ934" s="33"/>
      <c r="BR934" s="33"/>
      <c r="BS934" s="33"/>
      <c r="BT934" s="33"/>
      <c r="BU934" s="33"/>
      <c r="BV934" s="33"/>
      <c r="BW934" s="33"/>
      <c r="BX934" s="33"/>
      <c r="BY934" s="33"/>
      <c r="BZ934" s="33"/>
      <c r="CA934" s="33"/>
      <c r="CB934" s="33"/>
      <c r="CC934" s="33"/>
      <c r="CD934" s="33"/>
      <c r="CE934" s="33"/>
      <c r="CF934" s="33"/>
      <c r="CG934" s="33"/>
      <c r="CH934" s="33"/>
      <c r="CI934" s="33"/>
      <c r="CJ934" s="33"/>
      <c r="CK934" s="33"/>
      <c r="CL934" s="33"/>
      <c r="CM934" s="33"/>
      <c r="CN934" s="33"/>
      <c r="CO934" s="33"/>
      <c r="CP934" s="33"/>
      <c r="CQ934" s="33"/>
      <c r="CR934" s="33"/>
      <c r="CS934" s="33"/>
      <c r="CT934" s="33"/>
      <c r="CU934" s="33"/>
      <c r="CV934" s="33"/>
      <c r="CW934" s="33"/>
      <c r="CX934" s="33"/>
      <c r="CY934" s="33"/>
      <c r="CZ934" s="33"/>
      <c r="DA934" s="33"/>
      <c r="DB934" s="33"/>
      <c r="DC934" s="33"/>
      <c r="DD934" s="33"/>
      <c r="DE934" s="33"/>
      <c r="DF934" s="33"/>
      <c r="DG934" s="33"/>
      <c r="DH934" s="33"/>
      <c r="DI934" s="33"/>
      <c r="DJ934" s="33"/>
      <c r="DK934" s="33"/>
      <c r="DL934" s="33"/>
      <c r="DM934" s="33"/>
      <c r="DN934" s="33"/>
      <c r="DO934" s="33"/>
      <c r="DP934" s="33"/>
      <c r="DQ934" s="33"/>
      <c r="DR934" s="33"/>
      <c r="DS934" s="33"/>
      <c r="DT934" s="33"/>
      <c r="DU934" s="33"/>
      <c r="DV934" s="33"/>
      <c r="DW934" s="33"/>
      <c r="DX934" s="33"/>
      <c r="DY934" s="33"/>
      <c r="DZ934" s="33"/>
      <c r="EA934" s="33"/>
      <c r="EB934" s="33"/>
      <c r="EC934" s="33"/>
      <c r="ED934" s="33"/>
      <c r="EE934" s="33"/>
      <c r="EF934" s="33"/>
      <c r="EG934" s="33"/>
      <c r="EH934" s="33"/>
      <c r="EI934" s="33"/>
      <c r="EJ934" s="33"/>
      <c r="EK934" s="33"/>
      <c r="EL934" s="33"/>
      <c r="EM934" s="33"/>
      <c r="EN934" s="33"/>
      <c r="EO934" s="33"/>
      <c r="EP934" s="33"/>
      <c r="EQ934" s="33"/>
      <c r="ER934" s="33"/>
      <c r="ES934" s="33"/>
    </row>
    <row r="935">
      <c r="A935" s="33"/>
      <c r="B935" s="33"/>
      <c r="C935" s="33"/>
      <c r="D935" s="33"/>
      <c r="E935" s="33"/>
      <c r="F935" s="33"/>
      <c r="G935" s="85"/>
      <c r="H935" s="85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33"/>
      <c r="Y935" s="33"/>
      <c r="Z935" s="33"/>
      <c r="AA935" s="33"/>
      <c r="AB935" s="33"/>
      <c r="AC935" s="33"/>
      <c r="AD935" s="33"/>
      <c r="AE935" s="33"/>
      <c r="AF935" s="33"/>
      <c r="AG935" s="33"/>
      <c r="AH935" s="33"/>
      <c r="AI935" s="33"/>
      <c r="AJ935" s="33"/>
      <c r="AK935" s="33"/>
      <c r="AL935" s="33"/>
      <c r="AM935" s="33"/>
      <c r="AN935" s="33"/>
      <c r="AO935" s="33"/>
      <c r="AP935" s="33"/>
      <c r="AQ935" s="33"/>
      <c r="AR935" s="33"/>
      <c r="AS935" s="33"/>
      <c r="AT935" s="33"/>
      <c r="AU935" s="33"/>
      <c r="AV935" s="33"/>
      <c r="AW935" s="33"/>
      <c r="AX935" s="33"/>
      <c r="AY935" s="33"/>
      <c r="AZ935" s="33"/>
      <c r="BA935" s="33"/>
      <c r="BB935" s="33"/>
      <c r="BC935" s="33"/>
      <c r="BD935" s="33"/>
      <c r="BE935" s="33"/>
      <c r="BF935" s="33"/>
      <c r="BG935" s="33"/>
      <c r="BH935" s="33"/>
      <c r="BI935" s="33"/>
      <c r="BJ935" s="33"/>
      <c r="BK935" s="33"/>
      <c r="BL935" s="33"/>
      <c r="BM935" s="33"/>
      <c r="BN935" s="33"/>
      <c r="BO935" s="33"/>
      <c r="BP935" s="33"/>
      <c r="BQ935" s="33"/>
      <c r="BR935" s="33"/>
      <c r="BS935" s="33"/>
      <c r="BT935" s="33"/>
      <c r="BU935" s="33"/>
      <c r="BV935" s="33"/>
      <c r="BW935" s="33"/>
      <c r="BX935" s="33"/>
      <c r="BY935" s="33"/>
      <c r="BZ935" s="33"/>
      <c r="CA935" s="33"/>
      <c r="CB935" s="33"/>
      <c r="CC935" s="33"/>
      <c r="CD935" s="33"/>
      <c r="CE935" s="33"/>
      <c r="CF935" s="33"/>
      <c r="CG935" s="33"/>
      <c r="CH935" s="33"/>
      <c r="CI935" s="33"/>
      <c r="CJ935" s="33"/>
      <c r="CK935" s="33"/>
      <c r="CL935" s="33"/>
      <c r="CM935" s="33"/>
      <c r="CN935" s="33"/>
      <c r="CO935" s="33"/>
      <c r="CP935" s="33"/>
      <c r="CQ935" s="33"/>
      <c r="CR935" s="33"/>
      <c r="CS935" s="33"/>
      <c r="CT935" s="33"/>
      <c r="CU935" s="33"/>
      <c r="CV935" s="33"/>
      <c r="CW935" s="33"/>
      <c r="CX935" s="33"/>
      <c r="CY935" s="33"/>
      <c r="CZ935" s="33"/>
      <c r="DA935" s="33"/>
      <c r="DB935" s="33"/>
      <c r="DC935" s="33"/>
      <c r="DD935" s="33"/>
      <c r="DE935" s="33"/>
      <c r="DF935" s="33"/>
      <c r="DG935" s="33"/>
      <c r="DH935" s="33"/>
      <c r="DI935" s="33"/>
      <c r="DJ935" s="33"/>
      <c r="DK935" s="33"/>
      <c r="DL935" s="33"/>
      <c r="DM935" s="33"/>
      <c r="DN935" s="33"/>
      <c r="DO935" s="33"/>
      <c r="DP935" s="33"/>
      <c r="DQ935" s="33"/>
      <c r="DR935" s="33"/>
      <c r="DS935" s="33"/>
      <c r="DT935" s="33"/>
      <c r="DU935" s="33"/>
      <c r="DV935" s="33"/>
      <c r="DW935" s="33"/>
      <c r="DX935" s="33"/>
      <c r="DY935" s="33"/>
      <c r="DZ935" s="33"/>
      <c r="EA935" s="33"/>
      <c r="EB935" s="33"/>
      <c r="EC935" s="33"/>
      <c r="ED935" s="33"/>
      <c r="EE935" s="33"/>
      <c r="EF935" s="33"/>
      <c r="EG935" s="33"/>
      <c r="EH935" s="33"/>
      <c r="EI935" s="33"/>
      <c r="EJ935" s="33"/>
      <c r="EK935" s="33"/>
      <c r="EL935" s="33"/>
      <c r="EM935" s="33"/>
      <c r="EN935" s="33"/>
      <c r="EO935" s="33"/>
      <c r="EP935" s="33"/>
      <c r="EQ935" s="33"/>
      <c r="ER935" s="33"/>
      <c r="ES935" s="33"/>
    </row>
    <row r="936">
      <c r="A936" s="33"/>
      <c r="B936" s="33"/>
      <c r="C936" s="33"/>
      <c r="D936" s="33"/>
      <c r="E936" s="33"/>
      <c r="F936" s="33"/>
      <c r="G936" s="85"/>
      <c r="H936" s="85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33"/>
      <c r="Y936" s="33"/>
      <c r="Z936" s="33"/>
      <c r="AA936" s="33"/>
      <c r="AB936" s="33"/>
      <c r="AC936" s="33"/>
      <c r="AD936" s="33"/>
      <c r="AE936" s="33"/>
      <c r="AF936" s="33"/>
      <c r="AG936" s="33"/>
      <c r="AH936" s="33"/>
      <c r="AI936" s="33"/>
      <c r="AJ936" s="33"/>
      <c r="AK936" s="33"/>
      <c r="AL936" s="33"/>
      <c r="AM936" s="33"/>
      <c r="AN936" s="33"/>
      <c r="AO936" s="33"/>
      <c r="AP936" s="33"/>
      <c r="AQ936" s="33"/>
      <c r="AR936" s="33"/>
      <c r="AS936" s="33"/>
      <c r="AT936" s="33"/>
      <c r="AU936" s="33"/>
      <c r="AV936" s="33"/>
      <c r="AW936" s="33"/>
      <c r="AX936" s="33"/>
      <c r="AY936" s="33"/>
      <c r="AZ936" s="33"/>
      <c r="BA936" s="33"/>
      <c r="BB936" s="33"/>
      <c r="BC936" s="33"/>
      <c r="BD936" s="33"/>
      <c r="BE936" s="33"/>
      <c r="BF936" s="33"/>
      <c r="BG936" s="33"/>
      <c r="BH936" s="33"/>
      <c r="BI936" s="33"/>
      <c r="BJ936" s="33"/>
      <c r="BK936" s="33"/>
      <c r="BL936" s="33"/>
      <c r="BM936" s="33"/>
      <c r="BN936" s="33"/>
      <c r="BO936" s="33"/>
      <c r="BP936" s="33"/>
      <c r="BQ936" s="33"/>
      <c r="BR936" s="33"/>
      <c r="BS936" s="33"/>
      <c r="BT936" s="33"/>
      <c r="BU936" s="33"/>
      <c r="BV936" s="33"/>
      <c r="BW936" s="33"/>
      <c r="BX936" s="33"/>
      <c r="BY936" s="33"/>
      <c r="BZ936" s="33"/>
      <c r="CA936" s="33"/>
      <c r="CB936" s="33"/>
      <c r="CC936" s="33"/>
      <c r="CD936" s="33"/>
      <c r="CE936" s="33"/>
      <c r="CF936" s="33"/>
      <c r="CG936" s="33"/>
      <c r="CH936" s="33"/>
      <c r="CI936" s="33"/>
      <c r="CJ936" s="33"/>
      <c r="CK936" s="33"/>
      <c r="CL936" s="33"/>
      <c r="CM936" s="33"/>
      <c r="CN936" s="33"/>
      <c r="CO936" s="33"/>
      <c r="CP936" s="33"/>
      <c r="CQ936" s="33"/>
      <c r="CR936" s="33"/>
      <c r="CS936" s="33"/>
      <c r="CT936" s="33"/>
      <c r="CU936" s="33"/>
      <c r="CV936" s="33"/>
      <c r="CW936" s="33"/>
      <c r="CX936" s="33"/>
      <c r="CY936" s="33"/>
      <c r="CZ936" s="33"/>
      <c r="DA936" s="33"/>
      <c r="DB936" s="33"/>
      <c r="DC936" s="33"/>
      <c r="DD936" s="33"/>
      <c r="DE936" s="33"/>
      <c r="DF936" s="33"/>
      <c r="DG936" s="33"/>
      <c r="DH936" s="33"/>
      <c r="DI936" s="33"/>
      <c r="DJ936" s="33"/>
      <c r="DK936" s="33"/>
      <c r="DL936" s="33"/>
      <c r="DM936" s="33"/>
      <c r="DN936" s="33"/>
      <c r="DO936" s="33"/>
      <c r="DP936" s="33"/>
      <c r="DQ936" s="33"/>
      <c r="DR936" s="33"/>
      <c r="DS936" s="33"/>
      <c r="DT936" s="33"/>
      <c r="DU936" s="33"/>
      <c r="DV936" s="33"/>
      <c r="DW936" s="33"/>
      <c r="DX936" s="33"/>
      <c r="DY936" s="33"/>
      <c r="DZ936" s="33"/>
      <c r="EA936" s="33"/>
      <c r="EB936" s="33"/>
      <c r="EC936" s="33"/>
      <c r="ED936" s="33"/>
      <c r="EE936" s="33"/>
      <c r="EF936" s="33"/>
      <c r="EG936" s="33"/>
      <c r="EH936" s="33"/>
      <c r="EI936" s="33"/>
      <c r="EJ936" s="33"/>
      <c r="EK936" s="33"/>
      <c r="EL936" s="33"/>
      <c r="EM936" s="33"/>
      <c r="EN936" s="33"/>
      <c r="EO936" s="33"/>
      <c r="EP936" s="33"/>
      <c r="EQ936" s="33"/>
      <c r="ER936" s="33"/>
      <c r="ES936" s="33"/>
    </row>
    <row r="937">
      <c r="A937" s="33"/>
      <c r="B937" s="33"/>
      <c r="C937" s="33"/>
      <c r="D937" s="33"/>
      <c r="E937" s="33"/>
      <c r="F937" s="33"/>
      <c r="G937" s="85"/>
      <c r="H937" s="85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33"/>
      <c r="Y937" s="33"/>
      <c r="Z937" s="33"/>
      <c r="AA937" s="33"/>
      <c r="AB937" s="33"/>
      <c r="AC937" s="33"/>
      <c r="AD937" s="33"/>
      <c r="AE937" s="33"/>
      <c r="AF937" s="33"/>
      <c r="AG937" s="33"/>
      <c r="AH937" s="33"/>
      <c r="AI937" s="33"/>
      <c r="AJ937" s="33"/>
      <c r="AK937" s="33"/>
      <c r="AL937" s="33"/>
      <c r="AM937" s="33"/>
      <c r="AN937" s="33"/>
      <c r="AO937" s="33"/>
      <c r="AP937" s="33"/>
      <c r="AQ937" s="33"/>
      <c r="AR937" s="33"/>
      <c r="AS937" s="33"/>
      <c r="AT937" s="33"/>
      <c r="AU937" s="33"/>
      <c r="AV937" s="33"/>
      <c r="AW937" s="33"/>
      <c r="AX937" s="33"/>
      <c r="AY937" s="33"/>
      <c r="AZ937" s="33"/>
      <c r="BA937" s="33"/>
      <c r="BB937" s="33"/>
      <c r="BC937" s="33"/>
      <c r="BD937" s="33"/>
      <c r="BE937" s="33"/>
      <c r="BF937" s="33"/>
      <c r="BG937" s="33"/>
      <c r="BH937" s="33"/>
      <c r="BI937" s="33"/>
      <c r="BJ937" s="33"/>
      <c r="BK937" s="33"/>
      <c r="BL937" s="33"/>
      <c r="BM937" s="33"/>
      <c r="BN937" s="33"/>
      <c r="BO937" s="33"/>
      <c r="BP937" s="33"/>
      <c r="BQ937" s="33"/>
      <c r="BR937" s="33"/>
      <c r="BS937" s="33"/>
      <c r="BT937" s="33"/>
      <c r="BU937" s="33"/>
      <c r="BV937" s="33"/>
      <c r="BW937" s="33"/>
      <c r="BX937" s="33"/>
      <c r="BY937" s="33"/>
      <c r="BZ937" s="33"/>
      <c r="CA937" s="33"/>
      <c r="CB937" s="33"/>
      <c r="CC937" s="33"/>
      <c r="CD937" s="33"/>
      <c r="CE937" s="33"/>
      <c r="CF937" s="33"/>
      <c r="CG937" s="33"/>
      <c r="CH937" s="33"/>
      <c r="CI937" s="33"/>
      <c r="CJ937" s="33"/>
      <c r="CK937" s="33"/>
      <c r="CL937" s="33"/>
      <c r="CM937" s="33"/>
      <c r="CN937" s="33"/>
      <c r="CO937" s="33"/>
      <c r="CP937" s="33"/>
      <c r="CQ937" s="33"/>
      <c r="CR937" s="33"/>
      <c r="CS937" s="33"/>
      <c r="CT937" s="33"/>
      <c r="CU937" s="33"/>
      <c r="CV937" s="33"/>
      <c r="CW937" s="33"/>
      <c r="CX937" s="33"/>
      <c r="CY937" s="33"/>
      <c r="CZ937" s="33"/>
      <c r="DA937" s="33"/>
      <c r="DB937" s="33"/>
      <c r="DC937" s="33"/>
      <c r="DD937" s="33"/>
      <c r="DE937" s="33"/>
      <c r="DF937" s="33"/>
      <c r="DG937" s="33"/>
      <c r="DH937" s="33"/>
      <c r="DI937" s="33"/>
      <c r="DJ937" s="33"/>
      <c r="DK937" s="33"/>
      <c r="DL937" s="33"/>
      <c r="DM937" s="33"/>
      <c r="DN937" s="33"/>
      <c r="DO937" s="33"/>
      <c r="DP937" s="33"/>
      <c r="DQ937" s="33"/>
      <c r="DR937" s="33"/>
      <c r="DS937" s="33"/>
      <c r="DT937" s="33"/>
      <c r="DU937" s="33"/>
      <c r="DV937" s="33"/>
      <c r="DW937" s="33"/>
      <c r="DX937" s="33"/>
      <c r="DY937" s="33"/>
      <c r="DZ937" s="33"/>
      <c r="EA937" s="33"/>
      <c r="EB937" s="33"/>
      <c r="EC937" s="33"/>
      <c r="ED937" s="33"/>
      <c r="EE937" s="33"/>
      <c r="EF937" s="33"/>
      <c r="EG937" s="33"/>
      <c r="EH937" s="33"/>
      <c r="EI937" s="33"/>
      <c r="EJ937" s="33"/>
      <c r="EK937" s="33"/>
      <c r="EL937" s="33"/>
      <c r="EM937" s="33"/>
      <c r="EN937" s="33"/>
      <c r="EO937" s="33"/>
      <c r="EP937" s="33"/>
      <c r="EQ937" s="33"/>
      <c r="ER937" s="33"/>
      <c r="ES937" s="33"/>
    </row>
    <row r="938">
      <c r="A938" s="33"/>
      <c r="B938" s="33"/>
      <c r="C938" s="33"/>
      <c r="D938" s="33"/>
      <c r="E938" s="33"/>
      <c r="F938" s="33"/>
      <c r="G938" s="85"/>
      <c r="H938" s="85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33"/>
      <c r="Y938" s="33"/>
      <c r="Z938" s="33"/>
      <c r="AA938" s="33"/>
      <c r="AB938" s="33"/>
      <c r="AC938" s="33"/>
      <c r="AD938" s="33"/>
      <c r="AE938" s="33"/>
      <c r="AF938" s="33"/>
      <c r="AG938" s="33"/>
      <c r="AH938" s="33"/>
      <c r="AI938" s="33"/>
      <c r="AJ938" s="33"/>
      <c r="AK938" s="33"/>
      <c r="AL938" s="33"/>
      <c r="AM938" s="33"/>
      <c r="AN938" s="33"/>
      <c r="AO938" s="33"/>
      <c r="AP938" s="33"/>
      <c r="AQ938" s="33"/>
      <c r="AR938" s="33"/>
      <c r="AS938" s="33"/>
      <c r="AT938" s="33"/>
      <c r="AU938" s="33"/>
      <c r="AV938" s="33"/>
      <c r="AW938" s="33"/>
      <c r="AX938" s="33"/>
      <c r="AY938" s="33"/>
      <c r="AZ938" s="33"/>
      <c r="BA938" s="33"/>
      <c r="BB938" s="33"/>
      <c r="BC938" s="33"/>
      <c r="BD938" s="33"/>
      <c r="BE938" s="33"/>
      <c r="BF938" s="33"/>
      <c r="BG938" s="33"/>
      <c r="BH938" s="33"/>
      <c r="BI938" s="33"/>
      <c r="BJ938" s="33"/>
      <c r="BK938" s="33"/>
      <c r="BL938" s="33"/>
      <c r="BM938" s="33"/>
      <c r="BN938" s="33"/>
      <c r="BO938" s="33"/>
      <c r="BP938" s="33"/>
      <c r="BQ938" s="33"/>
      <c r="BR938" s="33"/>
      <c r="BS938" s="33"/>
      <c r="BT938" s="33"/>
      <c r="BU938" s="33"/>
      <c r="BV938" s="33"/>
      <c r="BW938" s="33"/>
      <c r="BX938" s="33"/>
      <c r="BY938" s="33"/>
      <c r="BZ938" s="33"/>
      <c r="CA938" s="33"/>
      <c r="CB938" s="33"/>
      <c r="CC938" s="33"/>
      <c r="CD938" s="33"/>
      <c r="CE938" s="33"/>
      <c r="CF938" s="33"/>
      <c r="CG938" s="33"/>
      <c r="CH938" s="33"/>
      <c r="CI938" s="33"/>
      <c r="CJ938" s="33"/>
      <c r="CK938" s="33"/>
      <c r="CL938" s="33"/>
      <c r="CM938" s="33"/>
      <c r="CN938" s="33"/>
      <c r="CO938" s="33"/>
      <c r="CP938" s="33"/>
      <c r="CQ938" s="33"/>
      <c r="CR938" s="33"/>
      <c r="CS938" s="33"/>
      <c r="CT938" s="33"/>
      <c r="CU938" s="33"/>
      <c r="CV938" s="33"/>
      <c r="CW938" s="33"/>
      <c r="CX938" s="33"/>
      <c r="CY938" s="33"/>
      <c r="CZ938" s="33"/>
      <c r="DA938" s="33"/>
      <c r="DB938" s="33"/>
      <c r="DC938" s="33"/>
      <c r="DD938" s="33"/>
      <c r="DE938" s="33"/>
      <c r="DF938" s="33"/>
      <c r="DG938" s="33"/>
      <c r="DH938" s="33"/>
      <c r="DI938" s="33"/>
      <c r="DJ938" s="33"/>
      <c r="DK938" s="33"/>
      <c r="DL938" s="33"/>
      <c r="DM938" s="33"/>
      <c r="DN938" s="33"/>
      <c r="DO938" s="33"/>
      <c r="DP938" s="33"/>
      <c r="DQ938" s="33"/>
      <c r="DR938" s="33"/>
      <c r="DS938" s="33"/>
      <c r="DT938" s="33"/>
      <c r="DU938" s="33"/>
      <c r="DV938" s="33"/>
      <c r="DW938" s="33"/>
      <c r="DX938" s="33"/>
      <c r="DY938" s="33"/>
      <c r="DZ938" s="33"/>
      <c r="EA938" s="33"/>
      <c r="EB938" s="33"/>
      <c r="EC938" s="33"/>
      <c r="ED938" s="33"/>
      <c r="EE938" s="33"/>
      <c r="EF938" s="33"/>
      <c r="EG938" s="33"/>
      <c r="EH938" s="33"/>
      <c r="EI938" s="33"/>
      <c r="EJ938" s="33"/>
      <c r="EK938" s="33"/>
      <c r="EL938" s="33"/>
      <c r="EM938" s="33"/>
      <c r="EN938" s="33"/>
      <c r="EO938" s="33"/>
      <c r="EP938" s="33"/>
      <c r="EQ938" s="33"/>
      <c r="ER938" s="33"/>
      <c r="ES938" s="33"/>
    </row>
    <row r="939">
      <c r="A939" s="33"/>
      <c r="B939" s="33"/>
      <c r="C939" s="33"/>
      <c r="D939" s="33"/>
      <c r="E939" s="33"/>
      <c r="F939" s="33"/>
      <c r="G939" s="85"/>
      <c r="H939" s="85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33"/>
      <c r="Y939" s="33"/>
      <c r="Z939" s="33"/>
      <c r="AA939" s="33"/>
      <c r="AB939" s="33"/>
      <c r="AC939" s="33"/>
      <c r="AD939" s="33"/>
      <c r="AE939" s="33"/>
      <c r="AF939" s="33"/>
      <c r="AG939" s="33"/>
      <c r="AH939" s="33"/>
      <c r="AI939" s="33"/>
      <c r="AJ939" s="33"/>
      <c r="AK939" s="33"/>
      <c r="AL939" s="33"/>
      <c r="AM939" s="33"/>
      <c r="AN939" s="33"/>
      <c r="AO939" s="33"/>
      <c r="AP939" s="33"/>
      <c r="AQ939" s="33"/>
      <c r="AR939" s="33"/>
      <c r="AS939" s="33"/>
      <c r="AT939" s="33"/>
      <c r="AU939" s="33"/>
      <c r="AV939" s="33"/>
      <c r="AW939" s="33"/>
      <c r="AX939" s="33"/>
      <c r="AY939" s="33"/>
      <c r="AZ939" s="33"/>
      <c r="BA939" s="33"/>
      <c r="BB939" s="33"/>
      <c r="BC939" s="33"/>
      <c r="BD939" s="33"/>
      <c r="BE939" s="33"/>
      <c r="BF939" s="33"/>
      <c r="BG939" s="33"/>
      <c r="BH939" s="33"/>
      <c r="BI939" s="33"/>
      <c r="BJ939" s="33"/>
      <c r="BK939" s="33"/>
      <c r="BL939" s="33"/>
      <c r="BM939" s="33"/>
      <c r="BN939" s="33"/>
      <c r="BO939" s="33"/>
      <c r="BP939" s="33"/>
      <c r="BQ939" s="33"/>
      <c r="BR939" s="33"/>
      <c r="BS939" s="33"/>
      <c r="BT939" s="33"/>
      <c r="BU939" s="33"/>
      <c r="BV939" s="33"/>
      <c r="BW939" s="33"/>
      <c r="BX939" s="33"/>
      <c r="BY939" s="33"/>
      <c r="BZ939" s="33"/>
      <c r="CA939" s="33"/>
      <c r="CB939" s="33"/>
      <c r="CC939" s="33"/>
      <c r="CD939" s="33"/>
      <c r="CE939" s="33"/>
      <c r="CF939" s="33"/>
      <c r="CG939" s="33"/>
      <c r="CH939" s="33"/>
      <c r="CI939" s="33"/>
      <c r="CJ939" s="33"/>
      <c r="CK939" s="33"/>
      <c r="CL939" s="33"/>
      <c r="CM939" s="33"/>
      <c r="CN939" s="33"/>
      <c r="CO939" s="33"/>
      <c r="CP939" s="33"/>
      <c r="CQ939" s="33"/>
      <c r="CR939" s="33"/>
      <c r="CS939" s="33"/>
      <c r="CT939" s="33"/>
      <c r="CU939" s="33"/>
      <c r="CV939" s="33"/>
      <c r="CW939" s="33"/>
      <c r="CX939" s="33"/>
      <c r="CY939" s="33"/>
      <c r="CZ939" s="33"/>
      <c r="DA939" s="33"/>
      <c r="DB939" s="33"/>
      <c r="DC939" s="33"/>
      <c r="DD939" s="33"/>
      <c r="DE939" s="33"/>
      <c r="DF939" s="33"/>
      <c r="DG939" s="33"/>
      <c r="DH939" s="33"/>
      <c r="DI939" s="33"/>
      <c r="DJ939" s="33"/>
      <c r="DK939" s="33"/>
      <c r="DL939" s="33"/>
      <c r="DM939" s="33"/>
      <c r="DN939" s="33"/>
      <c r="DO939" s="33"/>
      <c r="DP939" s="33"/>
      <c r="DQ939" s="33"/>
      <c r="DR939" s="33"/>
      <c r="DS939" s="33"/>
      <c r="DT939" s="33"/>
      <c r="DU939" s="33"/>
      <c r="DV939" s="33"/>
      <c r="DW939" s="33"/>
      <c r="DX939" s="33"/>
      <c r="DY939" s="33"/>
      <c r="DZ939" s="33"/>
      <c r="EA939" s="33"/>
      <c r="EB939" s="33"/>
      <c r="EC939" s="33"/>
      <c r="ED939" s="33"/>
      <c r="EE939" s="33"/>
      <c r="EF939" s="33"/>
      <c r="EG939" s="33"/>
      <c r="EH939" s="33"/>
      <c r="EI939" s="33"/>
      <c r="EJ939" s="33"/>
      <c r="EK939" s="33"/>
      <c r="EL939" s="33"/>
      <c r="EM939" s="33"/>
      <c r="EN939" s="33"/>
      <c r="EO939" s="33"/>
      <c r="EP939" s="33"/>
      <c r="EQ939" s="33"/>
      <c r="ER939" s="33"/>
      <c r="ES939" s="33"/>
    </row>
    <row r="940">
      <c r="A940" s="33"/>
      <c r="B940" s="33"/>
      <c r="C940" s="33"/>
      <c r="D940" s="33"/>
      <c r="E940" s="33"/>
      <c r="F940" s="33"/>
      <c r="G940" s="85"/>
      <c r="H940" s="85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33"/>
      <c r="Y940" s="33"/>
      <c r="Z940" s="33"/>
      <c r="AA940" s="33"/>
      <c r="AB940" s="33"/>
      <c r="AC940" s="33"/>
      <c r="AD940" s="33"/>
      <c r="AE940" s="33"/>
      <c r="AF940" s="33"/>
      <c r="AG940" s="33"/>
      <c r="AH940" s="33"/>
      <c r="AI940" s="33"/>
      <c r="AJ940" s="33"/>
      <c r="AK940" s="33"/>
      <c r="AL940" s="33"/>
      <c r="AM940" s="33"/>
      <c r="AN940" s="33"/>
      <c r="AO940" s="33"/>
      <c r="AP940" s="33"/>
      <c r="AQ940" s="33"/>
      <c r="AR940" s="33"/>
      <c r="AS940" s="33"/>
      <c r="AT940" s="33"/>
      <c r="AU940" s="33"/>
      <c r="AV940" s="33"/>
      <c r="AW940" s="33"/>
      <c r="AX940" s="33"/>
      <c r="AY940" s="33"/>
      <c r="AZ940" s="33"/>
      <c r="BA940" s="33"/>
      <c r="BB940" s="33"/>
      <c r="BC940" s="33"/>
      <c r="BD940" s="33"/>
      <c r="BE940" s="33"/>
      <c r="BF940" s="33"/>
      <c r="BG940" s="33"/>
      <c r="BH940" s="33"/>
      <c r="BI940" s="33"/>
      <c r="BJ940" s="33"/>
      <c r="BK940" s="33"/>
      <c r="BL940" s="33"/>
      <c r="BM940" s="33"/>
      <c r="BN940" s="33"/>
      <c r="BO940" s="33"/>
      <c r="BP940" s="33"/>
      <c r="BQ940" s="33"/>
      <c r="BR940" s="33"/>
      <c r="BS940" s="33"/>
      <c r="BT940" s="33"/>
      <c r="BU940" s="33"/>
      <c r="BV940" s="33"/>
      <c r="BW940" s="33"/>
      <c r="BX940" s="33"/>
      <c r="BY940" s="33"/>
      <c r="BZ940" s="33"/>
      <c r="CA940" s="33"/>
      <c r="CB940" s="33"/>
      <c r="CC940" s="33"/>
      <c r="CD940" s="33"/>
      <c r="CE940" s="33"/>
      <c r="CF940" s="33"/>
      <c r="CG940" s="33"/>
      <c r="CH940" s="33"/>
      <c r="CI940" s="33"/>
      <c r="CJ940" s="33"/>
      <c r="CK940" s="33"/>
      <c r="CL940" s="33"/>
      <c r="CM940" s="33"/>
      <c r="CN940" s="33"/>
      <c r="CO940" s="33"/>
      <c r="CP940" s="33"/>
      <c r="CQ940" s="33"/>
      <c r="CR940" s="33"/>
      <c r="CS940" s="33"/>
      <c r="CT940" s="33"/>
      <c r="CU940" s="33"/>
      <c r="CV940" s="33"/>
      <c r="CW940" s="33"/>
      <c r="CX940" s="33"/>
      <c r="CY940" s="33"/>
      <c r="CZ940" s="33"/>
      <c r="DA940" s="33"/>
      <c r="DB940" s="33"/>
      <c r="DC940" s="33"/>
      <c r="DD940" s="33"/>
      <c r="DE940" s="33"/>
      <c r="DF940" s="33"/>
      <c r="DG940" s="33"/>
      <c r="DH940" s="33"/>
      <c r="DI940" s="33"/>
      <c r="DJ940" s="33"/>
      <c r="DK940" s="33"/>
      <c r="DL940" s="33"/>
      <c r="DM940" s="33"/>
      <c r="DN940" s="33"/>
      <c r="DO940" s="33"/>
      <c r="DP940" s="33"/>
      <c r="DQ940" s="33"/>
      <c r="DR940" s="33"/>
      <c r="DS940" s="33"/>
      <c r="DT940" s="33"/>
      <c r="DU940" s="33"/>
      <c r="DV940" s="33"/>
      <c r="DW940" s="33"/>
      <c r="DX940" s="33"/>
      <c r="DY940" s="33"/>
      <c r="DZ940" s="33"/>
      <c r="EA940" s="33"/>
      <c r="EB940" s="33"/>
      <c r="EC940" s="33"/>
      <c r="ED940" s="33"/>
      <c r="EE940" s="33"/>
      <c r="EF940" s="33"/>
      <c r="EG940" s="33"/>
      <c r="EH940" s="33"/>
      <c r="EI940" s="33"/>
      <c r="EJ940" s="33"/>
      <c r="EK940" s="33"/>
      <c r="EL940" s="33"/>
      <c r="EM940" s="33"/>
      <c r="EN940" s="33"/>
      <c r="EO940" s="33"/>
      <c r="EP940" s="33"/>
      <c r="EQ940" s="33"/>
      <c r="ER940" s="33"/>
      <c r="ES940" s="33"/>
    </row>
    <row r="941">
      <c r="A941" s="33"/>
      <c r="B941" s="33"/>
      <c r="C941" s="33"/>
      <c r="D941" s="33"/>
      <c r="E941" s="33"/>
      <c r="F941" s="33"/>
      <c r="G941" s="85"/>
      <c r="H941" s="85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33"/>
      <c r="Y941" s="33"/>
      <c r="Z941" s="33"/>
      <c r="AA941" s="33"/>
      <c r="AB941" s="33"/>
      <c r="AC941" s="33"/>
      <c r="AD941" s="33"/>
      <c r="AE941" s="33"/>
      <c r="AF941" s="33"/>
      <c r="AG941" s="33"/>
      <c r="AH941" s="33"/>
      <c r="AI941" s="33"/>
      <c r="AJ941" s="33"/>
      <c r="AK941" s="33"/>
      <c r="AL941" s="33"/>
      <c r="AM941" s="33"/>
      <c r="AN941" s="33"/>
      <c r="AO941" s="33"/>
      <c r="AP941" s="33"/>
      <c r="AQ941" s="33"/>
      <c r="AR941" s="33"/>
      <c r="AS941" s="33"/>
      <c r="AT941" s="33"/>
      <c r="AU941" s="33"/>
      <c r="AV941" s="33"/>
      <c r="AW941" s="33"/>
      <c r="AX941" s="33"/>
      <c r="AY941" s="33"/>
      <c r="AZ941" s="33"/>
      <c r="BA941" s="33"/>
      <c r="BB941" s="33"/>
      <c r="BC941" s="33"/>
      <c r="BD941" s="33"/>
      <c r="BE941" s="33"/>
      <c r="BF941" s="33"/>
      <c r="BG941" s="33"/>
      <c r="BH941" s="33"/>
      <c r="BI941" s="33"/>
      <c r="BJ941" s="33"/>
      <c r="BK941" s="33"/>
      <c r="BL941" s="33"/>
      <c r="BM941" s="33"/>
      <c r="BN941" s="33"/>
      <c r="BO941" s="33"/>
      <c r="BP941" s="33"/>
      <c r="BQ941" s="33"/>
      <c r="BR941" s="33"/>
      <c r="BS941" s="33"/>
      <c r="BT941" s="33"/>
      <c r="BU941" s="33"/>
      <c r="BV941" s="33"/>
      <c r="BW941" s="33"/>
      <c r="BX941" s="33"/>
      <c r="BY941" s="33"/>
      <c r="BZ941" s="33"/>
      <c r="CA941" s="33"/>
      <c r="CB941" s="33"/>
      <c r="CC941" s="33"/>
      <c r="CD941" s="33"/>
      <c r="CE941" s="33"/>
      <c r="CF941" s="33"/>
      <c r="CG941" s="33"/>
      <c r="CH941" s="33"/>
      <c r="CI941" s="33"/>
      <c r="CJ941" s="33"/>
      <c r="CK941" s="33"/>
      <c r="CL941" s="33"/>
      <c r="CM941" s="33"/>
      <c r="CN941" s="33"/>
      <c r="CO941" s="33"/>
      <c r="CP941" s="33"/>
      <c r="CQ941" s="33"/>
      <c r="CR941" s="33"/>
      <c r="CS941" s="33"/>
      <c r="CT941" s="33"/>
      <c r="CU941" s="33"/>
      <c r="CV941" s="33"/>
      <c r="CW941" s="33"/>
      <c r="CX941" s="33"/>
      <c r="CY941" s="33"/>
      <c r="CZ941" s="33"/>
      <c r="DA941" s="33"/>
      <c r="DB941" s="33"/>
      <c r="DC941" s="33"/>
      <c r="DD941" s="33"/>
      <c r="DE941" s="33"/>
      <c r="DF941" s="33"/>
      <c r="DG941" s="33"/>
      <c r="DH941" s="33"/>
      <c r="DI941" s="33"/>
      <c r="DJ941" s="33"/>
      <c r="DK941" s="33"/>
      <c r="DL941" s="33"/>
      <c r="DM941" s="33"/>
      <c r="DN941" s="33"/>
      <c r="DO941" s="33"/>
      <c r="DP941" s="33"/>
      <c r="DQ941" s="33"/>
      <c r="DR941" s="33"/>
      <c r="DS941" s="33"/>
      <c r="DT941" s="33"/>
      <c r="DU941" s="33"/>
      <c r="DV941" s="33"/>
      <c r="DW941" s="33"/>
      <c r="DX941" s="33"/>
      <c r="DY941" s="33"/>
      <c r="DZ941" s="33"/>
      <c r="EA941" s="33"/>
      <c r="EB941" s="33"/>
      <c r="EC941" s="33"/>
      <c r="ED941" s="33"/>
      <c r="EE941" s="33"/>
      <c r="EF941" s="33"/>
      <c r="EG941" s="33"/>
      <c r="EH941" s="33"/>
      <c r="EI941" s="33"/>
      <c r="EJ941" s="33"/>
      <c r="EK941" s="33"/>
      <c r="EL941" s="33"/>
      <c r="EM941" s="33"/>
      <c r="EN941" s="33"/>
      <c r="EO941" s="33"/>
      <c r="EP941" s="33"/>
      <c r="EQ941" s="33"/>
      <c r="ER941" s="33"/>
      <c r="ES941" s="33"/>
    </row>
    <row r="942">
      <c r="A942" s="33"/>
      <c r="B942" s="33"/>
      <c r="C942" s="33"/>
      <c r="D942" s="33"/>
      <c r="E942" s="33"/>
      <c r="F942" s="33"/>
      <c r="G942" s="85"/>
      <c r="H942" s="85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33"/>
      <c r="Y942" s="33"/>
      <c r="Z942" s="33"/>
      <c r="AA942" s="33"/>
      <c r="AB942" s="33"/>
      <c r="AC942" s="33"/>
      <c r="AD942" s="33"/>
      <c r="AE942" s="33"/>
      <c r="AF942" s="33"/>
      <c r="AG942" s="33"/>
      <c r="AH942" s="33"/>
      <c r="AI942" s="33"/>
      <c r="AJ942" s="33"/>
      <c r="AK942" s="33"/>
      <c r="AL942" s="33"/>
      <c r="AM942" s="33"/>
      <c r="AN942" s="33"/>
      <c r="AO942" s="33"/>
      <c r="AP942" s="33"/>
      <c r="AQ942" s="33"/>
      <c r="AR942" s="33"/>
      <c r="AS942" s="33"/>
      <c r="AT942" s="33"/>
      <c r="AU942" s="33"/>
      <c r="AV942" s="33"/>
      <c r="AW942" s="33"/>
      <c r="AX942" s="33"/>
      <c r="AY942" s="33"/>
      <c r="AZ942" s="33"/>
      <c r="BA942" s="33"/>
      <c r="BB942" s="33"/>
      <c r="BC942" s="33"/>
      <c r="BD942" s="33"/>
      <c r="BE942" s="33"/>
      <c r="BF942" s="33"/>
      <c r="BG942" s="33"/>
      <c r="BH942" s="33"/>
      <c r="BI942" s="33"/>
      <c r="BJ942" s="33"/>
      <c r="BK942" s="33"/>
      <c r="BL942" s="33"/>
      <c r="BM942" s="33"/>
      <c r="BN942" s="33"/>
      <c r="BO942" s="33"/>
      <c r="BP942" s="33"/>
      <c r="BQ942" s="33"/>
      <c r="BR942" s="33"/>
      <c r="BS942" s="33"/>
      <c r="BT942" s="33"/>
      <c r="BU942" s="33"/>
      <c r="BV942" s="33"/>
      <c r="BW942" s="33"/>
      <c r="BX942" s="33"/>
      <c r="BY942" s="33"/>
      <c r="BZ942" s="33"/>
      <c r="CA942" s="33"/>
      <c r="CB942" s="33"/>
      <c r="CC942" s="33"/>
      <c r="CD942" s="33"/>
      <c r="CE942" s="33"/>
      <c r="CF942" s="33"/>
      <c r="CG942" s="33"/>
      <c r="CH942" s="33"/>
      <c r="CI942" s="33"/>
      <c r="CJ942" s="33"/>
      <c r="CK942" s="33"/>
      <c r="CL942" s="33"/>
      <c r="CM942" s="33"/>
      <c r="CN942" s="33"/>
      <c r="CO942" s="33"/>
      <c r="CP942" s="33"/>
      <c r="CQ942" s="33"/>
      <c r="CR942" s="33"/>
      <c r="CS942" s="33"/>
      <c r="CT942" s="33"/>
      <c r="CU942" s="33"/>
      <c r="CV942" s="33"/>
      <c r="CW942" s="33"/>
      <c r="CX942" s="33"/>
      <c r="CY942" s="33"/>
      <c r="CZ942" s="33"/>
      <c r="DA942" s="33"/>
      <c r="DB942" s="33"/>
      <c r="DC942" s="33"/>
      <c r="DD942" s="33"/>
      <c r="DE942" s="33"/>
      <c r="DF942" s="33"/>
      <c r="DG942" s="33"/>
      <c r="DH942" s="33"/>
      <c r="DI942" s="33"/>
      <c r="DJ942" s="33"/>
      <c r="DK942" s="33"/>
      <c r="DL942" s="33"/>
      <c r="DM942" s="33"/>
      <c r="DN942" s="33"/>
      <c r="DO942" s="33"/>
      <c r="DP942" s="33"/>
      <c r="DQ942" s="33"/>
      <c r="DR942" s="33"/>
      <c r="DS942" s="33"/>
      <c r="DT942" s="33"/>
      <c r="DU942" s="33"/>
      <c r="DV942" s="33"/>
      <c r="DW942" s="33"/>
      <c r="DX942" s="33"/>
      <c r="DY942" s="33"/>
      <c r="DZ942" s="33"/>
      <c r="EA942" s="33"/>
      <c r="EB942" s="33"/>
      <c r="EC942" s="33"/>
      <c r="ED942" s="33"/>
      <c r="EE942" s="33"/>
      <c r="EF942" s="33"/>
      <c r="EG942" s="33"/>
      <c r="EH942" s="33"/>
      <c r="EI942" s="33"/>
      <c r="EJ942" s="33"/>
      <c r="EK942" s="33"/>
      <c r="EL942" s="33"/>
      <c r="EM942" s="33"/>
      <c r="EN942" s="33"/>
      <c r="EO942" s="33"/>
      <c r="EP942" s="33"/>
      <c r="EQ942" s="33"/>
      <c r="ER942" s="33"/>
      <c r="ES942" s="33"/>
    </row>
    <row r="943">
      <c r="A943" s="33"/>
      <c r="B943" s="33"/>
      <c r="C943" s="33"/>
      <c r="D943" s="33"/>
      <c r="E943" s="33"/>
      <c r="F943" s="33"/>
      <c r="G943" s="85"/>
      <c r="H943" s="85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33"/>
      <c r="Y943" s="33"/>
      <c r="Z943" s="33"/>
      <c r="AA943" s="33"/>
      <c r="AB943" s="33"/>
      <c r="AC943" s="33"/>
      <c r="AD943" s="33"/>
      <c r="AE943" s="33"/>
      <c r="AF943" s="33"/>
      <c r="AG943" s="33"/>
      <c r="AH943" s="33"/>
      <c r="AI943" s="33"/>
      <c r="AJ943" s="33"/>
      <c r="AK943" s="33"/>
      <c r="AL943" s="33"/>
      <c r="AM943" s="33"/>
      <c r="AN943" s="33"/>
      <c r="AO943" s="33"/>
      <c r="AP943" s="33"/>
      <c r="AQ943" s="33"/>
      <c r="AR943" s="33"/>
      <c r="AS943" s="33"/>
      <c r="AT943" s="33"/>
      <c r="AU943" s="33"/>
      <c r="AV943" s="33"/>
      <c r="AW943" s="33"/>
      <c r="AX943" s="33"/>
      <c r="AY943" s="33"/>
      <c r="AZ943" s="33"/>
      <c r="BA943" s="33"/>
      <c r="BB943" s="33"/>
      <c r="BC943" s="33"/>
      <c r="BD943" s="33"/>
      <c r="BE943" s="33"/>
      <c r="BF943" s="33"/>
      <c r="BG943" s="33"/>
      <c r="BH943" s="33"/>
      <c r="BI943" s="33"/>
      <c r="BJ943" s="33"/>
      <c r="BK943" s="33"/>
      <c r="BL943" s="33"/>
      <c r="BM943" s="33"/>
      <c r="BN943" s="33"/>
      <c r="BO943" s="33"/>
      <c r="BP943" s="33"/>
      <c r="BQ943" s="33"/>
      <c r="BR943" s="33"/>
      <c r="BS943" s="33"/>
      <c r="BT943" s="33"/>
      <c r="BU943" s="33"/>
      <c r="BV943" s="33"/>
      <c r="BW943" s="33"/>
      <c r="BX943" s="33"/>
      <c r="BY943" s="33"/>
      <c r="BZ943" s="33"/>
      <c r="CA943" s="33"/>
      <c r="CB943" s="33"/>
      <c r="CC943" s="33"/>
      <c r="CD943" s="33"/>
      <c r="CE943" s="33"/>
      <c r="CF943" s="33"/>
      <c r="CG943" s="33"/>
      <c r="CH943" s="33"/>
      <c r="CI943" s="33"/>
      <c r="CJ943" s="33"/>
      <c r="CK943" s="33"/>
      <c r="CL943" s="33"/>
      <c r="CM943" s="33"/>
      <c r="CN943" s="33"/>
      <c r="CO943" s="33"/>
      <c r="CP943" s="33"/>
      <c r="CQ943" s="33"/>
      <c r="CR943" s="33"/>
      <c r="CS943" s="33"/>
      <c r="CT943" s="33"/>
      <c r="CU943" s="33"/>
      <c r="CV943" s="33"/>
      <c r="CW943" s="33"/>
      <c r="CX943" s="33"/>
      <c r="CY943" s="33"/>
      <c r="CZ943" s="33"/>
      <c r="DA943" s="33"/>
      <c r="DB943" s="33"/>
      <c r="DC943" s="33"/>
      <c r="DD943" s="33"/>
      <c r="DE943" s="33"/>
      <c r="DF943" s="33"/>
      <c r="DG943" s="33"/>
      <c r="DH943" s="33"/>
      <c r="DI943" s="33"/>
      <c r="DJ943" s="33"/>
      <c r="DK943" s="33"/>
      <c r="DL943" s="33"/>
      <c r="DM943" s="33"/>
      <c r="DN943" s="33"/>
      <c r="DO943" s="33"/>
      <c r="DP943" s="33"/>
      <c r="DQ943" s="33"/>
      <c r="DR943" s="33"/>
      <c r="DS943" s="33"/>
      <c r="DT943" s="33"/>
      <c r="DU943" s="33"/>
      <c r="DV943" s="33"/>
      <c r="DW943" s="33"/>
      <c r="DX943" s="33"/>
      <c r="DY943" s="33"/>
      <c r="DZ943" s="33"/>
      <c r="EA943" s="33"/>
      <c r="EB943" s="33"/>
      <c r="EC943" s="33"/>
      <c r="ED943" s="33"/>
      <c r="EE943" s="33"/>
      <c r="EF943" s="33"/>
      <c r="EG943" s="33"/>
      <c r="EH943" s="33"/>
      <c r="EI943" s="33"/>
      <c r="EJ943" s="33"/>
      <c r="EK943" s="33"/>
      <c r="EL943" s="33"/>
      <c r="EM943" s="33"/>
      <c r="EN943" s="33"/>
      <c r="EO943" s="33"/>
      <c r="EP943" s="33"/>
      <c r="EQ943" s="33"/>
      <c r="ER943" s="33"/>
      <c r="ES943" s="33"/>
    </row>
    <row r="944">
      <c r="A944" s="33"/>
      <c r="B944" s="33"/>
      <c r="C944" s="33"/>
      <c r="D944" s="33"/>
      <c r="E944" s="33"/>
      <c r="F944" s="33"/>
      <c r="G944" s="85"/>
      <c r="H944" s="85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33"/>
      <c r="Y944" s="33"/>
      <c r="Z944" s="33"/>
      <c r="AA944" s="33"/>
      <c r="AB944" s="33"/>
      <c r="AC944" s="33"/>
      <c r="AD944" s="33"/>
      <c r="AE944" s="33"/>
      <c r="AF944" s="33"/>
      <c r="AG944" s="33"/>
      <c r="AH944" s="33"/>
      <c r="AI944" s="33"/>
      <c r="AJ944" s="33"/>
      <c r="AK944" s="33"/>
      <c r="AL944" s="33"/>
      <c r="AM944" s="33"/>
      <c r="AN944" s="33"/>
      <c r="AO944" s="33"/>
      <c r="AP944" s="33"/>
      <c r="AQ944" s="33"/>
      <c r="AR944" s="33"/>
      <c r="AS944" s="33"/>
      <c r="AT944" s="33"/>
      <c r="AU944" s="33"/>
      <c r="AV944" s="33"/>
      <c r="AW944" s="33"/>
      <c r="AX944" s="33"/>
      <c r="AY944" s="33"/>
      <c r="AZ944" s="33"/>
      <c r="BA944" s="33"/>
      <c r="BB944" s="33"/>
      <c r="BC944" s="33"/>
      <c r="BD944" s="33"/>
      <c r="BE944" s="33"/>
      <c r="BF944" s="33"/>
      <c r="BG944" s="33"/>
      <c r="BH944" s="33"/>
      <c r="BI944" s="33"/>
      <c r="BJ944" s="33"/>
      <c r="BK944" s="33"/>
      <c r="BL944" s="33"/>
      <c r="BM944" s="33"/>
      <c r="BN944" s="33"/>
      <c r="BO944" s="33"/>
      <c r="BP944" s="33"/>
      <c r="BQ944" s="33"/>
      <c r="BR944" s="33"/>
      <c r="BS944" s="33"/>
      <c r="BT944" s="33"/>
      <c r="BU944" s="33"/>
      <c r="BV944" s="33"/>
      <c r="BW944" s="33"/>
      <c r="BX944" s="33"/>
      <c r="BY944" s="33"/>
      <c r="BZ944" s="33"/>
      <c r="CA944" s="33"/>
      <c r="CB944" s="33"/>
      <c r="CC944" s="33"/>
      <c r="CD944" s="33"/>
      <c r="CE944" s="33"/>
      <c r="CF944" s="33"/>
      <c r="CG944" s="33"/>
      <c r="CH944" s="33"/>
      <c r="CI944" s="33"/>
      <c r="CJ944" s="33"/>
      <c r="CK944" s="33"/>
      <c r="CL944" s="33"/>
      <c r="CM944" s="33"/>
      <c r="CN944" s="33"/>
      <c r="CO944" s="33"/>
      <c r="CP944" s="33"/>
      <c r="CQ944" s="33"/>
      <c r="CR944" s="33"/>
      <c r="CS944" s="33"/>
      <c r="CT944" s="33"/>
      <c r="CU944" s="33"/>
      <c r="CV944" s="33"/>
      <c r="CW944" s="33"/>
      <c r="CX944" s="33"/>
      <c r="CY944" s="33"/>
      <c r="CZ944" s="33"/>
      <c r="DA944" s="33"/>
      <c r="DB944" s="33"/>
      <c r="DC944" s="33"/>
      <c r="DD944" s="33"/>
      <c r="DE944" s="33"/>
      <c r="DF944" s="33"/>
      <c r="DG944" s="33"/>
      <c r="DH944" s="33"/>
      <c r="DI944" s="33"/>
      <c r="DJ944" s="33"/>
      <c r="DK944" s="33"/>
      <c r="DL944" s="33"/>
      <c r="DM944" s="33"/>
      <c r="DN944" s="33"/>
      <c r="DO944" s="33"/>
      <c r="DP944" s="33"/>
      <c r="DQ944" s="33"/>
      <c r="DR944" s="33"/>
      <c r="DS944" s="33"/>
      <c r="DT944" s="33"/>
      <c r="DU944" s="33"/>
      <c r="DV944" s="33"/>
      <c r="DW944" s="33"/>
      <c r="DX944" s="33"/>
      <c r="DY944" s="33"/>
      <c r="DZ944" s="33"/>
      <c r="EA944" s="33"/>
      <c r="EB944" s="33"/>
      <c r="EC944" s="33"/>
      <c r="ED944" s="33"/>
      <c r="EE944" s="33"/>
      <c r="EF944" s="33"/>
      <c r="EG944" s="33"/>
      <c r="EH944" s="33"/>
      <c r="EI944" s="33"/>
      <c r="EJ944" s="33"/>
      <c r="EK944" s="33"/>
      <c r="EL944" s="33"/>
      <c r="EM944" s="33"/>
      <c r="EN944" s="33"/>
      <c r="EO944" s="33"/>
      <c r="EP944" s="33"/>
      <c r="EQ944" s="33"/>
      <c r="ER944" s="33"/>
      <c r="ES944" s="33"/>
    </row>
    <row r="945">
      <c r="A945" s="33"/>
      <c r="B945" s="33"/>
      <c r="C945" s="33"/>
      <c r="D945" s="33"/>
      <c r="E945" s="33"/>
      <c r="F945" s="33"/>
      <c r="G945" s="85"/>
      <c r="H945" s="85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33"/>
      <c r="Y945" s="33"/>
      <c r="Z945" s="33"/>
      <c r="AA945" s="33"/>
      <c r="AB945" s="33"/>
      <c r="AC945" s="33"/>
      <c r="AD945" s="33"/>
      <c r="AE945" s="33"/>
      <c r="AF945" s="33"/>
      <c r="AG945" s="33"/>
      <c r="AH945" s="33"/>
      <c r="AI945" s="33"/>
      <c r="AJ945" s="33"/>
      <c r="AK945" s="33"/>
      <c r="AL945" s="33"/>
      <c r="AM945" s="33"/>
      <c r="AN945" s="33"/>
      <c r="AO945" s="33"/>
      <c r="AP945" s="33"/>
      <c r="AQ945" s="33"/>
      <c r="AR945" s="33"/>
      <c r="AS945" s="33"/>
      <c r="AT945" s="33"/>
      <c r="AU945" s="33"/>
      <c r="AV945" s="33"/>
      <c r="AW945" s="33"/>
      <c r="AX945" s="33"/>
      <c r="AY945" s="33"/>
      <c r="AZ945" s="33"/>
      <c r="BA945" s="33"/>
      <c r="BB945" s="33"/>
      <c r="BC945" s="33"/>
      <c r="BD945" s="33"/>
      <c r="BE945" s="33"/>
      <c r="BF945" s="33"/>
      <c r="BG945" s="33"/>
      <c r="BH945" s="33"/>
      <c r="BI945" s="33"/>
      <c r="BJ945" s="33"/>
      <c r="BK945" s="33"/>
      <c r="BL945" s="33"/>
      <c r="BM945" s="33"/>
      <c r="BN945" s="33"/>
      <c r="BO945" s="33"/>
      <c r="BP945" s="33"/>
      <c r="BQ945" s="33"/>
      <c r="BR945" s="33"/>
      <c r="BS945" s="33"/>
      <c r="BT945" s="33"/>
      <c r="BU945" s="33"/>
      <c r="BV945" s="33"/>
      <c r="BW945" s="33"/>
      <c r="BX945" s="33"/>
      <c r="BY945" s="33"/>
      <c r="BZ945" s="33"/>
      <c r="CA945" s="33"/>
      <c r="CB945" s="33"/>
      <c r="CC945" s="33"/>
      <c r="CD945" s="33"/>
      <c r="CE945" s="33"/>
      <c r="CF945" s="33"/>
      <c r="CG945" s="33"/>
      <c r="CH945" s="33"/>
      <c r="CI945" s="33"/>
      <c r="CJ945" s="33"/>
      <c r="CK945" s="33"/>
      <c r="CL945" s="33"/>
      <c r="CM945" s="33"/>
      <c r="CN945" s="33"/>
      <c r="CO945" s="33"/>
      <c r="CP945" s="33"/>
      <c r="CQ945" s="33"/>
      <c r="CR945" s="33"/>
      <c r="CS945" s="33"/>
      <c r="CT945" s="33"/>
      <c r="CU945" s="33"/>
      <c r="CV945" s="33"/>
      <c r="CW945" s="33"/>
      <c r="CX945" s="33"/>
      <c r="CY945" s="33"/>
      <c r="CZ945" s="33"/>
      <c r="DA945" s="33"/>
      <c r="DB945" s="33"/>
      <c r="DC945" s="33"/>
      <c r="DD945" s="33"/>
      <c r="DE945" s="33"/>
      <c r="DF945" s="33"/>
      <c r="DG945" s="33"/>
      <c r="DH945" s="33"/>
      <c r="DI945" s="33"/>
      <c r="DJ945" s="33"/>
      <c r="DK945" s="33"/>
      <c r="DL945" s="33"/>
      <c r="DM945" s="33"/>
      <c r="DN945" s="33"/>
      <c r="DO945" s="33"/>
      <c r="DP945" s="33"/>
      <c r="DQ945" s="33"/>
      <c r="DR945" s="33"/>
      <c r="DS945" s="33"/>
      <c r="DT945" s="33"/>
      <c r="DU945" s="33"/>
      <c r="DV945" s="33"/>
      <c r="DW945" s="33"/>
      <c r="DX945" s="33"/>
      <c r="DY945" s="33"/>
      <c r="DZ945" s="33"/>
      <c r="EA945" s="33"/>
      <c r="EB945" s="33"/>
      <c r="EC945" s="33"/>
      <c r="ED945" s="33"/>
      <c r="EE945" s="33"/>
      <c r="EF945" s="33"/>
      <c r="EG945" s="33"/>
      <c r="EH945" s="33"/>
      <c r="EI945" s="33"/>
      <c r="EJ945" s="33"/>
      <c r="EK945" s="33"/>
      <c r="EL945" s="33"/>
      <c r="EM945" s="33"/>
      <c r="EN945" s="33"/>
      <c r="EO945" s="33"/>
      <c r="EP945" s="33"/>
      <c r="EQ945" s="33"/>
      <c r="ER945" s="33"/>
      <c r="ES945" s="33"/>
    </row>
    <row r="946">
      <c r="A946" s="33"/>
      <c r="B946" s="33"/>
      <c r="C946" s="33"/>
      <c r="D946" s="33"/>
      <c r="E946" s="33"/>
      <c r="F946" s="33"/>
      <c r="G946" s="85"/>
      <c r="H946" s="85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33"/>
      <c r="Y946" s="33"/>
      <c r="Z946" s="33"/>
      <c r="AA946" s="33"/>
      <c r="AB946" s="33"/>
      <c r="AC946" s="33"/>
      <c r="AD946" s="33"/>
      <c r="AE946" s="33"/>
      <c r="AF946" s="33"/>
      <c r="AG946" s="33"/>
      <c r="AH946" s="33"/>
      <c r="AI946" s="33"/>
      <c r="AJ946" s="33"/>
      <c r="AK946" s="33"/>
      <c r="AL946" s="33"/>
      <c r="AM946" s="33"/>
      <c r="AN946" s="33"/>
      <c r="AO946" s="33"/>
      <c r="AP946" s="33"/>
      <c r="AQ946" s="33"/>
      <c r="AR946" s="33"/>
      <c r="AS946" s="33"/>
      <c r="AT946" s="33"/>
      <c r="AU946" s="33"/>
      <c r="AV946" s="33"/>
      <c r="AW946" s="33"/>
      <c r="AX946" s="33"/>
      <c r="AY946" s="33"/>
      <c r="AZ946" s="33"/>
      <c r="BA946" s="33"/>
      <c r="BB946" s="33"/>
      <c r="BC946" s="33"/>
      <c r="BD946" s="33"/>
      <c r="BE946" s="33"/>
      <c r="BF946" s="33"/>
      <c r="BG946" s="33"/>
      <c r="BH946" s="33"/>
      <c r="BI946" s="33"/>
      <c r="BJ946" s="33"/>
      <c r="BK946" s="33"/>
      <c r="BL946" s="33"/>
      <c r="BM946" s="33"/>
      <c r="BN946" s="33"/>
      <c r="BO946" s="33"/>
      <c r="BP946" s="33"/>
      <c r="BQ946" s="33"/>
      <c r="BR946" s="33"/>
      <c r="BS946" s="33"/>
      <c r="BT946" s="33"/>
      <c r="BU946" s="33"/>
      <c r="BV946" s="33"/>
      <c r="BW946" s="33"/>
      <c r="BX946" s="33"/>
      <c r="BY946" s="33"/>
      <c r="BZ946" s="33"/>
      <c r="CA946" s="33"/>
      <c r="CB946" s="33"/>
      <c r="CC946" s="33"/>
      <c r="CD946" s="33"/>
      <c r="CE946" s="33"/>
      <c r="CF946" s="33"/>
      <c r="CG946" s="33"/>
      <c r="CH946" s="33"/>
      <c r="CI946" s="33"/>
      <c r="CJ946" s="33"/>
      <c r="CK946" s="33"/>
      <c r="CL946" s="33"/>
      <c r="CM946" s="33"/>
      <c r="CN946" s="33"/>
      <c r="CO946" s="33"/>
      <c r="CP946" s="33"/>
      <c r="CQ946" s="33"/>
      <c r="CR946" s="33"/>
      <c r="CS946" s="33"/>
      <c r="CT946" s="33"/>
      <c r="CU946" s="33"/>
      <c r="CV946" s="33"/>
      <c r="CW946" s="33"/>
      <c r="CX946" s="33"/>
      <c r="CY946" s="33"/>
      <c r="CZ946" s="33"/>
      <c r="DA946" s="33"/>
      <c r="DB946" s="33"/>
      <c r="DC946" s="33"/>
      <c r="DD946" s="33"/>
      <c r="DE946" s="33"/>
      <c r="DF946" s="33"/>
      <c r="DG946" s="33"/>
      <c r="DH946" s="33"/>
      <c r="DI946" s="33"/>
      <c r="DJ946" s="33"/>
      <c r="DK946" s="33"/>
      <c r="DL946" s="33"/>
      <c r="DM946" s="33"/>
      <c r="DN946" s="33"/>
      <c r="DO946" s="33"/>
      <c r="DP946" s="33"/>
      <c r="DQ946" s="33"/>
      <c r="DR946" s="33"/>
      <c r="DS946" s="33"/>
      <c r="DT946" s="33"/>
      <c r="DU946" s="33"/>
      <c r="DV946" s="33"/>
      <c r="DW946" s="33"/>
      <c r="DX946" s="33"/>
      <c r="DY946" s="33"/>
      <c r="DZ946" s="33"/>
      <c r="EA946" s="33"/>
      <c r="EB946" s="33"/>
      <c r="EC946" s="33"/>
      <c r="ED946" s="33"/>
      <c r="EE946" s="33"/>
      <c r="EF946" s="33"/>
      <c r="EG946" s="33"/>
      <c r="EH946" s="33"/>
      <c r="EI946" s="33"/>
      <c r="EJ946" s="33"/>
      <c r="EK946" s="33"/>
      <c r="EL946" s="33"/>
      <c r="EM946" s="33"/>
      <c r="EN946" s="33"/>
      <c r="EO946" s="33"/>
      <c r="EP946" s="33"/>
      <c r="EQ946" s="33"/>
      <c r="ER946" s="33"/>
      <c r="ES946" s="33"/>
    </row>
    <row r="947">
      <c r="A947" s="33"/>
      <c r="B947" s="33"/>
      <c r="C947" s="33"/>
      <c r="D947" s="33"/>
      <c r="E947" s="33"/>
      <c r="F947" s="33"/>
      <c r="G947" s="85"/>
      <c r="H947" s="85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33"/>
      <c r="Y947" s="33"/>
      <c r="Z947" s="33"/>
      <c r="AA947" s="33"/>
      <c r="AB947" s="33"/>
      <c r="AC947" s="33"/>
      <c r="AD947" s="33"/>
      <c r="AE947" s="33"/>
      <c r="AF947" s="33"/>
      <c r="AG947" s="33"/>
      <c r="AH947" s="33"/>
      <c r="AI947" s="33"/>
      <c r="AJ947" s="33"/>
      <c r="AK947" s="33"/>
      <c r="AL947" s="33"/>
      <c r="AM947" s="33"/>
      <c r="AN947" s="33"/>
      <c r="AO947" s="33"/>
      <c r="AP947" s="33"/>
      <c r="AQ947" s="33"/>
      <c r="AR947" s="33"/>
      <c r="AS947" s="33"/>
      <c r="AT947" s="33"/>
      <c r="AU947" s="33"/>
      <c r="AV947" s="33"/>
      <c r="AW947" s="33"/>
      <c r="AX947" s="33"/>
      <c r="AY947" s="33"/>
      <c r="AZ947" s="33"/>
      <c r="BA947" s="33"/>
      <c r="BB947" s="33"/>
      <c r="BC947" s="33"/>
      <c r="BD947" s="33"/>
      <c r="BE947" s="33"/>
      <c r="BF947" s="33"/>
      <c r="BG947" s="33"/>
      <c r="BH947" s="33"/>
      <c r="BI947" s="33"/>
      <c r="BJ947" s="33"/>
      <c r="BK947" s="33"/>
      <c r="BL947" s="33"/>
      <c r="BM947" s="33"/>
      <c r="BN947" s="33"/>
      <c r="BO947" s="33"/>
      <c r="BP947" s="33"/>
      <c r="BQ947" s="33"/>
      <c r="BR947" s="33"/>
      <c r="BS947" s="33"/>
      <c r="BT947" s="33"/>
      <c r="BU947" s="33"/>
      <c r="BV947" s="33"/>
      <c r="BW947" s="33"/>
      <c r="BX947" s="33"/>
      <c r="BY947" s="33"/>
      <c r="BZ947" s="33"/>
      <c r="CA947" s="33"/>
      <c r="CB947" s="33"/>
      <c r="CC947" s="33"/>
      <c r="CD947" s="33"/>
      <c r="CE947" s="33"/>
      <c r="CF947" s="33"/>
      <c r="CG947" s="33"/>
      <c r="CH947" s="33"/>
      <c r="CI947" s="33"/>
      <c r="CJ947" s="33"/>
      <c r="CK947" s="33"/>
      <c r="CL947" s="33"/>
      <c r="CM947" s="33"/>
      <c r="CN947" s="33"/>
      <c r="CO947" s="33"/>
      <c r="CP947" s="33"/>
      <c r="CQ947" s="33"/>
      <c r="CR947" s="33"/>
      <c r="CS947" s="33"/>
      <c r="CT947" s="33"/>
      <c r="CU947" s="33"/>
      <c r="CV947" s="33"/>
      <c r="CW947" s="33"/>
      <c r="CX947" s="33"/>
      <c r="CY947" s="33"/>
      <c r="CZ947" s="33"/>
      <c r="DA947" s="33"/>
      <c r="DB947" s="33"/>
      <c r="DC947" s="33"/>
      <c r="DD947" s="33"/>
      <c r="DE947" s="33"/>
      <c r="DF947" s="33"/>
      <c r="DG947" s="33"/>
      <c r="DH947" s="33"/>
      <c r="DI947" s="33"/>
      <c r="DJ947" s="33"/>
      <c r="DK947" s="33"/>
      <c r="DL947" s="33"/>
      <c r="DM947" s="33"/>
      <c r="DN947" s="33"/>
      <c r="DO947" s="33"/>
      <c r="DP947" s="33"/>
      <c r="DQ947" s="33"/>
      <c r="DR947" s="33"/>
      <c r="DS947" s="33"/>
      <c r="DT947" s="33"/>
      <c r="DU947" s="33"/>
      <c r="DV947" s="33"/>
      <c r="DW947" s="33"/>
      <c r="DX947" s="33"/>
      <c r="DY947" s="33"/>
      <c r="DZ947" s="33"/>
      <c r="EA947" s="33"/>
      <c r="EB947" s="33"/>
      <c r="EC947" s="33"/>
      <c r="ED947" s="33"/>
      <c r="EE947" s="33"/>
      <c r="EF947" s="33"/>
      <c r="EG947" s="33"/>
      <c r="EH947" s="33"/>
      <c r="EI947" s="33"/>
      <c r="EJ947" s="33"/>
      <c r="EK947" s="33"/>
      <c r="EL947" s="33"/>
      <c r="EM947" s="33"/>
      <c r="EN947" s="33"/>
      <c r="EO947" s="33"/>
      <c r="EP947" s="33"/>
      <c r="EQ947" s="33"/>
      <c r="ER947" s="33"/>
      <c r="ES947" s="33"/>
    </row>
    <row r="948">
      <c r="A948" s="33"/>
      <c r="B948" s="33"/>
      <c r="C948" s="33"/>
      <c r="D948" s="33"/>
      <c r="E948" s="33"/>
      <c r="F948" s="33"/>
      <c r="G948" s="85"/>
      <c r="H948" s="85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33"/>
      <c r="Y948" s="33"/>
      <c r="Z948" s="33"/>
      <c r="AA948" s="33"/>
      <c r="AB948" s="33"/>
      <c r="AC948" s="33"/>
      <c r="AD948" s="33"/>
      <c r="AE948" s="33"/>
      <c r="AF948" s="33"/>
      <c r="AG948" s="33"/>
      <c r="AH948" s="33"/>
      <c r="AI948" s="33"/>
      <c r="AJ948" s="33"/>
      <c r="AK948" s="33"/>
      <c r="AL948" s="33"/>
      <c r="AM948" s="33"/>
      <c r="AN948" s="33"/>
      <c r="AO948" s="33"/>
      <c r="AP948" s="33"/>
      <c r="AQ948" s="33"/>
      <c r="AR948" s="33"/>
      <c r="AS948" s="33"/>
      <c r="AT948" s="33"/>
      <c r="AU948" s="33"/>
      <c r="AV948" s="33"/>
      <c r="AW948" s="33"/>
      <c r="AX948" s="33"/>
      <c r="AY948" s="33"/>
      <c r="AZ948" s="33"/>
      <c r="BA948" s="33"/>
      <c r="BB948" s="33"/>
      <c r="BC948" s="33"/>
      <c r="BD948" s="33"/>
      <c r="BE948" s="33"/>
      <c r="BF948" s="33"/>
      <c r="BG948" s="33"/>
      <c r="BH948" s="33"/>
      <c r="BI948" s="33"/>
      <c r="BJ948" s="33"/>
      <c r="BK948" s="33"/>
      <c r="BL948" s="33"/>
      <c r="BM948" s="33"/>
      <c r="BN948" s="33"/>
      <c r="BO948" s="33"/>
      <c r="BP948" s="33"/>
      <c r="BQ948" s="33"/>
      <c r="BR948" s="33"/>
      <c r="BS948" s="33"/>
      <c r="BT948" s="33"/>
      <c r="BU948" s="33"/>
      <c r="BV948" s="33"/>
      <c r="BW948" s="33"/>
      <c r="BX948" s="33"/>
      <c r="BY948" s="33"/>
      <c r="BZ948" s="33"/>
      <c r="CA948" s="33"/>
      <c r="CB948" s="33"/>
      <c r="CC948" s="33"/>
      <c r="CD948" s="33"/>
      <c r="CE948" s="33"/>
      <c r="CF948" s="33"/>
      <c r="CG948" s="33"/>
      <c r="CH948" s="33"/>
      <c r="CI948" s="33"/>
      <c r="CJ948" s="33"/>
      <c r="CK948" s="33"/>
      <c r="CL948" s="33"/>
      <c r="CM948" s="33"/>
      <c r="CN948" s="33"/>
      <c r="CO948" s="33"/>
      <c r="CP948" s="33"/>
      <c r="CQ948" s="33"/>
      <c r="CR948" s="33"/>
      <c r="CS948" s="33"/>
      <c r="CT948" s="33"/>
      <c r="CU948" s="33"/>
      <c r="CV948" s="33"/>
      <c r="CW948" s="33"/>
      <c r="CX948" s="33"/>
      <c r="CY948" s="33"/>
      <c r="CZ948" s="33"/>
      <c r="DA948" s="33"/>
      <c r="DB948" s="33"/>
      <c r="DC948" s="33"/>
      <c r="DD948" s="33"/>
      <c r="DE948" s="33"/>
      <c r="DF948" s="33"/>
      <c r="DG948" s="33"/>
      <c r="DH948" s="33"/>
      <c r="DI948" s="33"/>
      <c r="DJ948" s="33"/>
      <c r="DK948" s="33"/>
      <c r="DL948" s="33"/>
      <c r="DM948" s="33"/>
      <c r="DN948" s="33"/>
      <c r="DO948" s="33"/>
      <c r="DP948" s="33"/>
      <c r="DQ948" s="33"/>
      <c r="DR948" s="33"/>
      <c r="DS948" s="33"/>
      <c r="DT948" s="33"/>
      <c r="DU948" s="33"/>
      <c r="DV948" s="33"/>
      <c r="DW948" s="33"/>
      <c r="DX948" s="33"/>
      <c r="DY948" s="33"/>
      <c r="DZ948" s="33"/>
      <c r="EA948" s="33"/>
      <c r="EB948" s="33"/>
      <c r="EC948" s="33"/>
      <c r="ED948" s="33"/>
      <c r="EE948" s="33"/>
      <c r="EF948" s="33"/>
      <c r="EG948" s="33"/>
      <c r="EH948" s="33"/>
      <c r="EI948" s="33"/>
      <c r="EJ948" s="33"/>
      <c r="EK948" s="33"/>
      <c r="EL948" s="33"/>
      <c r="EM948" s="33"/>
      <c r="EN948" s="33"/>
      <c r="EO948" s="33"/>
      <c r="EP948" s="33"/>
      <c r="EQ948" s="33"/>
      <c r="ER948" s="33"/>
      <c r="ES948" s="33"/>
    </row>
    <row r="949">
      <c r="A949" s="33"/>
      <c r="B949" s="33"/>
      <c r="C949" s="33"/>
      <c r="D949" s="33"/>
      <c r="E949" s="33"/>
      <c r="F949" s="33"/>
      <c r="G949" s="85"/>
      <c r="H949" s="85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33"/>
      <c r="Y949" s="33"/>
      <c r="Z949" s="33"/>
      <c r="AA949" s="33"/>
      <c r="AB949" s="33"/>
      <c r="AC949" s="33"/>
      <c r="AD949" s="33"/>
      <c r="AE949" s="33"/>
      <c r="AF949" s="33"/>
      <c r="AG949" s="33"/>
      <c r="AH949" s="33"/>
      <c r="AI949" s="33"/>
      <c r="AJ949" s="33"/>
      <c r="AK949" s="33"/>
      <c r="AL949" s="33"/>
      <c r="AM949" s="33"/>
      <c r="AN949" s="33"/>
      <c r="AO949" s="33"/>
      <c r="AP949" s="33"/>
      <c r="AQ949" s="33"/>
      <c r="AR949" s="33"/>
      <c r="AS949" s="33"/>
      <c r="AT949" s="33"/>
      <c r="AU949" s="33"/>
      <c r="AV949" s="33"/>
      <c r="AW949" s="33"/>
      <c r="AX949" s="33"/>
      <c r="AY949" s="33"/>
      <c r="AZ949" s="33"/>
      <c r="BA949" s="33"/>
      <c r="BB949" s="33"/>
      <c r="BC949" s="33"/>
      <c r="BD949" s="33"/>
      <c r="BE949" s="33"/>
      <c r="BF949" s="33"/>
      <c r="BG949" s="33"/>
      <c r="BH949" s="33"/>
      <c r="BI949" s="33"/>
      <c r="BJ949" s="33"/>
      <c r="BK949" s="33"/>
      <c r="BL949" s="33"/>
      <c r="BM949" s="33"/>
      <c r="BN949" s="33"/>
      <c r="BO949" s="33"/>
      <c r="BP949" s="33"/>
      <c r="BQ949" s="33"/>
      <c r="BR949" s="33"/>
      <c r="BS949" s="33"/>
      <c r="BT949" s="33"/>
      <c r="BU949" s="33"/>
      <c r="BV949" s="33"/>
      <c r="BW949" s="33"/>
      <c r="BX949" s="33"/>
      <c r="BY949" s="33"/>
      <c r="BZ949" s="33"/>
      <c r="CA949" s="33"/>
      <c r="CB949" s="33"/>
      <c r="CC949" s="33"/>
      <c r="CD949" s="33"/>
      <c r="CE949" s="33"/>
      <c r="CF949" s="33"/>
      <c r="CG949" s="33"/>
      <c r="CH949" s="33"/>
      <c r="CI949" s="33"/>
      <c r="CJ949" s="33"/>
      <c r="CK949" s="33"/>
      <c r="CL949" s="33"/>
      <c r="CM949" s="33"/>
      <c r="CN949" s="33"/>
      <c r="CO949" s="33"/>
      <c r="CP949" s="33"/>
      <c r="CQ949" s="33"/>
      <c r="CR949" s="33"/>
      <c r="CS949" s="33"/>
      <c r="CT949" s="33"/>
      <c r="CU949" s="33"/>
      <c r="CV949" s="33"/>
      <c r="CW949" s="33"/>
      <c r="CX949" s="33"/>
      <c r="CY949" s="33"/>
      <c r="CZ949" s="33"/>
      <c r="DA949" s="33"/>
      <c r="DB949" s="33"/>
      <c r="DC949" s="33"/>
      <c r="DD949" s="33"/>
      <c r="DE949" s="33"/>
      <c r="DF949" s="33"/>
      <c r="DG949" s="33"/>
      <c r="DH949" s="33"/>
      <c r="DI949" s="33"/>
      <c r="DJ949" s="33"/>
      <c r="DK949" s="33"/>
      <c r="DL949" s="33"/>
      <c r="DM949" s="33"/>
      <c r="DN949" s="33"/>
      <c r="DO949" s="33"/>
      <c r="DP949" s="33"/>
      <c r="DQ949" s="33"/>
      <c r="DR949" s="33"/>
      <c r="DS949" s="33"/>
      <c r="DT949" s="33"/>
      <c r="DU949" s="33"/>
      <c r="DV949" s="33"/>
      <c r="DW949" s="33"/>
      <c r="DX949" s="33"/>
      <c r="DY949" s="33"/>
      <c r="DZ949" s="33"/>
      <c r="EA949" s="33"/>
      <c r="EB949" s="33"/>
      <c r="EC949" s="33"/>
      <c r="ED949" s="33"/>
      <c r="EE949" s="33"/>
      <c r="EF949" s="33"/>
      <c r="EG949" s="33"/>
      <c r="EH949" s="33"/>
      <c r="EI949" s="33"/>
      <c r="EJ949" s="33"/>
      <c r="EK949" s="33"/>
      <c r="EL949" s="33"/>
      <c r="EM949" s="33"/>
      <c r="EN949" s="33"/>
      <c r="EO949" s="33"/>
      <c r="EP949" s="33"/>
      <c r="EQ949" s="33"/>
      <c r="ER949" s="33"/>
      <c r="ES949" s="33"/>
    </row>
    <row r="950">
      <c r="A950" s="33"/>
      <c r="B950" s="33"/>
      <c r="C950" s="33"/>
      <c r="D950" s="33"/>
      <c r="E950" s="33"/>
      <c r="F950" s="33"/>
      <c r="G950" s="85"/>
      <c r="H950" s="85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33"/>
      <c r="Y950" s="33"/>
      <c r="Z950" s="33"/>
      <c r="AA950" s="33"/>
      <c r="AB950" s="33"/>
      <c r="AC950" s="33"/>
      <c r="AD950" s="33"/>
      <c r="AE950" s="33"/>
      <c r="AF950" s="33"/>
      <c r="AG950" s="33"/>
      <c r="AH950" s="33"/>
      <c r="AI950" s="33"/>
      <c r="AJ950" s="33"/>
      <c r="AK950" s="33"/>
      <c r="AL950" s="33"/>
      <c r="AM950" s="33"/>
      <c r="AN950" s="33"/>
      <c r="AO950" s="33"/>
      <c r="AP950" s="33"/>
      <c r="AQ950" s="33"/>
      <c r="AR950" s="33"/>
      <c r="AS950" s="33"/>
      <c r="AT950" s="33"/>
      <c r="AU950" s="33"/>
      <c r="AV950" s="33"/>
      <c r="AW950" s="33"/>
      <c r="AX950" s="33"/>
      <c r="AY950" s="33"/>
      <c r="AZ950" s="33"/>
      <c r="BA950" s="33"/>
      <c r="BB950" s="33"/>
      <c r="BC950" s="33"/>
      <c r="BD950" s="33"/>
      <c r="BE950" s="33"/>
      <c r="BF950" s="33"/>
      <c r="BG950" s="33"/>
      <c r="BH950" s="33"/>
      <c r="BI950" s="33"/>
      <c r="BJ950" s="33"/>
      <c r="BK950" s="33"/>
      <c r="BL950" s="33"/>
      <c r="BM950" s="33"/>
      <c r="BN950" s="33"/>
      <c r="BO950" s="33"/>
      <c r="BP950" s="33"/>
      <c r="BQ950" s="33"/>
      <c r="BR950" s="33"/>
      <c r="BS950" s="33"/>
      <c r="BT950" s="33"/>
      <c r="BU950" s="33"/>
      <c r="BV950" s="33"/>
      <c r="BW950" s="33"/>
      <c r="BX950" s="33"/>
      <c r="BY950" s="33"/>
      <c r="BZ950" s="33"/>
      <c r="CA950" s="33"/>
      <c r="CB950" s="33"/>
      <c r="CC950" s="33"/>
      <c r="CD950" s="33"/>
      <c r="CE950" s="33"/>
      <c r="CF950" s="33"/>
      <c r="CG950" s="33"/>
      <c r="CH950" s="33"/>
      <c r="CI950" s="33"/>
      <c r="CJ950" s="33"/>
      <c r="CK950" s="33"/>
      <c r="CL950" s="33"/>
      <c r="CM950" s="33"/>
      <c r="CN950" s="33"/>
      <c r="CO950" s="33"/>
      <c r="CP950" s="33"/>
      <c r="CQ950" s="33"/>
      <c r="CR950" s="33"/>
      <c r="CS950" s="33"/>
      <c r="CT950" s="33"/>
      <c r="CU950" s="33"/>
      <c r="CV950" s="33"/>
      <c r="CW950" s="33"/>
      <c r="CX950" s="33"/>
      <c r="CY950" s="33"/>
      <c r="CZ950" s="33"/>
      <c r="DA950" s="33"/>
      <c r="DB950" s="33"/>
      <c r="DC950" s="33"/>
      <c r="DD950" s="33"/>
      <c r="DE950" s="33"/>
      <c r="DF950" s="33"/>
      <c r="DG950" s="33"/>
      <c r="DH950" s="33"/>
      <c r="DI950" s="33"/>
      <c r="DJ950" s="33"/>
      <c r="DK950" s="33"/>
      <c r="DL950" s="33"/>
      <c r="DM950" s="33"/>
      <c r="DN950" s="33"/>
      <c r="DO950" s="33"/>
      <c r="DP950" s="33"/>
      <c r="DQ950" s="33"/>
      <c r="DR950" s="33"/>
      <c r="DS950" s="33"/>
      <c r="DT950" s="33"/>
      <c r="DU950" s="33"/>
      <c r="DV950" s="33"/>
      <c r="DW950" s="33"/>
      <c r="DX950" s="33"/>
      <c r="DY950" s="33"/>
      <c r="DZ950" s="33"/>
      <c r="EA950" s="33"/>
      <c r="EB950" s="33"/>
      <c r="EC950" s="33"/>
      <c r="ED950" s="33"/>
      <c r="EE950" s="33"/>
      <c r="EF950" s="33"/>
      <c r="EG950" s="33"/>
      <c r="EH950" s="33"/>
      <c r="EI950" s="33"/>
      <c r="EJ950" s="33"/>
      <c r="EK950" s="33"/>
      <c r="EL950" s="33"/>
      <c r="EM950" s="33"/>
      <c r="EN950" s="33"/>
      <c r="EO950" s="33"/>
      <c r="EP950" s="33"/>
      <c r="EQ950" s="33"/>
      <c r="ER950" s="33"/>
      <c r="ES950" s="33"/>
    </row>
    <row r="951">
      <c r="A951" s="33"/>
      <c r="B951" s="33"/>
      <c r="C951" s="33"/>
      <c r="D951" s="33"/>
      <c r="E951" s="33"/>
      <c r="F951" s="33"/>
      <c r="G951" s="85"/>
      <c r="H951" s="85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33"/>
      <c r="Y951" s="33"/>
      <c r="Z951" s="33"/>
      <c r="AA951" s="33"/>
      <c r="AB951" s="33"/>
      <c r="AC951" s="33"/>
      <c r="AD951" s="33"/>
      <c r="AE951" s="33"/>
      <c r="AF951" s="33"/>
      <c r="AG951" s="33"/>
      <c r="AH951" s="33"/>
      <c r="AI951" s="33"/>
      <c r="AJ951" s="33"/>
      <c r="AK951" s="33"/>
      <c r="AL951" s="33"/>
      <c r="AM951" s="33"/>
      <c r="AN951" s="33"/>
      <c r="AO951" s="33"/>
      <c r="AP951" s="33"/>
      <c r="AQ951" s="33"/>
      <c r="AR951" s="33"/>
      <c r="AS951" s="33"/>
      <c r="AT951" s="33"/>
      <c r="AU951" s="33"/>
      <c r="AV951" s="33"/>
      <c r="AW951" s="33"/>
      <c r="AX951" s="33"/>
      <c r="AY951" s="33"/>
      <c r="AZ951" s="33"/>
      <c r="BA951" s="33"/>
      <c r="BB951" s="33"/>
      <c r="BC951" s="33"/>
      <c r="BD951" s="33"/>
      <c r="BE951" s="33"/>
      <c r="BF951" s="33"/>
      <c r="BG951" s="33"/>
      <c r="BH951" s="33"/>
      <c r="BI951" s="33"/>
      <c r="BJ951" s="33"/>
      <c r="BK951" s="33"/>
      <c r="BL951" s="33"/>
      <c r="BM951" s="33"/>
      <c r="BN951" s="33"/>
      <c r="BO951" s="33"/>
      <c r="BP951" s="33"/>
      <c r="BQ951" s="33"/>
      <c r="BR951" s="33"/>
      <c r="BS951" s="33"/>
      <c r="BT951" s="33"/>
      <c r="BU951" s="33"/>
      <c r="BV951" s="33"/>
      <c r="BW951" s="33"/>
      <c r="BX951" s="33"/>
      <c r="BY951" s="33"/>
      <c r="BZ951" s="33"/>
      <c r="CA951" s="33"/>
      <c r="CB951" s="33"/>
      <c r="CC951" s="33"/>
      <c r="CD951" s="33"/>
      <c r="CE951" s="33"/>
      <c r="CF951" s="33"/>
      <c r="CG951" s="33"/>
      <c r="CH951" s="33"/>
      <c r="CI951" s="33"/>
      <c r="CJ951" s="33"/>
      <c r="CK951" s="33"/>
      <c r="CL951" s="33"/>
      <c r="CM951" s="33"/>
      <c r="CN951" s="33"/>
      <c r="CO951" s="33"/>
      <c r="CP951" s="33"/>
      <c r="CQ951" s="33"/>
      <c r="CR951" s="33"/>
      <c r="CS951" s="33"/>
      <c r="CT951" s="33"/>
      <c r="CU951" s="33"/>
      <c r="CV951" s="33"/>
      <c r="CW951" s="33"/>
      <c r="CX951" s="33"/>
      <c r="CY951" s="33"/>
      <c r="CZ951" s="33"/>
      <c r="DA951" s="33"/>
      <c r="DB951" s="33"/>
      <c r="DC951" s="33"/>
      <c r="DD951" s="33"/>
      <c r="DE951" s="33"/>
      <c r="DF951" s="33"/>
      <c r="DG951" s="33"/>
      <c r="DH951" s="33"/>
      <c r="DI951" s="33"/>
      <c r="DJ951" s="33"/>
      <c r="DK951" s="33"/>
      <c r="DL951" s="33"/>
      <c r="DM951" s="33"/>
      <c r="DN951" s="33"/>
      <c r="DO951" s="33"/>
      <c r="DP951" s="33"/>
      <c r="DQ951" s="33"/>
      <c r="DR951" s="33"/>
      <c r="DS951" s="33"/>
      <c r="DT951" s="33"/>
      <c r="DU951" s="33"/>
      <c r="DV951" s="33"/>
      <c r="DW951" s="33"/>
      <c r="DX951" s="33"/>
      <c r="DY951" s="33"/>
      <c r="DZ951" s="33"/>
      <c r="EA951" s="33"/>
      <c r="EB951" s="33"/>
      <c r="EC951" s="33"/>
      <c r="ED951" s="33"/>
      <c r="EE951" s="33"/>
      <c r="EF951" s="33"/>
      <c r="EG951" s="33"/>
      <c r="EH951" s="33"/>
      <c r="EI951" s="33"/>
      <c r="EJ951" s="33"/>
      <c r="EK951" s="33"/>
      <c r="EL951" s="33"/>
      <c r="EM951" s="33"/>
      <c r="EN951" s="33"/>
      <c r="EO951" s="33"/>
      <c r="EP951" s="33"/>
      <c r="EQ951" s="33"/>
      <c r="ER951" s="33"/>
      <c r="ES951" s="33"/>
    </row>
    <row r="952">
      <c r="A952" s="33"/>
      <c r="B952" s="33"/>
      <c r="C952" s="33"/>
      <c r="D952" s="33"/>
      <c r="E952" s="33"/>
      <c r="F952" s="33"/>
      <c r="G952" s="85"/>
      <c r="H952" s="85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33"/>
      <c r="Y952" s="33"/>
      <c r="Z952" s="33"/>
      <c r="AA952" s="33"/>
      <c r="AB952" s="33"/>
      <c r="AC952" s="33"/>
      <c r="AD952" s="33"/>
      <c r="AE952" s="33"/>
      <c r="AF952" s="33"/>
      <c r="AG952" s="33"/>
      <c r="AH952" s="33"/>
      <c r="AI952" s="33"/>
      <c r="AJ952" s="33"/>
      <c r="AK952" s="33"/>
      <c r="AL952" s="33"/>
      <c r="AM952" s="33"/>
      <c r="AN952" s="33"/>
      <c r="AO952" s="33"/>
      <c r="AP952" s="33"/>
      <c r="AQ952" s="33"/>
      <c r="AR952" s="33"/>
      <c r="AS952" s="33"/>
      <c r="AT952" s="33"/>
      <c r="AU952" s="33"/>
      <c r="AV952" s="33"/>
      <c r="AW952" s="33"/>
      <c r="AX952" s="33"/>
      <c r="AY952" s="33"/>
      <c r="AZ952" s="33"/>
      <c r="BA952" s="33"/>
      <c r="BB952" s="33"/>
      <c r="BC952" s="33"/>
      <c r="BD952" s="33"/>
      <c r="BE952" s="33"/>
      <c r="BF952" s="33"/>
      <c r="BG952" s="33"/>
      <c r="BH952" s="33"/>
      <c r="BI952" s="33"/>
      <c r="BJ952" s="33"/>
      <c r="BK952" s="33"/>
      <c r="BL952" s="33"/>
      <c r="BM952" s="33"/>
      <c r="BN952" s="33"/>
      <c r="BO952" s="33"/>
      <c r="BP952" s="33"/>
      <c r="BQ952" s="33"/>
      <c r="BR952" s="33"/>
      <c r="BS952" s="33"/>
      <c r="BT952" s="33"/>
      <c r="BU952" s="33"/>
      <c r="BV952" s="33"/>
      <c r="BW952" s="33"/>
      <c r="BX952" s="33"/>
      <c r="BY952" s="33"/>
      <c r="BZ952" s="33"/>
      <c r="CA952" s="33"/>
      <c r="CB952" s="33"/>
      <c r="CC952" s="33"/>
      <c r="CD952" s="33"/>
      <c r="CE952" s="33"/>
      <c r="CF952" s="33"/>
      <c r="CG952" s="33"/>
      <c r="CH952" s="33"/>
      <c r="CI952" s="33"/>
      <c r="CJ952" s="33"/>
      <c r="CK952" s="33"/>
      <c r="CL952" s="33"/>
      <c r="CM952" s="33"/>
      <c r="CN952" s="33"/>
      <c r="CO952" s="33"/>
      <c r="CP952" s="33"/>
      <c r="CQ952" s="33"/>
      <c r="CR952" s="33"/>
      <c r="CS952" s="33"/>
      <c r="CT952" s="33"/>
      <c r="CU952" s="33"/>
      <c r="CV952" s="33"/>
      <c r="CW952" s="33"/>
      <c r="CX952" s="33"/>
      <c r="CY952" s="33"/>
      <c r="CZ952" s="33"/>
      <c r="DA952" s="33"/>
      <c r="DB952" s="33"/>
      <c r="DC952" s="33"/>
      <c r="DD952" s="33"/>
      <c r="DE952" s="33"/>
      <c r="DF952" s="33"/>
      <c r="DG952" s="33"/>
      <c r="DH952" s="33"/>
      <c r="DI952" s="33"/>
      <c r="DJ952" s="33"/>
      <c r="DK952" s="33"/>
      <c r="DL952" s="33"/>
      <c r="DM952" s="33"/>
      <c r="DN952" s="33"/>
      <c r="DO952" s="33"/>
      <c r="DP952" s="33"/>
      <c r="DQ952" s="33"/>
      <c r="DR952" s="33"/>
      <c r="DS952" s="33"/>
      <c r="DT952" s="33"/>
      <c r="DU952" s="33"/>
      <c r="DV952" s="33"/>
      <c r="DW952" s="33"/>
      <c r="DX952" s="33"/>
      <c r="DY952" s="33"/>
      <c r="DZ952" s="33"/>
      <c r="EA952" s="33"/>
      <c r="EB952" s="33"/>
      <c r="EC952" s="33"/>
      <c r="ED952" s="33"/>
      <c r="EE952" s="33"/>
      <c r="EF952" s="33"/>
      <c r="EG952" s="33"/>
      <c r="EH952" s="33"/>
      <c r="EI952" s="33"/>
      <c r="EJ952" s="33"/>
      <c r="EK952" s="33"/>
      <c r="EL952" s="33"/>
      <c r="EM952" s="33"/>
      <c r="EN952" s="33"/>
      <c r="EO952" s="33"/>
      <c r="EP952" s="33"/>
      <c r="EQ952" s="33"/>
      <c r="ER952" s="33"/>
      <c r="ES952" s="33"/>
    </row>
    <row r="953">
      <c r="A953" s="33"/>
      <c r="B953" s="33"/>
      <c r="C953" s="33"/>
      <c r="D953" s="33"/>
      <c r="E953" s="33"/>
      <c r="F953" s="33"/>
      <c r="G953" s="85"/>
      <c r="H953" s="85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33"/>
      <c r="Y953" s="33"/>
      <c r="Z953" s="33"/>
      <c r="AA953" s="33"/>
      <c r="AB953" s="33"/>
      <c r="AC953" s="33"/>
      <c r="AD953" s="33"/>
      <c r="AE953" s="33"/>
      <c r="AF953" s="33"/>
      <c r="AG953" s="33"/>
      <c r="AH953" s="33"/>
      <c r="AI953" s="33"/>
      <c r="AJ953" s="33"/>
      <c r="AK953" s="33"/>
      <c r="AL953" s="33"/>
      <c r="AM953" s="33"/>
      <c r="AN953" s="33"/>
      <c r="AO953" s="33"/>
      <c r="AP953" s="33"/>
      <c r="AQ953" s="33"/>
      <c r="AR953" s="33"/>
      <c r="AS953" s="33"/>
      <c r="AT953" s="33"/>
      <c r="AU953" s="33"/>
      <c r="AV953" s="33"/>
      <c r="AW953" s="33"/>
      <c r="AX953" s="33"/>
      <c r="AY953" s="33"/>
      <c r="AZ953" s="33"/>
      <c r="BA953" s="33"/>
      <c r="BB953" s="33"/>
      <c r="BC953" s="33"/>
      <c r="BD953" s="33"/>
      <c r="BE953" s="33"/>
      <c r="BF953" s="33"/>
      <c r="BG953" s="33"/>
      <c r="BH953" s="33"/>
      <c r="BI953" s="33"/>
      <c r="BJ953" s="33"/>
      <c r="BK953" s="33"/>
      <c r="BL953" s="33"/>
      <c r="BM953" s="33"/>
      <c r="BN953" s="33"/>
      <c r="BO953" s="33"/>
      <c r="BP953" s="33"/>
      <c r="BQ953" s="33"/>
      <c r="BR953" s="33"/>
      <c r="BS953" s="33"/>
      <c r="BT953" s="33"/>
      <c r="BU953" s="33"/>
      <c r="BV953" s="33"/>
      <c r="BW953" s="33"/>
      <c r="BX953" s="33"/>
      <c r="BY953" s="33"/>
      <c r="BZ953" s="33"/>
      <c r="CA953" s="33"/>
      <c r="CB953" s="33"/>
      <c r="CC953" s="33"/>
      <c r="CD953" s="33"/>
      <c r="CE953" s="33"/>
      <c r="CF953" s="33"/>
      <c r="CG953" s="33"/>
      <c r="CH953" s="33"/>
      <c r="CI953" s="33"/>
      <c r="CJ953" s="33"/>
      <c r="CK953" s="33"/>
      <c r="CL953" s="33"/>
      <c r="CM953" s="33"/>
      <c r="CN953" s="33"/>
      <c r="CO953" s="33"/>
      <c r="CP953" s="33"/>
      <c r="CQ953" s="33"/>
      <c r="CR953" s="33"/>
      <c r="CS953" s="33"/>
      <c r="CT953" s="33"/>
      <c r="CU953" s="33"/>
      <c r="CV953" s="33"/>
      <c r="CW953" s="33"/>
      <c r="CX953" s="33"/>
      <c r="CY953" s="33"/>
      <c r="CZ953" s="33"/>
      <c r="DA953" s="33"/>
      <c r="DB953" s="33"/>
      <c r="DC953" s="33"/>
      <c r="DD953" s="33"/>
      <c r="DE953" s="33"/>
      <c r="DF953" s="33"/>
      <c r="DG953" s="33"/>
      <c r="DH953" s="33"/>
      <c r="DI953" s="33"/>
      <c r="DJ953" s="33"/>
      <c r="DK953" s="33"/>
      <c r="DL953" s="33"/>
      <c r="DM953" s="33"/>
      <c r="DN953" s="33"/>
      <c r="DO953" s="33"/>
      <c r="DP953" s="33"/>
      <c r="DQ953" s="33"/>
      <c r="DR953" s="33"/>
      <c r="DS953" s="33"/>
      <c r="DT953" s="33"/>
      <c r="DU953" s="33"/>
      <c r="DV953" s="33"/>
      <c r="DW953" s="33"/>
      <c r="DX953" s="33"/>
      <c r="DY953" s="33"/>
      <c r="DZ953" s="33"/>
      <c r="EA953" s="33"/>
      <c r="EB953" s="33"/>
      <c r="EC953" s="33"/>
      <c r="ED953" s="33"/>
      <c r="EE953" s="33"/>
      <c r="EF953" s="33"/>
      <c r="EG953" s="33"/>
      <c r="EH953" s="33"/>
      <c r="EI953" s="33"/>
      <c r="EJ953" s="33"/>
      <c r="EK953" s="33"/>
      <c r="EL953" s="33"/>
      <c r="EM953" s="33"/>
      <c r="EN953" s="33"/>
      <c r="EO953" s="33"/>
      <c r="EP953" s="33"/>
      <c r="EQ953" s="33"/>
      <c r="ER953" s="33"/>
      <c r="ES953" s="33"/>
    </row>
    <row r="954">
      <c r="A954" s="33"/>
      <c r="B954" s="33"/>
      <c r="C954" s="33"/>
      <c r="D954" s="33"/>
      <c r="E954" s="33"/>
      <c r="F954" s="33"/>
      <c r="G954" s="85"/>
      <c r="H954" s="85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33"/>
      <c r="Y954" s="33"/>
      <c r="Z954" s="33"/>
      <c r="AA954" s="33"/>
      <c r="AB954" s="33"/>
      <c r="AC954" s="33"/>
      <c r="AD954" s="33"/>
      <c r="AE954" s="33"/>
      <c r="AF954" s="33"/>
      <c r="AG954" s="33"/>
      <c r="AH954" s="33"/>
      <c r="AI954" s="33"/>
      <c r="AJ954" s="33"/>
      <c r="AK954" s="33"/>
      <c r="AL954" s="33"/>
      <c r="AM954" s="33"/>
      <c r="AN954" s="33"/>
      <c r="AO954" s="33"/>
      <c r="AP954" s="33"/>
      <c r="AQ954" s="33"/>
      <c r="AR954" s="33"/>
      <c r="AS954" s="33"/>
      <c r="AT954" s="33"/>
      <c r="AU954" s="33"/>
      <c r="AV954" s="33"/>
      <c r="AW954" s="33"/>
      <c r="AX954" s="33"/>
      <c r="AY954" s="33"/>
      <c r="AZ954" s="33"/>
      <c r="BA954" s="33"/>
      <c r="BB954" s="33"/>
      <c r="BC954" s="33"/>
      <c r="BD954" s="33"/>
      <c r="BE954" s="33"/>
      <c r="BF954" s="33"/>
      <c r="BG954" s="33"/>
      <c r="BH954" s="33"/>
      <c r="BI954" s="33"/>
      <c r="BJ954" s="33"/>
      <c r="BK954" s="33"/>
      <c r="BL954" s="33"/>
      <c r="BM954" s="33"/>
      <c r="BN954" s="33"/>
      <c r="BO954" s="33"/>
      <c r="BP954" s="33"/>
      <c r="BQ954" s="33"/>
      <c r="BR954" s="33"/>
      <c r="BS954" s="33"/>
      <c r="BT954" s="33"/>
      <c r="BU954" s="33"/>
      <c r="BV954" s="33"/>
      <c r="BW954" s="33"/>
      <c r="BX954" s="33"/>
      <c r="BY954" s="33"/>
      <c r="BZ954" s="33"/>
      <c r="CA954" s="33"/>
      <c r="CB954" s="33"/>
      <c r="CC954" s="33"/>
      <c r="CD954" s="33"/>
      <c r="CE954" s="33"/>
      <c r="CF954" s="33"/>
      <c r="CG954" s="33"/>
      <c r="CH954" s="33"/>
      <c r="CI954" s="33"/>
      <c r="CJ954" s="33"/>
      <c r="CK954" s="33"/>
      <c r="CL954" s="33"/>
      <c r="CM954" s="33"/>
      <c r="CN954" s="33"/>
      <c r="CO954" s="33"/>
      <c r="CP954" s="33"/>
      <c r="CQ954" s="33"/>
      <c r="CR954" s="33"/>
      <c r="CS954" s="33"/>
      <c r="CT954" s="33"/>
      <c r="CU954" s="33"/>
      <c r="CV954" s="33"/>
      <c r="CW954" s="33"/>
      <c r="CX954" s="33"/>
      <c r="CY954" s="33"/>
      <c r="CZ954" s="33"/>
      <c r="DA954" s="33"/>
      <c r="DB954" s="33"/>
      <c r="DC954" s="33"/>
      <c r="DD954" s="33"/>
      <c r="DE954" s="33"/>
      <c r="DF954" s="33"/>
      <c r="DG954" s="33"/>
      <c r="DH954" s="33"/>
      <c r="DI954" s="33"/>
      <c r="DJ954" s="33"/>
      <c r="DK954" s="33"/>
      <c r="DL954" s="33"/>
      <c r="DM954" s="33"/>
      <c r="DN954" s="33"/>
      <c r="DO954" s="33"/>
      <c r="DP954" s="33"/>
      <c r="DQ954" s="33"/>
      <c r="DR954" s="33"/>
      <c r="DS954" s="33"/>
      <c r="DT954" s="33"/>
      <c r="DU954" s="33"/>
      <c r="DV954" s="33"/>
      <c r="DW954" s="33"/>
      <c r="DX954" s="33"/>
      <c r="DY954" s="33"/>
      <c r="DZ954" s="33"/>
      <c r="EA954" s="33"/>
      <c r="EB954" s="33"/>
      <c r="EC954" s="33"/>
      <c r="ED954" s="33"/>
      <c r="EE954" s="33"/>
      <c r="EF954" s="33"/>
      <c r="EG954" s="33"/>
      <c r="EH954" s="33"/>
      <c r="EI954" s="33"/>
      <c r="EJ954" s="33"/>
      <c r="EK954" s="33"/>
      <c r="EL954" s="33"/>
      <c r="EM954" s="33"/>
      <c r="EN954" s="33"/>
      <c r="EO954" s="33"/>
      <c r="EP954" s="33"/>
      <c r="EQ954" s="33"/>
      <c r="ER954" s="33"/>
      <c r="ES954" s="33"/>
    </row>
    <row r="955">
      <c r="A955" s="33"/>
      <c r="B955" s="33"/>
      <c r="C955" s="33"/>
      <c r="D955" s="33"/>
      <c r="E955" s="33"/>
      <c r="F955" s="33"/>
      <c r="G955" s="85"/>
      <c r="H955" s="85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33"/>
      <c r="Y955" s="33"/>
      <c r="Z955" s="33"/>
      <c r="AA955" s="33"/>
      <c r="AB955" s="33"/>
      <c r="AC955" s="33"/>
      <c r="AD955" s="33"/>
      <c r="AE955" s="33"/>
      <c r="AF955" s="33"/>
      <c r="AG955" s="33"/>
      <c r="AH955" s="33"/>
      <c r="AI955" s="33"/>
      <c r="AJ955" s="33"/>
      <c r="AK955" s="33"/>
      <c r="AL955" s="33"/>
      <c r="AM955" s="33"/>
      <c r="AN955" s="33"/>
      <c r="AO955" s="33"/>
      <c r="AP955" s="33"/>
      <c r="AQ955" s="33"/>
      <c r="AR955" s="33"/>
      <c r="AS955" s="33"/>
      <c r="AT955" s="33"/>
      <c r="AU955" s="33"/>
      <c r="AV955" s="33"/>
      <c r="AW955" s="33"/>
      <c r="AX955" s="33"/>
      <c r="AY955" s="33"/>
      <c r="AZ955" s="33"/>
      <c r="BA955" s="33"/>
      <c r="BB955" s="33"/>
      <c r="BC955" s="33"/>
      <c r="BD955" s="33"/>
      <c r="BE955" s="33"/>
      <c r="BF955" s="33"/>
      <c r="BG955" s="33"/>
      <c r="BH955" s="33"/>
      <c r="BI955" s="33"/>
      <c r="BJ955" s="33"/>
      <c r="BK955" s="33"/>
      <c r="BL955" s="33"/>
      <c r="BM955" s="33"/>
      <c r="BN955" s="33"/>
      <c r="BO955" s="33"/>
      <c r="BP955" s="33"/>
      <c r="BQ955" s="33"/>
      <c r="BR955" s="33"/>
      <c r="BS955" s="33"/>
      <c r="BT955" s="33"/>
      <c r="BU955" s="33"/>
      <c r="BV955" s="33"/>
      <c r="BW955" s="33"/>
      <c r="BX955" s="33"/>
      <c r="BY955" s="33"/>
      <c r="BZ955" s="33"/>
      <c r="CA955" s="33"/>
      <c r="CB955" s="33"/>
      <c r="CC955" s="33"/>
      <c r="CD955" s="33"/>
      <c r="CE955" s="33"/>
      <c r="CF955" s="33"/>
      <c r="CG955" s="33"/>
      <c r="CH955" s="33"/>
      <c r="CI955" s="33"/>
      <c r="CJ955" s="33"/>
      <c r="CK955" s="33"/>
      <c r="CL955" s="33"/>
      <c r="CM955" s="33"/>
      <c r="CN955" s="33"/>
      <c r="CO955" s="33"/>
      <c r="CP955" s="33"/>
      <c r="CQ955" s="33"/>
      <c r="CR955" s="33"/>
      <c r="CS955" s="33"/>
      <c r="CT955" s="33"/>
      <c r="CU955" s="33"/>
      <c r="CV955" s="33"/>
      <c r="CW955" s="33"/>
      <c r="CX955" s="33"/>
      <c r="CY955" s="33"/>
      <c r="CZ955" s="33"/>
      <c r="DA955" s="33"/>
      <c r="DB955" s="33"/>
      <c r="DC955" s="33"/>
      <c r="DD955" s="33"/>
      <c r="DE955" s="33"/>
      <c r="DF955" s="33"/>
      <c r="DG955" s="33"/>
      <c r="DH955" s="33"/>
      <c r="DI955" s="33"/>
      <c r="DJ955" s="33"/>
      <c r="DK955" s="33"/>
      <c r="DL955" s="33"/>
      <c r="DM955" s="33"/>
      <c r="DN955" s="33"/>
      <c r="DO955" s="33"/>
      <c r="DP955" s="33"/>
      <c r="DQ955" s="33"/>
      <c r="DR955" s="33"/>
      <c r="DS955" s="33"/>
      <c r="DT955" s="33"/>
      <c r="DU955" s="33"/>
      <c r="DV955" s="33"/>
      <c r="DW955" s="33"/>
      <c r="DX955" s="33"/>
      <c r="DY955" s="33"/>
      <c r="DZ955" s="33"/>
      <c r="EA955" s="33"/>
      <c r="EB955" s="33"/>
      <c r="EC955" s="33"/>
      <c r="ED955" s="33"/>
      <c r="EE955" s="33"/>
      <c r="EF955" s="33"/>
      <c r="EG955" s="33"/>
      <c r="EH955" s="33"/>
      <c r="EI955" s="33"/>
      <c r="EJ955" s="33"/>
      <c r="EK955" s="33"/>
      <c r="EL955" s="33"/>
      <c r="EM955" s="33"/>
      <c r="EN955" s="33"/>
      <c r="EO955" s="33"/>
      <c r="EP955" s="33"/>
      <c r="EQ955" s="33"/>
      <c r="ER955" s="33"/>
      <c r="ES955" s="33"/>
    </row>
    <row r="956">
      <c r="A956" s="33"/>
      <c r="B956" s="33"/>
      <c r="C956" s="33"/>
      <c r="D956" s="33"/>
      <c r="E956" s="33"/>
      <c r="F956" s="33"/>
      <c r="G956" s="85"/>
      <c r="H956" s="85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33"/>
      <c r="Y956" s="33"/>
      <c r="Z956" s="33"/>
      <c r="AA956" s="33"/>
      <c r="AB956" s="33"/>
      <c r="AC956" s="33"/>
      <c r="AD956" s="33"/>
      <c r="AE956" s="33"/>
      <c r="AF956" s="33"/>
      <c r="AG956" s="33"/>
      <c r="AH956" s="33"/>
      <c r="AI956" s="33"/>
      <c r="AJ956" s="33"/>
      <c r="AK956" s="33"/>
      <c r="AL956" s="33"/>
      <c r="AM956" s="33"/>
      <c r="AN956" s="33"/>
      <c r="AO956" s="33"/>
      <c r="AP956" s="33"/>
      <c r="AQ956" s="33"/>
      <c r="AR956" s="33"/>
      <c r="AS956" s="33"/>
      <c r="AT956" s="33"/>
      <c r="AU956" s="33"/>
      <c r="AV956" s="33"/>
      <c r="AW956" s="33"/>
      <c r="AX956" s="33"/>
      <c r="AY956" s="33"/>
      <c r="AZ956" s="33"/>
      <c r="BA956" s="33"/>
      <c r="BB956" s="33"/>
      <c r="BC956" s="33"/>
      <c r="BD956" s="33"/>
      <c r="BE956" s="33"/>
      <c r="BF956" s="33"/>
      <c r="BG956" s="33"/>
      <c r="BH956" s="33"/>
      <c r="BI956" s="33"/>
      <c r="BJ956" s="33"/>
      <c r="BK956" s="33"/>
      <c r="BL956" s="33"/>
      <c r="BM956" s="33"/>
      <c r="BN956" s="33"/>
      <c r="BO956" s="33"/>
      <c r="BP956" s="33"/>
      <c r="BQ956" s="33"/>
      <c r="BR956" s="33"/>
      <c r="BS956" s="33"/>
      <c r="BT956" s="33"/>
      <c r="BU956" s="33"/>
      <c r="BV956" s="33"/>
      <c r="BW956" s="33"/>
      <c r="BX956" s="33"/>
      <c r="BY956" s="33"/>
      <c r="BZ956" s="33"/>
      <c r="CA956" s="33"/>
      <c r="CB956" s="33"/>
      <c r="CC956" s="33"/>
      <c r="CD956" s="33"/>
      <c r="CE956" s="33"/>
      <c r="CF956" s="33"/>
      <c r="CG956" s="33"/>
      <c r="CH956" s="33"/>
      <c r="CI956" s="33"/>
      <c r="CJ956" s="33"/>
      <c r="CK956" s="33"/>
      <c r="CL956" s="33"/>
      <c r="CM956" s="33"/>
      <c r="CN956" s="33"/>
      <c r="CO956" s="33"/>
      <c r="CP956" s="33"/>
      <c r="CQ956" s="33"/>
      <c r="CR956" s="33"/>
      <c r="CS956" s="33"/>
      <c r="CT956" s="33"/>
      <c r="CU956" s="33"/>
      <c r="CV956" s="33"/>
      <c r="CW956" s="33"/>
      <c r="CX956" s="33"/>
      <c r="CY956" s="33"/>
      <c r="CZ956" s="33"/>
      <c r="DA956" s="33"/>
      <c r="DB956" s="33"/>
      <c r="DC956" s="33"/>
      <c r="DD956" s="33"/>
      <c r="DE956" s="33"/>
      <c r="DF956" s="33"/>
      <c r="DG956" s="33"/>
      <c r="DH956" s="33"/>
      <c r="DI956" s="33"/>
      <c r="DJ956" s="33"/>
      <c r="DK956" s="33"/>
      <c r="DL956" s="33"/>
      <c r="DM956" s="33"/>
      <c r="DN956" s="33"/>
      <c r="DO956" s="33"/>
      <c r="DP956" s="33"/>
      <c r="DQ956" s="33"/>
      <c r="DR956" s="33"/>
      <c r="DS956" s="33"/>
      <c r="DT956" s="33"/>
      <c r="DU956" s="33"/>
      <c r="DV956" s="33"/>
      <c r="DW956" s="33"/>
      <c r="DX956" s="33"/>
      <c r="DY956" s="33"/>
      <c r="DZ956" s="33"/>
      <c r="EA956" s="33"/>
      <c r="EB956" s="33"/>
      <c r="EC956" s="33"/>
      <c r="ED956" s="33"/>
      <c r="EE956" s="33"/>
      <c r="EF956" s="33"/>
      <c r="EG956" s="33"/>
      <c r="EH956" s="33"/>
      <c r="EI956" s="33"/>
      <c r="EJ956" s="33"/>
      <c r="EK956" s="33"/>
      <c r="EL956" s="33"/>
      <c r="EM956" s="33"/>
      <c r="EN956" s="33"/>
      <c r="EO956" s="33"/>
      <c r="EP956" s="33"/>
      <c r="EQ956" s="33"/>
      <c r="ER956" s="33"/>
      <c r="ES956" s="33"/>
    </row>
    <row r="957">
      <c r="A957" s="33"/>
      <c r="B957" s="33"/>
      <c r="C957" s="33"/>
      <c r="D957" s="33"/>
      <c r="E957" s="33"/>
      <c r="F957" s="33"/>
      <c r="G957" s="85"/>
      <c r="H957" s="85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33"/>
      <c r="Y957" s="33"/>
      <c r="Z957" s="33"/>
      <c r="AA957" s="33"/>
      <c r="AB957" s="33"/>
      <c r="AC957" s="33"/>
      <c r="AD957" s="33"/>
      <c r="AE957" s="33"/>
      <c r="AF957" s="33"/>
      <c r="AG957" s="33"/>
      <c r="AH957" s="33"/>
      <c r="AI957" s="33"/>
      <c r="AJ957" s="33"/>
      <c r="AK957" s="33"/>
      <c r="AL957" s="33"/>
      <c r="AM957" s="33"/>
      <c r="AN957" s="33"/>
      <c r="AO957" s="33"/>
      <c r="AP957" s="33"/>
      <c r="AQ957" s="33"/>
      <c r="AR957" s="33"/>
      <c r="AS957" s="33"/>
      <c r="AT957" s="33"/>
      <c r="AU957" s="33"/>
      <c r="AV957" s="33"/>
      <c r="AW957" s="33"/>
      <c r="AX957" s="33"/>
      <c r="AY957" s="33"/>
      <c r="AZ957" s="33"/>
      <c r="BA957" s="33"/>
      <c r="BB957" s="33"/>
      <c r="BC957" s="33"/>
      <c r="BD957" s="33"/>
      <c r="BE957" s="33"/>
      <c r="BF957" s="33"/>
      <c r="BG957" s="33"/>
      <c r="BH957" s="33"/>
      <c r="BI957" s="33"/>
      <c r="BJ957" s="33"/>
      <c r="BK957" s="33"/>
      <c r="BL957" s="33"/>
      <c r="BM957" s="33"/>
      <c r="BN957" s="33"/>
      <c r="BO957" s="33"/>
      <c r="BP957" s="33"/>
      <c r="BQ957" s="33"/>
      <c r="BR957" s="33"/>
      <c r="BS957" s="33"/>
      <c r="BT957" s="33"/>
      <c r="BU957" s="33"/>
      <c r="BV957" s="33"/>
      <c r="BW957" s="33"/>
      <c r="BX957" s="33"/>
      <c r="BY957" s="33"/>
      <c r="BZ957" s="33"/>
      <c r="CA957" s="33"/>
      <c r="CB957" s="33"/>
      <c r="CC957" s="33"/>
      <c r="CD957" s="33"/>
      <c r="CE957" s="33"/>
      <c r="CF957" s="33"/>
      <c r="CG957" s="33"/>
      <c r="CH957" s="33"/>
      <c r="CI957" s="33"/>
      <c r="CJ957" s="33"/>
      <c r="CK957" s="33"/>
      <c r="CL957" s="33"/>
      <c r="CM957" s="33"/>
      <c r="CN957" s="33"/>
      <c r="CO957" s="33"/>
      <c r="CP957" s="33"/>
      <c r="CQ957" s="33"/>
      <c r="CR957" s="33"/>
      <c r="CS957" s="33"/>
      <c r="CT957" s="33"/>
      <c r="CU957" s="33"/>
      <c r="CV957" s="33"/>
      <c r="CW957" s="33"/>
      <c r="CX957" s="33"/>
      <c r="CY957" s="33"/>
      <c r="CZ957" s="33"/>
      <c r="DA957" s="33"/>
      <c r="DB957" s="33"/>
      <c r="DC957" s="33"/>
      <c r="DD957" s="33"/>
      <c r="DE957" s="33"/>
      <c r="DF957" s="33"/>
      <c r="DG957" s="33"/>
      <c r="DH957" s="33"/>
      <c r="DI957" s="33"/>
      <c r="DJ957" s="33"/>
      <c r="DK957" s="33"/>
      <c r="DL957" s="33"/>
      <c r="DM957" s="33"/>
      <c r="DN957" s="33"/>
      <c r="DO957" s="33"/>
      <c r="DP957" s="33"/>
      <c r="DQ957" s="33"/>
      <c r="DR957" s="33"/>
      <c r="DS957" s="33"/>
      <c r="DT957" s="33"/>
      <c r="DU957" s="33"/>
      <c r="DV957" s="33"/>
      <c r="DW957" s="33"/>
      <c r="DX957" s="33"/>
      <c r="DY957" s="33"/>
      <c r="DZ957" s="33"/>
      <c r="EA957" s="33"/>
      <c r="EB957" s="33"/>
      <c r="EC957" s="33"/>
      <c r="ED957" s="33"/>
      <c r="EE957" s="33"/>
      <c r="EF957" s="33"/>
      <c r="EG957" s="33"/>
      <c r="EH957" s="33"/>
      <c r="EI957" s="33"/>
      <c r="EJ957" s="33"/>
      <c r="EK957" s="33"/>
      <c r="EL957" s="33"/>
      <c r="EM957" s="33"/>
      <c r="EN957" s="33"/>
      <c r="EO957" s="33"/>
      <c r="EP957" s="33"/>
      <c r="EQ957" s="33"/>
      <c r="ER957" s="33"/>
      <c r="ES957" s="33"/>
    </row>
    <row r="958">
      <c r="A958" s="33"/>
      <c r="B958" s="33"/>
      <c r="C958" s="33"/>
      <c r="D958" s="33"/>
      <c r="E958" s="33"/>
      <c r="F958" s="33"/>
      <c r="G958" s="85"/>
      <c r="H958" s="85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33"/>
      <c r="Y958" s="33"/>
      <c r="Z958" s="33"/>
      <c r="AA958" s="33"/>
      <c r="AB958" s="33"/>
      <c r="AC958" s="33"/>
      <c r="AD958" s="33"/>
      <c r="AE958" s="33"/>
      <c r="AF958" s="33"/>
      <c r="AG958" s="33"/>
      <c r="AH958" s="33"/>
      <c r="AI958" s="33"/>
      <c r="AJ958" s="33"/>
      <c r="AK958" s="33"/>
      <c r="AL958" s="33"/>
      <c r="AM958" s="33"/>
      <c r="AN958" s="33"/>
      <c r="AO958" s="33"/>
      <c r="AP958" s="33"/>
      <c r="AQ958" s="33"/>
      <c r="AR958" s="33"/>
      <c r="AS958" s="33"/>
      <c r="AT958" s="33"/>
      <c r="AU958" s="33"/>
      <c r="AV958" s="33"/>
      <c r="AW958" s="33"/>
      <c r="AX958" s="33"/>
      <c r="AY958" s="33"/>
      <c r="AZ958" s="33"/>
      <c r="BA958" s="33"/>
      <c r="BB958" s="33"/>
      <c r="BC958" s="33"/>
      <c r="BD958" s="33"/>
      <c r="BE958" s="33"/>
      <c r="BF958" s="33"/>
      <c r="BG958" s="33"/>
      <c r="BH958" s="33"/>
      <c r="BI958" s="33"/>
      <c r="BJ958" s="33"/>
      <c r="BK958" s="33"/>
      <c r="BL958" s="33"/>
      <c r="BM958" s="33"/>
      <c r="BN958" s="33"/>
      <c r="BO958" s="33"/>
      <c r="BP958" s="33"/>
      <c r="BQ958" s="33"/>
      <c r="BR958" s="33"/>
      <c r="BS958" s="33"/>
      <c r="BT958" s="33"/>
      <c r="BU958" s="33"/>
      <c r="BV958" s="33"/>
      <c r="BW958" s="33"/>
      <c r="BX958" s="33"/>
      <c r="BY958" s="33"/>
      <c r="BZ958" s="33"/>
      <c r="CA958" s="33"/>
      <c r="CB958" s="33"/>
      <c r="CC958" s="33"/>
      <c r="CD958" s="33"/>
      <c r="CE958" s="33"/>
      <c r="CF958" s="33"/>
      <c r="CG958" s="33"/>
      <c r="CH958" s="33"/>
      <c r="CI958" s="33"/>
      <c r="CJ958" s="33"/>
      <c r="CK958" s="33"/>
      <c r="CL958" s="33"/>
      <c r="CM958" s="33"/>
      <c r="CN958" s="33"/>
      <c r="CO958" s="33"/>
      <c r="CP958" s="33"/>
      <c r="CQ958" s="33"/>
      <c r="CR958" s="33"/>
      <c r="CS958" s="33"/>
      <c r="CT958" s="33"/>
      <c r="CU958" s="33"/>
      <c r="CV958" s="33"/>
      <c r="CW958" s="33"/>
      <c r="CX958" s="33"/>
      <c r="CY958" s="33"/>
      <c r="CZ958" s="33"/>
      <c r="DA958" s="33"/>
      <c r="DB958" s="33"/>
      <c r="DC958" s="33"/>
      <c r="DD958" s="33"/>
      <c r="DE958" s="33"/>
      <c r="DF958" s="33"/>
      <c r="DG958" s="33"/>
      <c r="DH958" s="33"/>
      <c r="DI958" s="33"/>
      <c r="DJ958" s="33"/>
      <c r="DK958" s="33"/>
      <c r="DL958" s="33"/>
      <c r="DM958" s="33"/>
      <c r="DN958" s="33"/>
      <c r="DO958" s="33"/>
      <c r="DP958" s="33"/>
      <c r="DQ958" s="33"/>
      <c r="DR958" s="33"/>
      <c r="DS958" s="33"/>
      <c r="DT958" s="33"/>
      <c r="DU958" s="33"/>
      <c r="DV958" s="33"/>
      <c r="DW958" s="33"/>
      <c r="DX958" s="33"/>
      <c r="DY958" s="33"/>
      <c r="DZ958" s="33"/>
      <c r="EA958" s="33"/>
      <c r="EB958" s="33"/>
      <c r="EC958" s="33"/>
      <c r="ED958" s="33"/>
      <c r="EE958" s="33"/>
      <c r="EF958" s="33"/>
      <c r="EG958" s="33"/>
      <c r="EH958" s="33"/>
      <c r="EI958" s="33"/>
      <c r="EJ958" s="33"/>
      <c r="EK958" s="33"/>
      <c r="EL958" s="33"/>
      <c r="EM958" s="33"/>
      <c r="EN958" s="33"/>
      <c r="EO958" s="33"/>
      <c r="EP958" s="33"/>
      <c r="EQ958" s="33"/>
      <c r="ER958" s="33"/>
      <c r="ES958" s="33"/>
    </row>
    <row r="959">
      <c r="A959" s="33"/>
      <c r="B959" s="33"/>
      <c r="C959" s="33"/>
      <c r="D959" s="33"/>
      <c r="E959" s="33"/>
      <c r="F959" s="33"/>
      <c r="G959" s="85"/>
      <c r="H959" s="85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33"/>
      <c r="Y959" s="33"/>
      <c r="Z959" s="33"/>
      <c r="AA959" s="33"/>
      <c r="AB959" s="33"/>
      <c r="AC959" s="33"/>
      <c r="AD959" s="33"/>
      <c r="AE959" s="33"/>
      <c r="AF959" s="33"/>
      <c r="AG959" s="33"/>
      <c r="AH959" s="33"/>
      <c r="AI959" s="33"/>
      <c r="AJ959" s="33"/>
      <c r="AK959" s="33"/>
      <c r="AL959" s="33"/>
      <c r="AM959" s="33"/>
      <c r="AN959" s="33"/>
      <c r="AO959" s="33"/>
      <c r="AP959" s="33"/>
      <c r="AQ959" s="33"/>
      <c r="AR959" s="33"/>
      <c r="AS959" s="33"/>
      <c r="AT959" s="33"/>
      <c r="AU959" s="33"/>
      <c r="AV959" s="33"/>
      <c r="AW959" s="33"/>
      <c r="AX959" s="33"/>
      <c r="AY959" s="33"/>
      <c r="AZ959" s="33"/>
      <c r="BA959" s="33"/>
      <c r="BB959" s="33"/>
      <c r="BC959" s="33"/>
      <c r="BD959" s="33"/>
      <c r="BE959" s="33"/>
      <c r="BF959" s="33"/>
      <c r="BG959" s="33"/>
      <c r="BH959" s="33"/>
      <c r="BI959" s="33"/>
      <c r="BJ959" s="33"/>
      <c r="BK959" s="33"/>
      <c r="BL959" s="33"/>
      <c r="BM959" s="33"/>
      <c r="BN959" s="33"/>
      <c r="BO959" s="33"/>
      <c r="BP959" s="33"/>
      <c r="BQ959" s="33"/>
      <c r="BR959" s="33"/>
      <c r="BS959" s="33"/>
      <c r="BT959" s="33"/>
      <c r="BU959" s="33"/>
      <c r="BV959" s="33"/>
      <c r="BW959" s="33"/>
      <c r="BX959" s="33"/>
      <c r="BY959" s="33"/>
      <c r="BZ959" s="33"/>
      <c r="CA959" s="33"/>
      <c r="CB959" s="33"/>
      <c r="CC959" s="33"/>
      <c r="CD959" s="33"/>
      <c r="CE959" s="33"/>
      <c r="CF959" s="33"/>
      <c r="CG959" s="33"/>
      <c r="CH959" s="33"/>
      <c r="CI959" s="33"/>
      <c r="CJ959" s="33"/>
      <c r="CK959" s="33"/>
      <c r="CL959" s="33"/>
      <c r="CM959" s="33"/>
      <c r="CN959" s="33"/>
      <c r="CO959" s="33"/>
      <c r="CP959" s="33"/>
      <c r="CQ959" s="33"/>
      <c r="CR959" s="33"/>
      <c r="CS959" s="33"/>
      <c r="CT959" s="33"/>
      <c r="CU959" s="33"/>
      <c r="CV959" s="33"/>
      <c r="CW959" s="33"/>
      <c r="CX959" s="33"/>
      <c r="CY959" s="33"/>
      <c r="CZ959" s="33"/>
      <c r="DA959" s="33"/>
      <c r="DB959" s="33"/>
      <c r="DC959" s="33"/>
      <c r="DD959" s="33"/>
      <c r="DE959" s="33"/>
      <c r="DF959" s="33"/>
      <c r="DG959" s="33"/>
      <c r="DH959" s="33"/>
      <c r="DI959" s="33"/>
      <c r="DJ959" s="33"/>
      <c r="DK959" s="33"/>
      <c r="DL959" s="33"/>
      <c r="DM959" s="33"/>
      <c r="DN959" s="33"/>
      <c r="DO959" s="33"/>
      <c r="DP959" s="33"/>
      <c r="DQ959" s="33"/>
      <c r="DR959" s="33"/>
      <c r="DS959" s="33"/>
      <c r="DT959" s="33"/>
      <c r="DU959" s="33"/>
      <c r="DV959" s="33"/>
      <c r="DW959" s="33"/>
      <c r="DX959" s="33"/>
      <c r="DY959" s="33"/>
      <c r="DZ959" s="33"/>
      <c r="EA959" s="33"/>
      <c r="EB959" s="33"/>
      <c r="EC959" s="33"/>
      <c r="ED959" s="33"/>
      <c r="EE959" s="33"/>
      <c r="EF959" s="33"/>
      <c r="EG959" s="33"/>
      <c r="EH959" s="33"/>
      <c r="EI959" s="33"/>
      <c r="EJ959" s="33"/>
      <c r="EK959" s="33"/>
      <c r="EL959" s="33"/>
      <c r="EM959" s="33"/>
      <c r="EN959" s="33"/>
      <c r="EO959" s="33"/>
      <c r="EP959" s="33"/>
      <c r="EQ959" s="33"/>
      <c r="ER959" s="33"/>
      <c r="ES959" s="33"/>
    </row>
    <row r="960">
      <c r="A960" s="33"/>
      <c r="B960" s="33"/>
      <c r="C960" s="33"/>
      <c r="D960" s="33"/>
      <c r="E960" s="33"/>
      <c r="F960" s="33"/>
      <c r="G960" s="85"/>
      <c r="H960" s="85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33"/>
      <c r="Y960" s="33"/>
      <c r="Z960" s="33"/>
      <c r="AA960" s="33"/>
      <c r="AB960" s="33"/>
      <c r="AC960" s="33"/>
      <c r="AD960" s="33"/>
      <c r="AE960" s="33"/>
      <c r="AF960" s="33"/>
      <c r="AG960" s="33"/>
      <c r="AH960" s="33"/>
      <c r="AI960" s="33"/>
      <c r="AJ960" s="33"/>
      <c r="AK960" s="33"/>
      <c r="AL960" s="33"/>
      <c r="AM960" s="33"/>
      <c r="AN960" s="33"/>
      <c r="AO960" s="33"/>
      <c r="AP960" s="33"/>
      <c r="AQ960" s="33"/>
      <c r="AR960" s="33"/>
      <c r="AS960" s="33"/>
      <c r="AT960" s="33"/>
      <c r="AU960" s="33"/>
      <c r="AV960" s="33"/>
      <c r="AW960" s="33"/>
      <c r="AX960" s="33"/>
      <c r="AY960" s="33"/>
      <c r="AZ960" s="33"/>
      <c r="BA960" s="33"/>
      <c r="BB960" s="33"/>
      <c r="BC960" s="33"/>
      <c r="BD960" s="33"/>
      <c r="BE960" s="33"/>
      <c r="BF960" s="33"/>
      <c r="BG960" s="33"/>
      <c r="BH960" s="33"/>
      <c r="BI960" s="33"/>
      <c r="BJ960" s="33"/>
      <c r="BK960" s="33"/>
      <c r="BL960" s="33"/>
      <c r="BM960" s="33"/>
      <c r="BN960" s="33"/>
      <c r="BO960" s="33"/>
      <c r="BP960" s="33"/>
      <c r="BQ960" s="33"/>
      <c r="BR960" s="33"/>
      <c r="BS960" s="33"/>
      <c r="BT960" s="33"/>
      <c r="BU960" s="33"/>
      <c r="BV960" s="33"/>
      <c r="BW960" s="33"/>
      <c r="BX960" s="33"/>
      <c r="BY960" s="33"/>
      <c r="BZ960" s="33"/>
      <c r="CA960" s="33"/>
      <c r="CB960" s="33"/>
      <c r="CC960" s="33"/>
      <c r="CD960" s="33"/>
      <c r="CE960" s="33"/>
      <c r="CF960" s="33"/>
      <c r="CG960" s="33"/>
      <c r="CH960" s="33"/>
      <c r="CI960" s="33"/>
      <c r="CJ960" s="33"/>
      <c r="CK960" s="33"/>
      <c r="CL960" s="33"/>
      <c r="CM960" s="33"/>
      <c r="CN960" s="33"/>
      <c r="CO960" s="33"/>
      <c r="CP960" s="33"/>
      <c r="CQ960" s="33"/>
      <c r="CR960" s="33"/>
      <c r="CS960" s="33"/>
      <c r="CT960" s="33"/>
      <c r="CU960" s="33"/>
      <c r="CV960" s="33"/>
      <c r="CW960" s="33"/>
      <c r="CX960" s="33"/>
      <c r="CY960" s="33"/>
      <c r="CZ960" s="33"/>
      <c r="DA960" s="33"/>
      <c r="DB960" s="33"/>
      <c r="DC960" s="33"/>
      <c r="DD960" s="33"/>
      <c r="DE960" s="33"/>
      <c r="DF960" s="33"/>
      <c r="DG960" s="33"/>
      <c r="DH960" s="33"/>
      <c r="DI960" s="33"/>
      <c r="DJ960" s="33"/>
      <c r="DK960" s="33"/>
      <c r="DL960" s="33"/>
      <c r="DM960" s="33"/>
      <c r="DN960" s="33"/>
      <c r="DO960" s="33"/>
      <c r="DP960" s="33"/>
      <c r="DQ960" s="33"/>
      <c r="DR960" s="33"/>
      <c r="DS960" s="33"/>
      <c r="DT960" s="33"/>
      <c r="DU960" s="33"/>
      <c r="DV960" s="33"/>
      <c r="DW960" s="33"/>
      <c r="DX960" s="33"/>
      <c r="DY960" s="33"/>
      <c r="DZ960" s="33"/>
      <c r="EA960" s="33"/>
      <c r="EB960" s="33"/>
      <c r="EC960" s="33"/>
      <c r="ED960" s="33"/>
      <c r="EE960" s="33"/>
      <c r="EF960" s="33"/>
      <c r="EG960" s="33"/>
      <c r="EH960" s="33"/>
      <c r="EI960" s="33"/>
      <c r="EJ960" s="33"/>
      <c r="EK960" s="33"/>
      <c r="EL960" s="33"/>
      <c r="EM960" s="33"/>
      <c r="EN960" s="33"/>
      <c r="EO960" s="33"/>
      <c r="EP960" s="33"/>
      <c r="EQ960" s="33"/>
      <c r="ER960" s="33"/>
      <c r="ES960" s="33"/>
    </row>
    <row r="961">
      <c r="A961" s="33"/>
      <c r="B961" s="33"/>
      <c r="C961" s="33"/>
      <c r="D961" s="33"/>
      <c r="E961" s="33"/>
      <c r="F961" s="33"/>
      <c r="G961" s="85"/>
      <c r="H961" s="85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33"/>
      <c r="Y961" s="33"/>
      <c r="Z961" s="33"/>
      <c r="AA961" s="33"/>
      <c r="AB961" s="33"/>
      <c r="AC961" s="33"/>
      <c r="AD961" s="33"/>
      <c r="AE961" s="33"/>
      <c r="AF961" s="33"/>
      <c r="AG961" s="33"/>
      <c r="AH961" s="33"/>
      <c r="AI961" s="33"/>
      <c r="AJ961" s="33"/>
      <c r="AK961" s="33"/>
      <c r="AL961" s="33"/>
      <c r="AM961" s="33"/>
      <c r="AN961" s="33"/>
      <c r="AO961" s="33"/>
      <c r="AP961" s="33"/>
      <c r="AQ961" s="33"/>
      <c r="AR961" s="33"/>
      <c r="AS961" s="33"/>
      <c r="AT961" s="33"/>
      <c r="AU961" s="33"/>
      <c r="AV961" s="33"/>
      <c r="AW961" s="33"/>
      <c r="AX961" s="33"/>
      <c r="AY961" s="33"/>
      <c r="AZ961" s="33"/>
      <c r="BA961" s="33"/>
      <c r="BB961" s="33"/>
      <c r="BC961" s="33"/>
      <c r="BD961" s="33"/>
      <c r="BE961" s="33"/>
      <c r="BF961" s="33"/>
      <c r="BG961" s="33"/>
      <c r="BH961" s="33"/>
      <c r="BI961" s="33"/>
      <c r="BJ961" s="33"/>
      <c r="BK961" s="33"/>
      <c r="BL961" s="33"/>
      <c r="BM961" s="33"/>
      <c r="BN961" s="33"/>
      <c r="BO961" s="33"/>
      <c r="BP961" s="33"/>
      <c r="BQ961" s="33"/>
      <c r="BR961" s="33"/>
      <c r="BS961" s="33"/>
      <c r="BT961" s="33"/>
      <c r="BU961" s="33"/>
      <c r="BV961" s="33"/>
      <c r="BW961" s="33"/>
      <c r="BX961" s="33"/>
      <c r="BY961" s="33"/>
      <c r="BZ961" s="33"/>
      <c r="CA961" s="33"/>
      <c r="CB961" s="33"/>
      <c r="CC961" s="33"/>
      <c r="CD961" s="33"/>
      <c r="CE961" s="33"/>
      <c r="CF961" s="33"/>
      <c r="CG961" s="33"/>
      <c r="CH961" s="33"/>
      <c r="CI961" s="33"/>
      <c r="CJ961" s="33"/>
      <c r="CK961" s="33"/>
      <c r="CL961" s="33"/>
      <c r="CM961" s="33"/>
      <c r="CN961" s="33"/>
      <c r="CO961" s="33"/>
      <c r="CP961" s="33"/>
      <c r="CQ961" s="33"/>
      <c r="CR961" s="33"/>
      <c r="CS961" s="33"/>
      <c r="CT961" s="33"/>
      <c r="CU961" s="33"/>
      <c r="CV961" s="33"/>
      <c r="CW961" s="33"/>
      <c r="CX961" s="33"/>
      <c r="CY961" s="33"/>
      <c r="CZ961" s="33"/>
      <c r="DA961" s="33"/>
      <c r="DB961" s="33"/>
      <c r="DC961" s="33"/>
      <c r="DD961" s="33"/>
      <c r="DE961" s="33"/>
      <c r="DF961" s="33"/>
      <c r="DG961" s="33"/>
      <c r="DH961" s="33"/>
      <c r="DI961" s="33"/>
      <c r="DJ961" s="33"/>
      <c r="DK961" s="33"/>
      <c r="DL961" s="33"/>
      <c r="DM961" s="33"/>
      <c r="DN961" s="33"/>
      <c r="DO961" s="33"/>
      <c r="DP961" s="33"/>
      <c r="DQ961" s="33"/>
      <c r="DR961" s="33"/>
      <c r="DS961" s="33"/>
      <c r="DT961" s="33"/>
      <c r="DU961" s="33"/>
      <c r="DV961" s="33"/>
      <c r="DW961" s="33"/>
      <c r="DX961" s="33"/>
      <c r="DY961" s="33"/>
      <c r="DZ961" s="33"/>
      <c r="EA961" s="33"/>
      <c r="EB961" s="33"/>
      <c r="EC961" s="33"/>
      <c r="ED961" s="33"/>
      <c r="EE961" s="33"/>
      <c r="EF961" s="33"/>
      <c r="EG961" s="33"/>
      <c r="EH961" s="33"/>
      <c r="EI961" s="33"/>
      <c r="EJ961" s="33"/>
      <c r="EK961" s="33"/>
      <c r="EL961" s="33"/>
      <c r="EM961" s="33"/>
      <c r="EN961" s="33"/>
      <c r="EO961" s="33"/>
      <c r="EP961" s="33"/>
      <c r="EQ961" s="33"/>
      <c r="ER961" s="33"/>
      <c r="ES961" s="33"/>
    </row>
    <row r="962">
      <c r="A962" s="33"/>
      <c r="B962" s="33"/>
      <c r="C962" s="33"/>
      <c r="D962" s="33"/>
      <c r="E962" s="33"/>
      <c r="F962" s="33"/>
      <c r="G962" s="85"/>
      <c r="H962" s="85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33"/>
      <c r="Y962" s="33"/>
      <c r="Z962" s="33"/>
      <c r="AA962" s="33"/>
      <c r="AB962" s="33"/>
      <c r="AC962" s="33"/>
      <c r="AD962" s="33"/>
      <c r="AE962" s="33"/>
      <c r="AF962" s="33"/>
      <c r="AG962" s="33"/>
      <c r="AH962" s="33"/>
      <c r="AI962" s="33"/>
      <c r="AJ962" s="33"/>
      <c r="AK962" s="33"/>
      <c r="AL962" s="33"/>
      <c r="AM962" s="33"/>
      <c r="AN962" s="33"/>
      <c r="AO962" s="33"/>
      <c r="AP962" s="33"/>
      <c r="AQ962" s="33"/>
      <c r="AR962" s="33"/>
      <c r="AS962" s="33"/>
      <c r="AT962" s="33"/>
      <c r="AU962" s="33"/>
      <c r="AV962" s="33"/>
      <c r="AW962" s="33"/>
      <c r="AX962" s="33"/>
      <c r="AY962" s="33"/>
      <c r="AZ962" s="33"/>
      <c r="BA962" s="33"/>
      <c r="BB962" s="33"/>
      <c r="BC962" s="33"/>
      <c r="BD962" s="33"/>
      <c r="BE962" s="33"/>
      <c r="BF962" s="33"/>
      <c r="BG962" s="33"/>
      <c r="BH962" s="33"/>
      <c r="BI962" s="33"/>
      <c r="BJ962" s="33"/>
      <c r="BK962" s="33"/>
      <c r="BL962" s="33"/>
      <c r="BM962" s="33"/>
      <c r="BN962" s="33"/>
      <c r="BO962" s="33"/>
      <c r="BP962" s="33"/>
      <c r="BQ962" s="33"/>
      <c r="BR962" s="33"/>
      <c r="BS962" s="33"/>
      <c r="BT962" s="33"/>
      <c r="BU962" s="33"/>
      <c r="BV962" s="33"/>
      <c r="BW962" s="33"/>
      <c r="BX962" s="33"/>
      <c r="BY962" s="33"/>
      <c r="BZ962" s="33"/>
      <c r="CA962" s="33"/>
      <c r="CB962" s="33"/>
      <c r="CC962" s="33"/>
      <c r="CD962" s="33"/>
      <c r="CE962" s="33"/>
      <c r="CF962" s="33"/>
      <c r="CG962" s="33"/>
      <c r="CH962" s="33"/>
      <c r="CI962" s="33"/>
      <c r="CJ962" s="33"/>
      <c r="CK962" s="33"/>
      <c r="CL962" s="33"/>
      <c r="CM962" s="33"/>
      <c r="CN962" s="33"/>
      <c r="CO962" s="33"/>
      <c r="CP962" s="33"/>
      <c r="CQ962" s="33"/>
      <c r="CR962" s="33"/>
      <c r="CS962" s="33"/>
      <c r="CT962" s="33"/>
      <c r="CU962" s="33"/>
      <c r="CV962" s="33"/>
      <c r="CW962" s="33"/>
      <c r="CX962" s="33"/>
      <c r="CY962" s="33"/>
      <c r="CZ962" s="33"/>
      <c r="DA962" s="33"/>
      <c r="DB962" s="33"/>
      <c r="DC962" s="33"/>
      <c r="DD962" s="33"/>
      <c r="DE962" s="33"/>
      <c r="DF962" s="33"/>
      <c r="DG962" s="33"/>
      <c r="DH962" s="33"/>
      <c r="DI962" s="33"/>
      <c r="DJ962" s="33"/>
      <c r="DK962" s="33"/>
      <c r="DL962" s="33"/>
      <c r="DM962" s="33"/>
      <c r="DN962" s="33"/>
      <c r="DO962" s="33"/>
      <c r="DP962" s="33"/>
      <c r="DQ962" s="33"/>
      <c r="DR962" s="33"/>
      <c r="DS962" s="33"/>
      <c r="DT962" s="33"/>
      <c r="DU962" s="33"/>
      <c r="DV962" s="33"/>
      <c r="DW962" s="33"/>
      <c r="DX962" s="33"/>
      <c r="DY962" s="33"/>
      <c r="DZ962" s="33"/>
      <c r="EA962" s="33"/>
      <c r="EB962" s="33"/>
      <c r="EC962" s="33"/>
      <c r="ED962" s="33"/>
      <c r="EE962" s="33"/>
      <c r="EF962" s="33"/>
      <c r="EG962" s="33"/>
      <c r="EH962" s="33"/>
      <c r="EI962" s="33"/>
      <c r="EJ962" s="33"/>
      <c r="EK962" s="33"/>
      <c r="EL962" s="33"/>
      <c r="EM962" s="33"/>
      <c r="EN962" s="33"/>
      <c r="EO962" s="33"/>
      <c r="EP962" s="33"/>
      <c r="EQ962" s="33"/>
      <c r="ER962" s="33"/>
      <c r="ES962" s="33"/>
    </row>
    <row r="963">
      <c r="A963" s="33"/>
      <c r="B963" s="33"/>
      <c r="C963" s="33"/>
      <c r="D963" s="33"/>
      <c r="E963" s="33"/>
      <c r="F963" s="33"/>
      <c r="G963" s="85"/>
      <c r="H963" s="85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33"/>
      <c r="Y963" s="33"/>
      <c r="Z963" s="33"/>
      <c r="AA963" s="33"/>
      <c r="AB963" s="33"/>
      <c r="AC963" s="33"/>
      <c r="AD963" s="33"/>
      <c r="AE963" s="33"/>
      <c r="AF963" s="33"/>
      <c r="AG963" s="33"/>
      <c r="AH963" s="33"/>
      <c r="AI963" s="33"/>
      <c r="AJ963" s="33"/>
      <c r="AK963" s="33"/>
      <c r="AL963" s="33"/>
      <c r="AM963" s="33"/>
      <c r="AN963" s="33"/>
      <c r="AO963" s="33"/>
      <c r="AP963" s="33"/>
      <c r="AQ963" s="33"/>
      <c r="AR963" s="33"/>
      <c r="AS963" s="33"/>
      <c r="AT963" s="33"/>
      <c r="AU963" s="33"/>
      <c r="AV963" s="33"/>
      <c r="AW963" s="33"/>
      <c r="AX963" s="33"/>
      <c r="AY963" s="33"/>
      <c r="AZ963" s="33"/>
      <c r="BA963" s="33"/>
      <c r="BB963" s="33"/>
      <c r="BC963" s="33"/>
      <c r="BD963" s="33"/>
      <c r="BE963" s="33"/>
      <c r="BF963" s="33"/>
      <c r="BG963" s="33"/>
      <c r="BH963" s="33"/>
      <c r="BI963" s="33"/>
      <c r="BJ963" s="33"/>
      <c r="BK963" s="33"/>
      <c r="BL963" s="33"/>
      <c r="BM963" s="33"/>
      <c r="BN963" s="33"/>
      <c r="BO963" s="33"/>
      <c r="BP963" s="33"/>
      <c r="BQ963" s="33"/>
      <c r="BR963" s="33"/>
      <c r="BS963" s="33"/>
      <c r="BT963" s="33"/>
      <c r="BU963" s="33"/>
      <c r="BV963" s="33"/>
      <c r="BW963" s="33"/>
      <c r="BX963" s="33"/>
      <c r="BY963" s="33"/>
      <c r="BZ963" s="33"/>
      <c r="CA963" s="33"/>
      <c r="CB963" s="33"/>
      <c r="CC963" s="33"/>
      <c r="CD963" s="33"/>
      <c r="CE963" s="33"/>
      <c r="CF963" s="33"/>
      <c r="CG963" s="33"/>
      <c r="CH963" s="33"/>
      <c r="CI963" s="33"/>
      <c r="CJ963" s="33"/>
      <c r="CK963" s="33"/>
      <c r="CL963" s="33"/>
      <c r="CM963" s="33"/>
      <c r="CN963" s="33"/>
      <c r="CO963" s="33"/>
      <c r="CP963" s="33"/>
      <c r="CQ963" s="33"/>
      <c r="CR963" s="33"/>
      <c r="CS963" s="33"/>
      <c r="CT963" s="33"/>
      <c r="CU963" s="33"/>
      <c r="CV963" s="33"/>
      <c r="CW963" s="33"/>
      <c r="CX963" s="33"/>
      <c r="CY963" s="33"/>
      <c r="CZ963" s="33"/>
      <c r="DA963" s="33"/>
      <c r="DB963" s="33"/>
      <c r="DC963" s="33"/>
      <c r="DD963" s="33"/>
      <c r="DE963" s="33"/>
      <c r="DF963" s="33"/>
      <c r="DG963" s="33"/>
      <c r="DH963" s="33"/>
      <c r="DI963" s="33"/>
      <c r="DJ963" s="33"/>
      <c r="DK963" s="33"/>
      <c r="DL963" s="33"/>
      <c r="DM963" s="33"/>
      <c r="DN963" s="33"/>
      <c r="DO963" s="33"/>
      <c r="DP963" s="33"/>
      <c r="DQ963" s="33"/>
      <c r="DR963" s="33"/>
      <c r="DS963" s="33"/>
      <c r="DT963" s="33"/>
      <c r="DU963" s="33"/>
      <c r="DV963" s="33"/>
      <c r="DW963" s="33"/>
      <c r="DX963" s="33"/>
      <c r="DY963" s="33"/>
      <c r="DZ963" s="33"/>
      <c r="EA963" s="33"/>
      <c r="EB963" s="33"/>
      <c r="EC963" s="33"/>
      <c r="ED963" s="33"/>
      <c r="EE963" s="33"/>
      <c r="EF963" s="33"/>
      <c r="EG963" s="33"/>
      <c r="EH963" s="33"/>
      <c r="EI963" s="33"/>
      <c r="EJ963" s="33"/>
      <c r="EK963" s="33"/>
      <c r="EL963" s="33"/>
      <c r="EM963" s="33"/>
      <c r="EN963" s="33"/>
      <c r="EO963" s="33"/>
      <c r="EP963" s="33"/>
      <c r="EQ963" s="33"/>
      <c r="ER963" s="33"/>
      <c r="ES963" s="33"/>
    </row>
    <row r="964">
      <c r="A964" s="33"/>
      <c r="B964" s="33"/>
      <c r="C964" s="33"/>
      <c r="D964" s="33"/>
      <c r="E964" s="33"/>
      <c r="F964" s="33"/>
      <c r="G964" s="85"/>
      <c r="H964" s="85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33"/>
      <c r="Y964" s="33"/>
      <c r="Z964" s="33"/>
      <c r="AA964" s="33"/>
      <c r="AB964" s="33"/>
      <c r="AC964" s="33"/>
      <c r="AD964" s="33"/>
      <c r="AE964" s="33"/>
      <c r="AF964" s="33"/>
      <c r="AG964" s="33"/>
      <c r="AH964" s="33"/>
      <c r="AI964" s="33"/>
      <c r="AJ964" s="33"/>
      <c r="AK964" s="33"/>
      <c r="AL964" s="33"/>
      <c r="AM964" s="33"/>
      <c r="AN964" s="33"/>
      <c r="AO964" s="33"/>
      <c r="AP964" s="33"/>
      <c r="AQ964" s="33"/>
      <c r="AR964" s="33"/>
      <c r="AS964" s="33"/>
      <c r="AT964" s="33"/>
      <c r="AU964" s="33"/>
      <c r="AV964" s="33"/>
      <c r="AW964" s="33"/>
      <c r="AX964" s="33"/>
      <c r="AY964" s="33"/>
      <c r="AZ964" s="33"/>
      <c r="BA964" s="33"/>
      <c r="BB964" s="33"/>
      <c r="BC964" s="33"/>
      <c r="BD964" s="33"/>
      <c r="BE964" s="33"/>
      <c r="BF964" s="33"/>
      <c r="BG964" s="33"/>
      <c r="BH964" s="33"/>
      <c r="BI964" s="33"/>
      <c r="BJ964" s="33"/>
      <c r="BK964" s="33"/>
      <c r="BL964" s="33"/>
      <c r="BM964" s="33"/>
      <c r="BN964" s="33"/>
      <c r="BO964" s="33"/>
      <c r="BP964" s="33"/>
      <c r="BQ964" s="33"/>
      <c r="BR964" s="33"/>
      <c r="BS964" s="33"/>
      <c r="BT964" s="33"/>
      <c r="BU964" s="33"/>
      <c r="BV964" s="33"/>
      <c r="BW964" s="33"/>
      <c r="BX964" s="33"/>
      <c r="BY964" s="33"/>
      <c r="BZ964" s="33"/>
      <c r="CA964" s="33"/>
      <c r="CB964" s="33"/>
      <c r="CC964" s="33"/>
      <c r="CD964" s="33"/>
      <c r="CE964" s="33"/>
      <c r="CF964" s="33"/>
      <c r="CG964" s="33"/>
      <c r="CH964" s="33"/>
      <c r="CI964" s="33"/>
      <c r="CJ964" s="33"/>
      <c r="CK964" s="33"/>
      <c r="CL964" s="33"/>
      <c r="CM964" s="33"/>
      <c r="CN964" s="33"/>
      <c r="CO964" s="33"/>
      <c r="CP964" s="33"/>
      <c r="CQ964" s="33"/>
      <c r="CR964" s="33"/>
      <c r="CS964" s="33"/>
      <c r="CT964" s="33"/>
      <c r="CU964" s="33"/>
      <c r="CV964" s="33"/>
      <c r="CW964" s="33"/>
      <c r="CX964" s="33"/>
      <c r="CY964" s="33"/>
      <c r="CZ964" s="33"/>
      <c r="DA964" s="33"/>
      <c r="DB964" s="33"/>
      <c r="DC964" s="33"/>
      <c r="DD964" s="33"/>
      <c r="DE964" s="33"/>
      <c r="DF964" s="33"/>
      <c r="DG964" s="33"/>
      <c r="DH964" s="33"/>
      <c r="DI964" s="33"/>
      <c r="DJ964" s="33"/>
      <c r="DK964" s="33"/>
      <c r="DL964" s="33"/>
      <c r="DM964" s="33"/>
      <c r="DN964" s="33"/>
      <c r="DO964" s="33"/>
      <c r="DP964" s="33"/>
      <c r="DQ964" s="33"/>
      <c r="DR964" s="33"/>
      <c r="DS964" s="33"/>
      <c r="DT964" s="33"/>
      <c r="DU964" s="33"/>
      <c r="DV964" s="33"/>
      <c r="DW964" s="33"/>
      <c r="DX964" s="33"/>
      <c r="DY964" s="33"/>
      <c r="DZ964" s="33"/>
      <c r="EA964" s="33"/>
      <c r="EB964" s="33"/>
      <c r="EC964" s="33"/>
      <c r="ED964" s="33"/>
      <c r="EE964" s="33"/>
      <c r="EF964" s="33"/>
      <c r="EG964" s="33"/>
      <c r="EH964" s="33"/>
      <c r="EI964" s="33"/>
      <c r="EJ964" s="33"/>
      <c r="EK964" s="33"/>
      <c r="EL964" s="33"/>
      <c r="EM964" s="33"/>
      <c r="EN964" s="33"/>
      <c r="EO964" s="33"/>
      <c r="EP964" s="33"/>
      <c r="EQ964" s="33"/>
      <c r="ER964" s="33"/>
      <c r="ES964" s="33"/>
    </row>
    <row r="965">
      <c r="A965" s="33"/>
      <c r="B965" s="33"/>
      <c r="C965" s="33"/>
      <c r="D965" s="33"/>
      <c r="E965" s="33"/>
      <c r="F965" s="33"/>
      <c r="G965" s="85"/>
      <c r="H965" s="85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33"/>
      <c r="Y965" s="33"/>
      <c r="Z965" s="33"/>
      <c r="AA965" s="33"/>
      <c r="AB965" s="33"/>
      <c r="AC965" s="33"/>
      <c r="AD965" s="33"/>
      <c r="AE965" s="33"/>
      <c r="AF965" s="33"/>
      <c r="AG965" s="33"/>
      <c r="AH965" s="33"/>
      <c r="AI965" s="33"/>
      <c r="AJ965" s="33"/>
      <c r="AK965" s="33"/>
      <c r="AL965" s="33"/>
      <c r="AM965" s="33"/>
      <c r="AN965" s="33"/>
      <c r="AO965" s="33"/>
      <c r="AP965" s="33"/>
      <c r="AQ965" s="33"/>
      <c r="AR965" s="33"/>
      <c r="AS965" s="33"/>
      <c r="AT965" s="33"/>
      <c r="AU965" s="33"/>
      <c r="AV965" s="33"/>
      <c r="AW965" s="33"/>
      <c r="AX965" s="33"/>
      <c r="AY965" s="33"/>
      <c r="AZ965" s="33"/>
      <c r="BA965" s="33"/>
      <c r="BB965" s="33"/>
      <c r="BC965" s="33"/>
      <c r="BD965" s="33"/>
      <c r="BE965" s="33"/>
      <c r="BF965" s="33"/>
      <c r="BG965" s="33"/>
      <c r="BH965" s="33"/>
      <c r="BI965" s="33"/>
      <c r="BJ965" s="33"/>
      <c r="BK965" s="33"/>
      <c r="BL965" s="33"/>
      <c r="BM965" s="33"/>
      <c r="BN965" s="33"/>
      <c r="BO965" s="33"/>
      <c r="BP965" s="33"/>
      <c r="BQ965" s="33"/>
      <c r="BR965" s="33"/>
      <c r="BS965" s="33"/>
      <c r="BT965" s="33"/>
      <c r="BU965" s="33"/>
      <c r="BV965" s="33"/>
      <c r="BW965" s="33"/>
      <c r="BX965" s="33"/>
      <c r="BY965" s="33"/>
      <c r="BZ965" s="33"/>
      <c r="CA965" s="33"/>
      <c r="CB965" s="33"/>
      <c r="CC965" s="33"/>
      <c r="CD965" s="33"/>
      <c r="CE965" s="33"/>
      <c r="CF965" s="33"/>
      <c r="CG965" s="33"/>
      <c r="CH965" s="33"/>
      <c r="CI965" s="33"/>
      <c r="CJ965" s="33"/>
      <c r="CK965" s="33"/>
      <c r="CL965" s="33"/>
      <c r="CM965" s="33"/>
      <c r="CN965" s="33"/>
      <c r="CO965" s="33"/>
      <c r="CP965" s="33"/>
      <c r="CQ965" s="33"/>
      <c r="CR965" s="33"/>
      <c r="CS965" s="33"/>
      <c r="CT965" s="33"/>
      <c r="CU965" s="33"/>
      <c r="CV965" s="33"/>
      <c r="CW965" s="33"/>
      <c r="CX965" s="33"/>
      <c r="CY965" s="33"/>
      <c r="CZ965" s="33"/>
      <c r="DA965" s="33"/>
      <c r="DB965" s="33"/>
      <c r="DC965" s="33"/>
      <c r="DD965" s="33"/>
      <c r="DE965" s="33"/>
      <c r="DF965" s="33"/>
      <c r="DG965" s="33"/>
      <c r="DH965" s="33"/>
      <c r="DI965" s="33"/>
      <c r="DJ965" s="33"/>
      <c r="DK965" s="33"/>
      <c r="DL965" s="33"/>
      <c r="DM965" s="33"/>
      <c r="DN965" s="33"/>
      <c r="DO965" s="33"/>
      <c r="DP965" s="33"/>
      <c r="DQ965" s="33"/>
      <c r="DR965" s="33"/>
      <c r="DS965" s="33"/>
      <c r="DT965" s="33"/>
      <c r="DU965" s="33"/>
      <c r="DV965" s="33"/>
      <c r="DW965" s="33"/>
      <c r="DX965" s="33"/>
      <c r="DY965" s="33"/>
      <c r="DZ965" s="33"/>
      <c r="EA965" s="33"/>
      <c r="EB965" s="33"/>
      <c r="EC965" s="33"/>
      <c r="ED965" s="33"/>
      <c r="EE965" s="33"/>
      <c r="EF965" s="33"/>
      <c r="EG965" s="33"/>
      <c r="EH965" s="33"/>
      <c r="EI965" s="33"/>
      <c r="EJ965" s="33"/>
      <c r="EK965" s="33"/>
      <c r="EL965" s="33"/>
      <c r="EM965" s="33"/>
      <c r="EN965" s="33"/>
      <c r="EO965" s="33"/>
      <c r="EP965" s="33"/>
      <c r="EQ965" s="33"/>
      <c r="ER965" s="33"/>
      <c r="ES965" s="33"/>
    </row>
    <row r="966">
      <c r="A966" s="33"/>
      <c r="B966" s="33"/>
      <c r="C966" s="33"/>
      <c r="D966" s="33"/>
      <c r="E966" s="33"/>
      <c r="F966" s="33"/>
      <c r="G966" s="85"/>
      <c r="H966" s="85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33"/>
      <c r="Y966" s="33"/>
      <c r="Z966" s="33"/>
      <c r="AA966" s="33"/>
      <c r="AB966" s="33"/>
      <c r="AC966" s="33"/>
      <c r="AD966" s="33"/>
      <c r="AE966" s="33"/>
      <c r="AF966" s="33"/>
      <c r="AG966" s="33"/>
      <c r="AH966" s="33"/>
      <c r="AI966" s="33"/>
      <c r="AJ966" s="33"/>
      <c r="AK966" s="33"/>
      <c r="AL966" s="33"/>
      <c r="AM966" s="33"/>
      <c r="AN966" s="33"/>
      <c r="AO966" s="33"/>
      <c r="AP966" s="33"/>
      <c r="AQ966" s="33"/>
      <c r="AR966" s="33"/>
      <c r="AS966" s="33"/>
      <c r="AT966" s="33"/>
      <c r="AU966" s="33"/>
      <c r="AV966" s="33"/>
      <c r="AW966" s="33"/>
      <c r="AX966" s="33"/>
      <c r="AY966" s="33"/>
      <c r="AZ966" s="33"/>
      <c r="BA966" s="33"/>
      <c r="BB966" s="33"/>
      <c r="BC966" s="33"/>
      <c r="BD966" s="33"/>
      <c r="BE966" s="33"/>
      <c r="BF966" s="33"/>
      <c r="BG966" s="33"/>
      <c r="BH966" s="33"/>
      <c r="BI966" s="33"/>
      <c r="BJ966" s="33"/>
      <c r="BK966" s="33"/>
      <c r="BL966" s="33"/>
      <c r="BM966" s="33"/>
      <c r="BN966" s="33"/>
      <c r="BO966" s="33"/>
      <c r="BP966" s="33"/>
      <c r="BQ966" s="33"/>
      <c r="BR966" s="33"/>
      <c r="BS966" s="33"/>
      <c r="BT966" s="33"/>
      <c r="BU966" s="33"/>
      <c r="BV966" s="33"/>
      <c r="BW966" s="33"/>
      <c r="BX966" s="33"/>
      <c r="BY966" s="33"/>
      <c r="BZ966" s="33"/>
      <c r="CA966" s="33"/>
      <c r="CB966" s="33"/>
      <c r="CC966" s="33"/>
      <c r="CD966" s="33"/>
      <c r="CE966" s="33"/>
      <c r="CF966" s="33"/>
      <c r="CG966" s="33"/>
      <c r="CH966" s="33"/>
      <c r="CI966" s="33"/>
      <c r="CJ966" s="33"/>
      <c r="CK966" s="33"/>
      <c r="CL966" s="33"/>
      <c r="CM966" s="33"/>
      <c r="CN966" s="33"/>
      <c r="CO966" s="33"/>
      <c r="CP966" s="33"/>
      <c r="CQ966" s="33"/>
      <c r="CR966" s="33"/>
      <c r="CS966" s="33"/>
      <c r="CT966" s="33"/>
      <c r="CU966" s="33"/>
      <c r="CV966" s="33"/>
      <c r="CW966" s="33"/>
      <c r="CX966" s="33"/>
      <c r="CY966" s="33"/>
      <c r="CZ966" s="33"/>
      <c r="DA966" s="33"/>
      <c r="DB966" s="33"/>
      <c r="DC966" s="33"/>
      <c r="DD966" s="33"/>
      <c r="DE966" s="33"/>
      <c r="DF966" s="33"/>
      <c r="DG966" s="33"/>
      <c r="DH966" s="33"/>
      <c r="DI966" s="33"/>
      <c r="DJ966" s="33"/>
      <c r="DK966" s="33"/>
      <c r="DL966" s="33"/>
      <c r="DM966" s="33"/>
      <c r="DN966" s="33"/>
      <c r="DO966" s="33"/>
      <c r="DP966" s="33"/>
      <c r="DQ966" s="33"/>
      <c r="DR966" s="33"/>
      <c r="DS966" s="33"/>
      <c r="DT966" s="33"/>
      <c r="DU966" s="33"/>
      <c r="DV966" s="33"/>
      <c r="DW966" s="33"/>
      <c r="DX966" s="33"/>
      <c r="DY966" s="33"/>
      <c r="DZ966" s="33"/>
      <c r="EA966" s="33"/>
      <c r="EB966" s="33"/>
      <c r="EC966" s="33"/>
      <c r="ED966" s="33"/>
      <c r="EE966" s="33"/>
      <c r="EF966" s="33"/>
      <c r="EG966" s="33"/>
      <c r="EH966" s="33"/>
      <c r="EI966" s="33"/>
      <c r="EJ966" s="33"/>
      <c r="EK966" s="33"/>
      <c r="EL966" s="33"/>
      <c r="EM966" s="33"/>
      <c r="EN966" s="33"/>
      <c r="EO966" s="33"/>
      <c r="EP966" s="33"/>
      <c r="EQ966" s="33"/>
      <c r="ER966" s="33"/>
      <c r="ES966" s="33"/>
    </row>
    <row r="967">
      <c r="A967" s="33"/>
      <c r="B967" s="33"/>
      <c r="C967" s="33"/>
      <c r="D967" s="33"/>
      <c r="E967" s="33"/>
      <c r="F967" s="33"/>
      <c r="G967" s="85"/>
      <c r="H967" s="85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33"/>
      <c r="Y967" s="33"/>
      <c r="Z967" s="33"/>
      <c r="AA967" s="33"/>
      <c r="AB967" s="33"/>
      <c r="AC967" s="33"/>
      <c r="AD967" s="33"/>
      <c r="AE967" s="33"/>
      <c r="AF967" s="33"/>
      <c r="AG967" s="33"/>
      <c r="AH967" s="33"/>
      <c r="AI967" s="33"/>
      <c r="AJ967" s="33"/>
      <c r="AK967" s="33"/>
      <c r="AL967" s="33"/>
      <c r="AM967" s="33"/>
      <c r="AN967" s="33"/>
      <c r="AO967" s="33"/>
      <c r="AP967" s="33"/>
      <c r="AQ967" s="33"/>
      <c r="AR967" s="33"/>
      <c r="AS967" s="33"/>
      <c r="AT967" s="33"/>
      <c r="AU967" s="33"/>
      <c r="AV967" s="33"/>
      <c r="AW967" s="33"/>
      <c r="AX967" s="33"/>
      <c r="AY967" s="33"/>
      <c r="AZ967" s="33"/>
      <c r="BA967" s="33"/>
      <c r="BB967" s="33"/>
      <c r="BC967" s="33"/>
      <c r="BD967" s="33"/>
      <c r="BE967" s="33"/>
      <c r="BF967" s="33"/>
      <c r="BG967" s="33"/>
      <c r="BH967" s="33"/>
      <c r="BI967" s="33"/>
      <c r="BJ967" s="33"/>
      <c r="BK967" s="33"/>
      <c r="BL967" s="33"/>
      <c r="BM967" s="33"/>
      <c r="BN967" s="33"/>
      <c r="BO967" s="33"/>
      <c r="BP967" s="33"/>
      <c r="BQ967" s="33"/>
      <c r="BR967" s="33"/>
      <c r="BS967" s="33"/>
      <c r="BT967" s="33"/>
      <c r="BU967" s="33"/>
      <c r="BV967" s="33"/>
      <c r="BW967" s="33"/>
      <c r="BX967" s="33"/>
      <c r="BY967" s="33"/>
      <c r="BZ967" s="33"/>
      <c r="CA967" s="33"/>
      <c r="CB967" s="33"/>
      <c r="CC967" s="33"/>
      <c r="CD967" s="33"/>
      <c r="CE967" s="33"/>
      <c r="CF967" s="33"/>
      <c r="CG967" s="33"/>
      <c r="CH967" s="33"/>
      <c r="CI967" s="33"/>
      <c r="CJ967" s="33"/>
      <c r="CK967" s="33"/>
      <c r="CL967" s="33"/>
      <c r="CM967" s="33"/>
      <c r="CN967" s="33"/>
      <c r="CO967" s="33"/>
      <c r="CP967" s="33"/>
      <c r="CQ967" s="33"/>
      <c r="CR967" s="33"/>
      <c r="CS967" s="33"/>
      <c r="CT967" s="33"/>
      <c r="CU967" s="33"/>
      <c r="CV967" s="33"/>
      <c r="CW967" s="33"/>
      <c r="CX967" s="33"/>
      <c r="CY967" s="33"/>
      <c r="CZ967" s="33"/>
      <c r="DA967" s="33"/>
      <c r="DB967" s="33"/>
      <c r="DC967" s="33"/>
      <c r="DD967" s="33"/>
      <c r="DE967" s="33"/>
      <c r="DF967" s="33"/>
      <c r="DG967" s="33"/>
      <c r="DH967" s="33"/>
      <c r="DI967" s="33"/>
      <c r="DJ967" s="33"/>
      <c r="DK967" s="33"/>
      <c r="DL967" s="33"/>
      <c r="DM967" s="33"/>
      <c r="DN967" s="33"/>
      <c r="DO967" s="33"/>
      <c r="DP967" s="33"/>
      <c r="DQ967" s="33"/>
      <c r="DR967" s="33"/>
      <c r="DS967" s="33"/>
      <c r="DT967" s="33"/>
      <c r="DU967" s="33"/>
      <c r="DV967" s="33"/>
      <c r="DW967" s="33"/>
      <c r="DX967" s="33"/>
      <c r="DY967" s="33"/>
      <c r="DZ967" s="33"/>
      <c r="EA967" s="33"/>
      <c r="EB967" s="33"/>
      <c r="EC967" s="33"/>
      <c r="ED967" s="33"/>
      <c r="EE967" s="33"/>
      <c r="EF967" s="33"/>
      <c r="EG967" s="33"/>
      <c r="EH967" s="33"/>
      <c r="EI967" s="33"/>
      <c r="EJ967" s="33"/>
      <c r="EK967" s="33"/>
      <c r="EL967" s="33"/>
      <c r="EM967" s="33"/>
      <c r="EN967" s="33"/>
      <c r="EO967" s="33"/>
      <c r="EP967" s="33"/>
      <c r="EQ967" s="33"/>
      <c r="ER967" s="33"/>
      <c r="ES967" s="33"/>
    </row>
    <row r="968">
      <c r="A968" s="33"/>
      <c r="B968" s="33"/>
      <c r="C968" s="33"/>
      <c r="D968" s="33"/>
      <c r="E968" s="33"/>
      <c r="F968" s="33"/>
      <c r="G968" s="85"/>
      <c r="H968" s="85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33"/>
      <c r="Y968" s="33"/>
      <c r="Z968" s="33"/>
      <c r="AA968" s="33"/>
      <c r="AB968" s="33"/>
      <c r="AC968" s="33"/>
      <c r="AD968" s="33"/>
      <c r="AE968" s="33"/>
      <c r="AF968" s="33"/>
      <c r="AG968" s="33"/>
      <c r="AH968" s="33"/>
      <c r="AI968" s="33"/>
      <c r="AJ968" s="33"/>
      <c r="AK968" s="33"/>
      <c r="AL968" s="33"/>
      <c r="AM968" s="33"/>
      <c r="AN968" s="33"/>
      <c r="AO968" s="33"/>
      <c r="AP968" s="33"/>
      <c r="AQ968" s="33"/>
      <c r="AR968" s="33"/>
      <c r="AS968" s="33"/>
      <c r="AT968" s="33"/>
      <c r="AU968" s="33"/>
      <c r="AV968" s="33"/>
      <c r="AW968" s="33"/>
      <c r="AX968" s="33"/>
      <c r="AY968" s="33"/>
      <c r="AZ968" s="33"/>
      <c r="BA968" s="33"/>
      <c r="BB968" s="33"/>
      <c r="BC968" s="33"/>
      <c r="BD968" s="33"/>
      <c r="BE968" s="33"/>
      <c r="BF968" s="33"/>
      <c r="BG968" s="33"/>
      <c r="BH968" s="33"/>
      <c r="BI968" s="33"/>
      <c r="BJ968" s="33"/>
      <c r="BK968" s="33"/>
      <c r="BL968" s="33"/>
      <c r="BM968" s="33"/>
      <c r="BN968" s="33"/>
      <c r="BO968" s="33"/>
      <c r="BP968" s="33"/>
      <c r="BQ968" s="33"/>
      <c r="BR968" s="33"/>
      <c r="BS968" s="33"/>
      <c r="BT968" s="33"/>
      <c r="BU968" s="33"/>
      <c r="BV968" s="33"/>
      <c r="BW968" s="33"/>
      <c r="BX968" s="33"/>
      <c r="BY968" s="33"/>
      <c r="BZ968" s="33"/>
      <c r="CA968" s="33"/>
      <c r="CB968" s="33"/>
      <c r="CC968" s="33"/>
      <c r="CD968" s="33"/>
      <c r="CE968" s="33"/>
      <c r="CF968" s="33"/>
      <c r="CG968" s="33"/>
      <c r="CH968" s="33"/>
      <c r="CI968" s="33"/>
      <c r="CJ968" s="33"/>
      <c r="CK968" s="33"/>
      <c r="CL968" s="33"/>
      <c r="CM968" s="33"/>
      <c r="CN968" s="33"/>
      <c r="CO968" s="33"/>
      <c r="CP968" s="33"/>
      <c r="CQ968" s="33"/>
      <c r="CR968" s="33"/>
      <c r="CS968" s="33"/>
      <c r="CT968" s="33"/>
      <c r="CU968" s="33"/>
      <c r="CV968" s="33"/>
      <c r="CW968" s="33"/>
      <c r="CX968" s="33"/>
      <c r="CY968" s="33"/>
      <c r="CZ968" s="33"/>
      <c r="DA968" s="33"/>
      <c r="DB968" s="33"/>
      <c r="DC968" s="33"/>
      <c r="DD968" s="33"/>
      <c r="DE968" s="33"/>
      <c r="DF968" s="33"/>
      <c r="DG968" s="33"/>
      <c r="DH968" s="33"/>
      <c r="DI968" s="33"/>
      <c r="DJ968" s="33"/>
      <c r="DK968" s="33"/>
      <c r="DL968" s="33"/>
      <c r="DM968" s="33"/>
      <c r="DN968" s="33"/>
      <c r="DO968" s="33"/>
      <c r="DP968" s="33"/>
      <c r="DQ968" s="33"/>
      <c r="DR968" s="33"/>
      <c r="DS968" s="33"/>
      <c r="DT968" s="33"/>
      <c r="DU968" s="33"/>
      <c r="DV968" s="33"/>
      <c r="DW968" s="33"/>
      <c r="DX968" s="33"/>
      <c r="DY968" s="33"/>
      <c r="DZ968" s="33"/>
      <c r="EA968" s="33"/>
      <c r="EB968" s="33"/>
      <c r="EC968" s="33"/>
      <c r="ED968" s="33"/>
      <c r="EE968" s="33"/>
      <c r="EF968" s="33"/>
      <c r="EG968" s="33"/>
      <c r="EH968" s="33"/>
      <c r="EI968" s="33"/>
      <c r="EJ968" s="33"/>
      <c r="EK968" s="33"/>
      <c r="EL968" s="33"/>
      <c r="EM968" s="33"/>
      <c r="EN968" s="33"/>
      <c r="EO968" s="33"/>
      <c r="EP968" s="33"/>
      <c r="EQ968" s="33"/>
      <c r="ER968" s="33"/>
      <c r="ES968" s="33"/>
    </row>
    <row r="969">
      <c r="A969" s="33"/>
      <c r="B969" s="33"/>
      <c r="C969" s="33"/>
      <c r="D969" s="33"/>
      <c r="E969" s="33"/>
      <c r="F969" s="33"/>
      <c r="G969" s="85"/>
      <c r="H969" s="85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33"/>
      <c r="Y969" s="33"/>
      <c r="Z969" s="33"/>
      <c r="AA969" s="33"/>
      <c r="AB969" s="33"/>
      <c r="AC969" s="33"/>
      <c r="AD969" s="33"/>
      <c r="AE969" s="33"/>
      <c r="AF969" s="33"/>
      <c r="AG969" s="33"/>
      <c r="AH969" s="33"/>
      <c r="AI969" s="33"/>
      <c r="AJ969" s="33"/>
      <c r="AK969" s="33"/>
      <c r="AL969" s="33"/>
      <c r="AM969" s="33"/>
      <c r="AN969" s="33"/>
      <c r="AO969" s="33"/>
      <c r="AP969" s="33"/>
      <c r="AQ969" s="33"/>
      <c r="AR969" s="33"/>
      <c r="AS969" s="33"/>
      <c r="AT969" s="33"/>
      <c r="AU969" s="33"/>
      <c r="AV969" s="33"/>
      <c r="AW969" s="33"/>
      <c r="AX969" s="33"/>
      <c r="AY969" s="33"/>
      <c r="AZ969" s="33"/>
      <c r="BA969" s="33"/>
      <c r="BB969" s="33"/>
      <c r="BC969" s="33"/>
      <c r="BD969" s="33"/>
      <c r="BE969" s="33"/>
      <c r="BF969" s="33"/>
      <c r="BG969" s="33"/>
      <c r="BH969" s="33"/>
      <c r="BI969" s="33"/>
      <c r="BJ969" s="33"/>
      <c r="BK969" s="33"/>
      <c r="BL969" s="33"/>
      <c r="BM969" s="33"/>
      <c r="BN969" s="33"/>
      <c r="BO969" s="33"/>
      <c r="BP969" s="33"/>
      <c r="BQ969" s="33"/>
      <c r="BR969" s="33"/>
      <c r="BS969" s="33"/>
      <c r="BT969" s="33"/>
      <c r="BU969" s="33"/>
      <c r="BV969" s="33"/>
      <c r="BW969" s="33"/>
      <c r="BX969" s="33"/>
      <c r="BY969" s="33"/>
      <c r="BZ969" s="33"/>
      <c r="CA969" s="33"/>
      <c r="CB969" s="33"/>
      <c r="CC969" s="33"/>
      <c r="CD969" s="33"/>
      <c r="CE969" s="33"/>
      <c r="CF969" s="33"/>
      <c r="CG969" s="33"/>
      <c r="CH969" s="33"/>
      <c r="CI969" s="33"/>
      <c r="CJ969" s="33"/>
      <c r="CK969" s="33"/>
      <c r="CL969" s="33"/>
      <c r="CM969" s="33"/>
      <c r="CN969" s="33"/>
      <c r="CO969" s="33"/>
      <c r="CP969" s="33"/>
      <c r="CQ969" s="33"/>
      <c r="CR969" s="33"/>
      <c r="CS969" s="33"/>
      <c r="CT969" s="33"/>
      <c r="CU969" s="33"/>
      <c r="CV969" s="33"/>
      <c r="CW969" s="33"/>
      <c r="CX969" s="33"/>
      <c r="CY969" s="33"/>
      <c r="CZ969" s="33"/>
      <c r="DA969" s="33"/>
      <c r="DB969" s="33"/>
      <c r="DC969" s="33"/>
      <c r="DD969" s="33"/>
      <c r="DE969" s="33"/>
      <c r="DF969" s="33"/>
      <c r="DG969" s="33"/>
      <c r="DH969" s="33"/>
      <c r="DI969" s="33"/>
      <c r="DJ969" s="33"/>
      <c r="DK969" s="33"/>
      <c r="DL969" s="33"/>
      <c r="DM969" s="33"/>
      <c r="DN969" s="33"/>
      <c r="DO969" s="33"/>
      <c r="DP969" s="33"/>
      <c r="DQ969" s="33"/>
      <c r="DR969" s="33"/>
      <c r="DS969" s="33"/>
      <c r="DT969" s="33"/>
      <c r="DU969" s="33"/>
      <c r="DV969" s="33"/>
      <c r="DW969" s="33"/>
      <c r="DX969" s="33"/>
      <c r="DY969" s="33"/>
      <c r="DZ969" s="33"/>
      <c r="EA969" s="33"/>
      <c r="EB969" s="33"/>
      <c r="EC969" s="33"/>
      <c r="ED969" s="33"/>
      <c r="EE969" s="33"/>
      <c r="EF969" s="33"/>
      <c r="EG969" s="33"/>
      <c r="EH969" s="33"/>
      <c r="EI969" s="33"/>
      <c r="EJ969" s="33"/>
      <c r="EK969" s="33"/>
      <c r="EL969" s="33"/>
      <c r="EM969" s="33"/>
      <c r="EN969" s="33"/>
      <c r="EO969" s="33"/>
      <c r="EP969" s="33"/>
      <c r="EQ969" s="33"/>
      <c r="ER969" s="33"/>
      <c r="ES969" s="33"/>
    </row>
    <row r="970">
      <c r="A970" s="33"/>
      <c r="B970" s="33"/>
      <c r="C970" s="33"/>
      <c r="D970" s="33"/>
      <c r="E970" s="33"/>
      <c r="F970" s="33"/>
      <c r="G970" s="85"/>
      <c r="H970" s="85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33"/>
      <c r="Y970" s="33"/>
      <c r="Z970" s="33"/>
      <c r="AA970" s="33"/>
      <c r="AB970" s="33"/>
      <c r="AC970" s="33"/>
      <c r="AD970" s="33"/>
      <c r="AE970" s="33"/>
      <c r="AF970" s="33"/>
      <c r="AG970" s="33"/>
      <c r="AH970" s="33"/>
      <c r="AI970" s="33"/>
      <c r="AJ970" s="33"/>
      <c r="AK970" s="33"/>
      <c r="AL970" s="33"/>
      <c r="AM970" s="33"/>
      <c r="AN970" s="33"/>
      <c r="AO970" s="33"/>
      <c r="AP970" s="33"/>
      <c r="AQ970" s="33"/>
      <c r="AR970" s="33"/>
      <c r="AS970" s="33"/>
      <c r="AT970" s="33"/>
      <c r="AU970" s="33"/>
      <c r="AV970" s="33"/>
      <c r="AW970" s="33"/>
      <c r="AX970" s="33"/>
      <c r="AY970" s="33"/>
      <c r="AZ970" s="33"/>
      <c r="BA970" s="33"/>
      <c r="BB970" s="33"/>
      <c r="BC970" s="33"/>
      <c r="BD970" s="33"/>
      <c r="BE970" s="33"/>
      <c r="BF970" s="33"/>
      <c r="BG970" s="33"/>
      <c r="BH970" s="33"/>
      <c r="BI970" s="33"/>
      <c r="BJ970" s="33"/>
      <c r="BK970" s="33"/>
      <c r="BL970" s="33"/>
      <c r="BM970" s="33"/>
      <c r="BN970" s="33"/>
      <c r="BO970" s="33"/>
      <c r="BP970" s="33"/>
      <c r="BQ970" s="33"/>
      <c r="BR970" s="33"/>
      <c r="BS970" s="33"/>
      <c r="BT970" s="33"/>
      <c r="BU970" s="33"/>
      <c r="BV970" s="33"/>
      <c r="BW970" s="33"/>
      <c r="BX970" s="33"/>
      <c r="BY970" s="33"/>
      <c r="BZ970" s="33"/>
      <c r="CA970" s="33"/>
      <c r="CB970" s="33"/>
      <c r="CC970" s="33"/>
      <c r="CD970" s="33"/>
      <c r="CE970" s="33"/>
      <c r="CF970" s="33"/>
      <c r="CG970" s="33"/>
      <c r="CH970" s="33"/>
      <c r="CI970" s="33"/>
      <c r="CJ970" s="33"/>
      <c r="CK970" s="33"/>
      <c r="CL970" s="33"/>
      <c r="CM970" s="33"/>
      <c r="CN970" s="33"/>
      <c r="CO970" s="33"/>
      <c r="CP970" s="33"/>
      <c r="CQ970" s="33"/>
      <c r="CR970" s="33"/>
      <c r="CS970" s="33"/>
      <c r="CT970" s="33"/>
      <c r="CU970" s="33"/>
      <c r="CV970" s="33"/>
      <c r="CW970" s="33"/>
      <c r="CX970" s="33"/>
      <c r="CY970" s="33"/>
      <c r="CZ970" s="33"/>
      <c r="DA970" s="33"/>
      <c r="DB970" s="33"/>
      <c r="DC970" s="33"/>
      <c r="DD970" s="33"/>
      <c r="DE970" s="33"/>
      <c r="DF970" s="33"/>
      <c r="DG970" s="33"/>
      <c r="DH970" s="33"/>
      <c r="DI970" s="33"/>
      <c r="DJ970" s="33"/>
      <c r="DK970" s="33"/>
      <c r="DL970" s="33"/>
      <c r="DM970" s="33"/>
      <c r="DN970" s="33"/>
      <c r="DO970" s="33"/>
      <c r="DP970" s="33"/>
      <c r="DQ970" s="33"/>
      <c r="DR970" s="33"/>
      <c r="DS970" s="33"/>
      <c r="DT970" s="33"/>
      <c r="DU970" s="33"/>
      <c r="DV970" s="33"/>
      <c r="DW970" s="33"/>
      <c r="DX970" s="33"/>
      <c r="DY970" s="33"/>
      <c r="DZ970" s="33"/>
      <c r="EA970" s="33"/>
      <c r="EB970" s="33"/>
      <c r="EC970" s="33"/>
      <c r="ED970" s="33"/>
      <c r="EE970" s="33"/>
      <c r="EF970" s="33"/>
      <c r="EG970" s="33"/>
      <c r="EH970" s="33"/>
      <c r="EI970" s="33"/>
      <c r="EJ970" s="33"/>
      <c r="EK970" s="33"/>
      <c r="EL970" s="33"/>
      <c r="EM970" s="33"/>
      <c r="EN970" s="33"/>
      <c r="EO970" s="33"/>
      <c r="EP970" s="33"/>
      <c r="EQ970" s="33"/>
      <c r="ER970" s="33"/>
      <c r="ES970" s="33"/>
    </row>
    <row r="971">
      <c r="A971" s="33"/>
      <c r="B971" s="33"/>
      <c r="C971" s="33"/>
      <c r="D971" s="33"/>
      <c r="E971" s="33"/>
      <c r="F971" s="33"/>
      <c r="G971" s="85"/>
      <c r="H971" s="85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33"/>
      <c r="Y971" s="33"/>
      <c r="Z971" s="33"/>
      <c r="AA971" s="33"/>
      <c r="AB971" s="33"/>
      <c r="AC971" s="33"/>
      <c r="AD971" s="33"/>
      <c r="AE971" s="33"/>
      <c r="AF971" s="33"/>
      <c r="AG971" s="33"/>
      <c r="AH971" s="33"/>
      <c r="AI971" s="33"/>
      <c r="AJ971" s="33"/>
      <c r="AK971" s="33"/>
      <c r="AL971" s="33"/>
      <c r="AM971" s="33"/>
      <c r="AN971" s="33"/>
      <c r="AO971" s="33"/>
      <c r="AP971" s="33"/>
      <c r="AQ971" s="33"/>
      <c r="AR971" s="33"/>
      <c r="AS971" s="33"/>
      <c r="AT971" s="33"/>
      <c r="AU971" s="33"/>
      <c r="AV971" s="33"/>
      <c r="AW971" s="33"/>
      <c r="AX971" s="33"/>
      <c r="AY971" s="33"/>
      <c r="AZ971" s="33"/>
      <c r="BA971" s="33"/>
      <c r="BB971" s="33"/>
      <c r="BC971" s="33"/>
      <c r="BD971" s="33"/>
      <c r="BE971" s="33"/>
      <c r="BF971" s="33"/>
      <c r="BG971" s="33"/>
      <c r="BH971" s="33"/>
      <c r="BI971" s="33"/>
      <c r="BJ971" s="33"/>
      <c r="BK971" s="33"/>
      <c r="BL971" s="33"/>
      <c r="BM971" s="33"/>
      <c r="BN971" s="33"/>
      <c r="BO971" s="33"/>
      <c r="BP971" s="33"/>
      <c r="BQ971" s="33"/>
      <c r="BR971" s="33"/>
      <c r="BS971" s="33"/>
      <c r="BT971" s="33"/>
      <c r="BU971" s="33"/>
      <c r="BV971" s="33"/>
      <c r="BW971" s="33"/>
      <c r="BX971" s="33"/>
      <c r="BY971" s="33"/>
      <c r="BZ971" s="33"/>
      <c r="CA971" s="33"/>
      <c r="CB971" s="33"/>
      <c r="CC971" s="33"/>
      <c r="CD971" s="33"/>
      <c r="CE971" s="33"/>
      <c r="CF971" s="33"/>
      <c r="CG971" s="33"/>
      <c r="CH971" s="33"/>
      <c r="CI971" s="33"/>
      <c r="CJ971" s="33"/>
      <c r="CK971" s="33"/>
      <c r="CL971" s="33"/>
      <c r="CM971" s="33"/>
      <c r="CN971" s="33"/>
      <c r="CO971" s="33"/>
      <c r="CP971" s="33"/>
      <c r="CQ971" s="33"/>
      <c r="CR971" s="33"/>
      <c r="CS971" s="33"/>
      <c r="CT971" s="33"/>
      <c r="CU971" s="33"/>
      <c r="CV971" s="33"/>
      <c r="CW971" s="33"/>
      <c r="CX971" s="33"/>
      <c r="CY971" s="33"/>
      <c r="CZ971" s="33"/>
      <c r="DA971" s="33"/>
      <c r="DB971" s="33"/>
      <c r="DC971" s="33"/>
      <c r="DD971" s="33"/>
      <c r="DE971" s="33"/>
      <c r="DF971" s="33"/>
      <c r="DG971" s="33"/>
      <c r="DH971" s="33"/>
      <c r="DI971" s="33"/>
      <c r="DJ971" s="33"/>
      <c r="DK971" s="33"/>
      <c r="DL971" s="33"/>
      <c r="DM971" s="33"/>
      <c r="DN971" s="33"/>
      <c r="DO971" s="33"/>
      <c r="DP971" s="33"/>
      <c r="DQ971" s="33"/>
      <c r="DR971" s="33"/>
      <c r="DS971" s="33"/>
      <c r="DT971" s="33"/>
      <c r="DU971" s="33"/>
      <c r="DV971" s="33"/>
      <c r="DW971" s="33"/>
      <c r="DX971" s="33"/>
      <c r="DY971" s="33"/>
      <c r="DZ971" s="33"/>
      <c r="EA971" s="33"/>
      <c r="EB971" s="33"/>
      <c r="EC971" s="33"/>
      <c r="ED971" s="33"/>
      <c r="EE971" s="33"/>
      <c r="EF971" s="33"/>
      <c r="EG971" s="33"/>
      <c r="EH971" s="33"/>
      <c r="EI971" s="33"/>
      <c r="EJ971" s="33"/>
      <c r="EK971" s="33"/>
      <c r="EL971" s="33"/>
      <c r="EM971" s="33"/>
      <c r="EN971" s="33"/>
      <c r="EO971" s="33"/>
      <c r="EP971" s="33"/>
      <c r="EQ971" s="33"/>
      <c r="ER971" s="33"/>
      <c r="ES971" s="33"/>
    </row>
    <row r="972">
      <c r="A972" s="33"/>
      <c r="B972" s="33"/>
      <c r="C972" s="33"/>
      <c r="D972" s="33"/>
      <c r="E972" s="33"/>
      <c r="F972" s="33"/>
      <c r="G972" s="85"/>
      <c r="H972" s="85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33"/>
      <c r="Y972" s="33"/>
      <c r="Z972" s="33"/>
      <c r="AA972" s="33"/>
      <c r="AB972" s="33"/>
      <c r="AC972" s="33"/>
      <c r="AD972" s="33"/>
      <c r="AE972" s="33"/>
      <c r="AF972" s="33"/>
      <c r="AG972" s="33"/>
      <c r="AH972" s="33"/>
      <c r="AI972" s="33"/>
      <c r="AJ972" s="33"/>
      <c r="AK972" s="33"/>
      <c r="AL972" s="33"/>
      <c r="AM972" s="33"/>
      <c r="AN972" s="33"/>
      <c r="AO972" s="33"/>
      <c r="AP972" s="33"/>
      <c r="AQ972" s="33"/>
      <c r="AR972" s="33"/>
      <c r="AS972" s="33"/>
      <c r="AT972" s="33"/>
      <c r="AU972" s="33"/>
      <c r="AV972" s="33"/>
      <c r="AW972" s="33"/>
      <c r="AX972" s="33"/>
      <c r="AY972" s="33"/>
      <c r="AZ972" s="33"/>
      <c r="BA972" s="33"/>
      <c r="BB972" s="33"/>
      <c r="BC972" s="33"/>
      <c r="BD972" s="33"/>
      <c r="BE972" s="33"/>
      <c r="BF972" s="33"/>
      <c r="BG972" s="33"/>
      <c r="BH972" s="33"/>
      <c r="BI972" s="33"/>
      <c r="BJ972" s="33"/>
      <c r="BK972" s="33"/>
      <c r="BL972" s="33"/>
      <c r="BM972" s="33"/>
      <c r="BN972" s="33"/>
      <c r="BO972" s="33"/>
      <c r="BP972" s="33"/>
      <c r="BQ972" s="33"/>
      <c r="BR972" s="33"/>
      <c r="BS972" s="33"/>
      <c r="BT972" s="33"/>
      <c r="BU972" s="33"/>
      <c r="BV972" s="33"/>
      <c r="BW972" s="33"/>
      <c r="BX972" s="33"/>
      <c r="BY972" s="33"/>
      <c r="BZ972" s="33"/>
      <c r="CA972" s="33"/>
      <c r="CB972" s="33"/>
      <c r="CC972" s="33"/>
      <c r="CD972" s="33"/>
      <c r="CE972" s="33"/>
      <c r="CF972" s="33"/>
      <c r="CG972" s="33"/>
      <c r="CH972" s="33"/>
      <c r="CI972" s="33"/>
      <c r="CJ972" s="33"/>
      <c r="CK972" s="33"/>
      <c r="CL972" s="33"/>
      <c r="CM972" s="33"/>
      <c r="CN972" s="33"/>
      <c r="CO972" s="33"/>
      <c r="CP972" s="33"/>
      <c r="CQ972" s="33"/>
      <c r="CR972" s="33"/>
      <c r="CS972" s="33"/>
      <c r="CT972" s="33"/>
      <c r="CU972" s="33"/>
      <c r="CV972" s="33"/>
      <c r="CW972" s="33"/>
      <c r="CX972" s="33"/>
      <c r="CY972" s="33"/>
      <c r="CZ972" s="33"/>
      <c r="DA972" s="33"/>
      <c r="DB972" s="33"/>
      <c r="DC972" s="33"/>
      <c r="DD972" s="33"/>
      <c r="DE972" s="33"/>
      <c r="DF972" s="33"/>
      <c r="DG972" s="33"/>
      <c r="DH972" s="33"/>
      <c r="DI972" s="33"/>
      <c r="DJ972" s="33"/>
      <c r="DK972" s="33"/>
      <c r="DL972" s="33"/>
      <c r="DM972" s="33"/>
      <c r="DN972" s="33"/>
      <c r="DO972" s="33"/>
      <c r="DP972" s="33"/>
      <c r="DQ972" s="33"/>
      <c r="DR972" s="33"/>
      <c r="DS972" s="33"/>
      <c r="DT972" s="33"/>
      <c r="DU972" s="33"/>
      <c r="DV972" s="33"/>
      <c r="DW972" s="33"/>
      <c r="DX972" s="33"/>
      <c r="DY972" s="33"/>
      <c r="DZ972" s="33"/>
      <c r="EA972" s="33"/>
      <c r="EB972" s="33"/>
      <c r="EC972" s="33"/>
      <c r="ED972" s="33"/>
      <c r="EE972" s="33"/>
      <c r="EF972" s="33"/>
      <c r="EG972" s="33"/>
      <c r="EH972" s="33"/>
      <c r="EI972" s="33"/>
      <c r="EJ972" s="33"/>
      <c r="EK972" s="33"/>
      <c r="EL972" s="33"/>
      <c r="EM972" s="33"/>
      <c r="EN972" s="33"/>
      <c r="EO972" s="33"/>
      <c r="EP972" s="33"/>
      <c r="EQ972" s="33"/>
      <c r="ER972" s="33"/>
      <c r="ES972" s="33"/>
    </row>
    <row r="973">
      <c r="A973" s="33"/>
      <c r="B973" s="33"/>
      <c r="C973" s="33"/>
      <c r="D973" s="33"/>
      <c r="E973" s="33"/>
      <c r="F973" s="33"/>
      <c r="G973" s="85"/>
      <c r="H973" s="85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33"/>
      <c r="Y973" s="33"/>
      <c r="Z973" s="33"/>
      <c r="AA973" s="33"/>
      <c r="AB973" s="33"/>
      <c r="AC973" s="33"/>
      <c r="AD973" s="33"/>
      <c r="AE973" s="33"/>
      <c r="AF973" s="33"/>
      <c r="AG973" s="33"/>
      <c r="AH973" s="33"/>
      <c r="AI973" s="33"/>
      <c r="AJ973" s="33"/>
      <c r="AK973" s="33"/>
      <c r="AL973" s="33"/>
      <c r="AM973" s="33"/>
      <c r="AN973" s="33"/>
      <c r="AO973" s="33"/>
      <c r="AP973" s="33"/>
      <c r="AQ973" s="33"/>
      <c r="AR973" s="33"/>
      <c r="AS973" s="33"/>
      <c r="AT973" s="33"/>
      <c r="AU973" s="33"/>
      <c r="AV973" s="33"/>
      <c r="AW973" s="33"/>
      <c r="AX973" s="33"/>
      <c r="AY973" s="33"/>
      <c r="AZ973" s="33"/>
      <c r="BA973" s="33"/>
      <c r="BB973" s="33"/>
      <c r="BC973" s="33"/>
      <c r="BD973" s="33"/>
      <c r="BE973" s="33"/>
      <c r="BF973" s="33"/>
      <c r="BG973" s="33"/>
      <c r="BH973" s="33"/>
      <c r="BI973" s="33"/>
      <c r="BJ973" s="33"/>
      <c r="BK973" s="33"/>
      <c r="BL973" s="33"/>
      <c r="BM973" s="33"/>
      <c r="BN973" s="33"/>
      <c r="BO973" s="33"/>
      <c r="BP973" s="33"/>
      <c r="BQ973" s="33"/>
      <c r="BR973" s="33"/>
      <c r="BS973" s="33"/>
      <c r="BT973" s="33"/>
      <c r="BU973" s="33"/>
      <c r="BV973" s="33"/>
      <c r="BW973" s="33"/>
      <c r="BX973" s="33"/>
      <c r="BY973" s="33"/>
      <c r="BZ973" s="33"/>
      <c r="CA973" s="33"/>
      <c r="CB973" s="33"/>
      <c r="CC973" s="33"/>
      <c r="CD973" s="33"/>
      <c r="CE973" s="33"/>
      <c r="CF973" s="33"/>
      <c r="CG973" s="33"/>
      <c r="CH973" s="33"/>
      <c r="CI973" s="33"/>
      <c r="CJ973" s="33"/>
      <c r="CK973" s="33"/>
      <c r="CL973" s="33"/>
      <c r="CM973" s="33"/>
      <c r="CN973" s="33"/>
      <c r="CO973" s="33"/>
      <c r="CP973" s="33"/>
      <c r="CQ973" s="33"/>
      <c r="CR973" s="33"/>
      <c r="CS973" s="33"/>
      <c r="CT973" s="33"/>
      <c r="CU973" s="33"/>
      <c r="CV973" s="33"/>
      <c r="CW973" s="33"/>
      <c r="CX973" s="33"/>
      <c r="CY973" s="33"/>
      <c r="CZ973" s="33"/>
      <c r="DA973" s="33"/>
      <c r="DB973" s="33"/>
      <c r="DC973" s="33"/>
      <c r="DD973" s="33"/>
      <c r="DE973" s="33"/>
      <c r="DF973" s="33"/>
      <c r="DG973" s="33"/>
      <c r="DH973" s="33"/>
      <c r="DI973" s="33"/>
      <c r="DJ973" s="33"/>
      <c r="DK973" s="33"/>
      <c r="DL973" s="33"/>
      <c r="DM973" s="33"/>
      <c r="DN973" s="33"/>
      <c r="DO973" s="33"/>
      <c r="DP973" s="33"/>
      <c r="DQ973" s="33"/>
      <c r="DR973" s="33"/>
      <c r="DS973" s="33"/>
      <c r="DT973" s="33"/>
      <c r="DU973" s="33"/>
      <c r="DV973" s="33"/>
      <c r="DW973" s="33"/>
      <c r="DX973" s="33"/>
      <c r="DY973" s="33"/>
      <c r="DZ973" s="33"/>
      <c r="EA973" s="33"/>
      <c r="EB973" s="33"/>
      <c r="EC973" s="33"/>
      <c r="ED973" s="33"/>
      <c r="EE973" s="33"/>
      <c r="EF973" s="33"/>
      <c r="EG973" s="33"/>
      <c r="EH973" s="33"/>
      <c r="EI973" s="33"/>
      <c r="EJ973" s="33"/>
      <c r="EK973" s="33"/>
      <c r="EL973" s="33"/>
      <c r="EM973" s="33"/>
      <c r="EN973" s="33"/>
      <c r="EO973" s="33"/>
      <c r="EP973" s="33"/>
      <c r="EQ973" s="33"/>
      <c r="ER973" s="33"/>
      <c r="ES973" s="33"/>
    </row>
    <row r="974">
      <c r="A974" s="33"/>
      <c r="B974" s="33"/>
      <c r="C974" s="33"/>
      <c r="D974" s="33"/>
      <c r="E974" s="33"/>
      <c r="F974" s="33"/>
      <c r="G974" s="85"/>
      <c r="H974" s="85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33"/>
      <c r="Y974" s="33"/>
      <c r="Z974" s="33"/>
      <c r="AA974" s="33"/>
      <c r="AB974" s="33"/>
      <c r="AC974" s="33"/>
      <c r="AD974" s="33"/>
      <c r="AE974" s="33"/>
      <c r="AF974" s="33"/>
      <c r="AG974" s="33"/>
      <c r="AH974" s="33"/>
      <c r="AI974" s="33"/>
      <c r="AJ974" s="33"/>
      <c r="AK974" s="33"/>
      <c r="AL974" s="33"/>
      <c r="AM974" s="33"/>
      <c r="AN974" s="33"/>
      <c r="AO974" s="33"/>
      <c r="AP974" s="33"/>
      <c r="AQ974" s="33"/>
      <c r="AR974" s="33"/>
      <c r="AS974" s="33"/>
      <c r="AT974" s="33"/>
      <c r="AU974" s="33"/>
      <c r="AV974" s="33"/>
      <c r="AW974" s="33"/>
      <c r="AX974" s="33"/>
      <c r="AY974" s="33"/>
      <c r="AZ974" s="33"/>
      <c r="BA974" s="33"/>
      <c r="BB974" s="33"/>
      <c r="BC974" s="33"/>
      <c r="BD974" s="33"/>
      <c r="BE974" s="33"/>
      <c r="BF974" s="33"/>
      <c r="BG974" s="33"/>
      <c r="BH974" s="33"/>
      <c r="BI974" s="33"/>
      <c r="BJ974" s="33"/>
      <c r="BK974" s="33"/>
      <c r="BL974" s="33"/>
      <c r="BM974" s="33"/>
      <c r="BN974" s="33"/>
      <c r="BO974" s="33"/>
      <c r="BP974" s="33"/>
      <c r="BQ974" s="33"/>
      <c r="BR974" s="33"/>
      <c r="BS974" s="33"/>
      <c r="BT974" s="33"/>
      <c r="BU974" s="33"/>
      <c r="BV974" s="33"/>
      <c r="BW974" s="33"/>
      <c r="BX974" s="33"/>
      <c r="BY974" s="33"/>
      <c r="BZ974" s="33"/>
      <c r="CA974" s="33"/>
      <c r="CB974" s="33"/>
      <c r="CC974" s="33"/>
      <c r="CD974" s="33"/>
      <c r="CE974" s="33"/>
      <c r="CF974" s="33"/>
      <c r="CG974" s="33"/>
      <c r="CH974" s="33"/>
      <c r="CI974" s="33"/>
      <c r="CJ974" s="33"/>
      <c r="CK974" s="33"/>
      <c r="CL974" s="33"/>
      <c r="CM974" s="33"/>
      <c r="CN974" s="33"/>
      <c r="CO974" s="33"/>
      <c r="CP974" s="33"/>
      <c r="CQ974" s="33"/>
      <c r="CR974" s="33"/>
      <c r="CS974" s="33"/>
      <c r="CT974" s="33"/>
      <c r="CU974" s="33"/>
      <c r="CV974" s="33"/>
      <c r="CW974" s="33"/>
      <c r="CX974" s="33"/>
      <c r="CY974" s="33"/>
      <c r="CZ974" s="33"/>
      <c r="DA974" s="33"/>
      <c r="DB974" s="33"/>
      <c r="DC974" s="33"/>
      <c r="DD974" s="33"/>
      <c r="DE974" s="33"/>
      <c r="DF974" s="33"/>
      <c r="DG974" s="33"/>
      <c r="DH974" s="33"/>
      <c r="DI974" s="33"/>
      <c r="DJ974" s="33"/>
      <c r="DK974" s="33"/>
      <c r="DL974" s="33"/>
      <c r="DM974" s="33"/>
      <c r="DN974" s="33"/>
      <c r="DO974" s="33"/>
      <c r="DP974" s="33"/>
      <c r="DQ974" s="33"/>
      <c r="DR974" s="33"/>
      <c r="DS974" s="33"/>
      <c r="DT974" s="33"/>
      <c r="DU974" s="33"/>
      <c r="DV974" s="33"/>
      <c r="DW974" s="33"/>
      <c r="DX974" s="33"/>
      <c r="DY974" s="33"/>
      <c r="DZ974" s="33"/>
      <c r="EA974" s="33"/>
      <c r="EB974" s="33"/>
      <c r="EC974" s="33"/>
      <c r="ED974" s="33"/>
      <c r="EE974" s="33"/>
      <c r="EF974" s="33"/>
      <c r="EG974" s="33"/>
      <c r="EH974" s="33"/>
      <c r="EI974" s="33"/>
      <c r="EJ974" s="33"/>
      <c r="EK974" s="33"/>
      <c r="EL974" s="33"/>
      <c r="EM974" s="33"/>
      <c r="EN974" s="33"/>
      <c r="EO974" s="33"/>
      <c r="EP974" s="33"/>
      <c r="EQ974" s="33"/>
      <c r="ER974" s="33"/>
      <c r="ES974" s="33"/>
    </row>
    <row r="975">
      <c r="A975" s="33"/>
      <c r="B975" s="33"/>
      <c r="C975" s="33"/>
      <c r="D975" s="33"/>
      <c r="E975" s="33"/>
      <c r="F975" s="33"/>
      <c r="G975" s="85"/>
      <c r="H975" s="85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33"/>
      <c r="Y975" s="33"/>
      <c r="Z975" s="33"/>
      <c r="AA975" s="33"/>
      <c r="AB975" s="33"/>
      <c r="AC975" s="33"/>
      <c r="AD975" s="33"/>
      <c r="AE975" s="33"/>
      <c r="AF975" s="33"/>
      <c r="AG975" s="33"/>
      <c r="AH975" s="33"/>
      <c r="AI975" s="33"/>
      <c r="AJ975" s="33"/>
      <c r="AK975" s="33"/>
      <c r="AL975" s="33"/>
      <c r="AM975" s="33"/>
      <c r="AN975" s="33"/>
      <c r="AO975" s="33"/>
      <c r="AP975" s="33"/>
      <c r="AQ975" s="33"/>
      <c r="AR975" s="33"/>
      <c r="AS975" s="33"/>
      <c r="AT975" s="33"/>
      <c r="AU975" s="33"/>
      <c r="AV975" s="33"/>
      <c r="AW975" s="33"/>
      <c r="AX975" s="33"/>
      <c r="AY975" s="33"/>
      <c r="AZ975" s="33"/>
      <c r="BA975" s="33"/>
      <c r="BB975" s="33"/>
      <c r="BC975" s="33"/>
      <c r="BD975" s="33"/>
      <c r="BE975" s="33"/>
      <c r="BF975" s="33"/>
      <c r="BG975" s="33"/>
      <c r="BH975" s="33"/>
      <c r="BI975" s="33"/>
      <c r="BJ975" s="33"/>
      <c r="BK975" s="33"/>
      <c r="BL975" s="33"/>
      <c r="BM975" s="33"/>
      <c r="BN975" s="33"/>
      <c r="BO975" s="33"/>
      <c r="BP975" s="33"/>
      <c r="BQ975" s="33"/>
      <c r="BR975" s="33"/>
      <c r="BS975" s="33"/>
      <c r="BT975" s="33"/>
      <c r="BU975" s="33"/>
      <c r="BV975" s="33"/>
      <c r="BW975" s="33"/>
      <c r="BX975" s="33"/>
      <c r="BY975" s="33"/>
      <c r="BZ975" s="33"/>
      <c r="CA975" s="33"/>
      <c r="CB975" s="33"/>
      <c r="CC975" s="33"/>
      <c r="CD975" s="33"/>
      <c r="CE975" s="33"/>
      <c r="CF975" s="33"/>
      <c r="CG975" s="33"/>
      <c r="CH975" s="33"/>
      <c r="CI975" s="33"/>
      <c r="CJ975" s="33"/>
      <c r="CK975" s="33"/>
      <c r="CL975" s="33"/>
      <c r="CM975" s="33"/>
      <c r="CN975" s="33"/>
      <c r="CO975" s="33"/>
      <c r="CP975" s="33"/>
      <c r="CQ975" s="33"/>
      <c r="CR975" s="33"/>
      <c r="CS975" s="33"/>
      <c r="CT975" s="33"/>
      <c r="CU975" s="33"/>
      <c r="CV975" s="33"/>
      <c r="CW975" s="33"/>
      <c r="CX975" s="33"/>
      <c r="CY975" s="33"/>
      <c r="CZ975" s="33"/>
      <c r="DA975" s="33"/>
      <c r="DB975" s="33"/>
      <c r="DC975" s="33"/>
      <c r="DD975" s="33"/>
      <c r="DE975" s="33"/>
      <c r="DF975" s="33"/>
      <c r="DG975" s="33"/>
      <c r="DH975" s="33"/>
      <c r="DI975" s="33"/>
      <c r="DJ975" s="33"/>
      <c r="DK975" s="33"/>
      <c r="DL975" s="33"/>
      <c r="DM975" s="33"/>
      <c r="DN975" s="33"/>
      <c r="DO975" s="33"/>
      <c r="DP975" s="33"/>
      <c r="DQ975" s="33"/>
      <c r="DR975" s="33"/>
      <c r="DS975" s="33"/>
      <c r="DT975" s="33"/>
      <c r="DU975" s="33"/>
      <c r="DV975" s="33"/>
      <c r="DW975" s="33"/>
      <c r="DX975" s="33"/>
      <c r="DY975" s="33"/>
      <c r="DZ975" s="33"/>
      <c r="EA975" s="33"/>
      <c r="EB975" s="33"/>
      <c r="EC975" s="33"/>
      <c r="ED975" s="33"/>
      <c r="EE975" s="33"/>
      <c r="EF975" s="33"/>
      <c r="EG975" s="33"/>
      <c r="EH975" s="33"/>
      <c r="EI975" s="33"/>
      <c r="EJ975" s="33"/>
      <c r="EK975" s="33"/>
      <c r="EL975" s="33"/>
      <c r="EM975" s="33"/>
      <c r="EN975" s="33"/>
      <c r="EO975" s="33"/>
      <c r="EP975" s="33"/>
      <c r="EQ975" s="33"/>
      <c r="ER975" s="33"/>
      <c r="ES975" s="33"/>
    </row>
    <row r="976">
      <c r="A976" s="33"/>
      <c r="B976" s="33"/>
      <c r="C976" s="33"/>
      <c r="D976" s="33"/>
      <c r="E976" s="33"/>
      <c r="F976" s="33"/>
      <c r="G976" s="85"/>
      <c r="H976" s="85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33"/>
      <c r="Y976" s="33"/>
      <c r="Z976" s="33"/>
      <c r="AA976" s="33"/>
      <c r="AB976" s="33"/>
      <c r="AC976" s="33"/>
      <c r="AD976" s="33"/>
      <c r="AE976" s="33"/>
      <c r="AF976" s="33"/>
      <c r="AG976" s="33"/>
      <c r="AH976" s="33"/>
      <c r="AI976" s="33"/>
      <c r="AJ976" s="33"/>
      <c r="AK976" s="33"/>
      <c r="AL976" s="33"/>
      <c r="AM976" s="33"/>
      <c r="AN976" s="33"/>
      <c r="AO976" s="33"/>
      <c r="AP976" s="33"/>
      <c r="AQ976" s="33"/>
      <c r="AR976" s="33"/>
      <c r="AS976" s="33"/>
      <c r="AT976" s="33"/>
      <c r="AU976" s="33"/>
      <c r="AV976" s="33"/>
      <c r="AW976" s="33"/>
      <c r="AX976" s="33"/>
      <c r="AY976" s="33"/>
      <c r="AZ976" s="33"/>
      <c r="BA976" s="33"/>
      <c r="BB976" s="33"/>
      <c r="BC976" s="33"/>
      <c r="BD976" s="33"/>
      <c r="BE976" s="33"/>
      <c r="BF976" s="33"/>
      <c r="BG976" s="33"/>
      <c r="BH976" s="33"/>
      <c r="BI976" s="33"/>
      <c r="BJ976" s="33"/>
      <c r="BK976" s="33"/>
      <c r="BL976" s="33"/>
      <c r="BM976" s="33"/>
      <c r="BN976" s="33"/>
      <c r="BO976" s="33"/>
      <c r="BP976" s="33"/>
      <c r="BQ976" s="33"/>
      <c r="BR976" s="33"/>
      <c r="BS976" s="33"/>
      <c r="BT976" s="33"/>
      <c r="BU976" s="33"/>
      <c r="BV976" s="33"/>
      <c r="BW976" s="33"/>
      <c r="BX976" s="33"/>
      <c r="BY976" s="33"/>
      <c r="BZ976" s="33"/>
      <c r="CA976" s="33"/>
      <c r="CB976" s="33"/>
      <c r="CC976" s="33"/>
      <c r="CD976" s="33"/>
      <c r="CE976" s="33"/>
      <c r="CF976" s="33"/>
      <c r="CG976" s="33"/>
      <c r="CH976" s="33"/>
      <c r="CI976" s="33"/>
      <c r="CJ976" s="33"/>
      <c r="CK976" s="33"/>
      <c r="CL976" s="33"/>
      <c r="CM976" s="33"/>
      <c r="CN976" s="33"/>
      <c r="CO976" s="33"/>
      <c r="CP976" s="33"/>
      <c r="CQ976" s="33"/>
      <c r="CR976" s="33"/>
      <c r="CS976" s="33"/>
      <c r="CT976" s="33"/>
      <c r="CU976" s="33"/>
      <c r="CV976" s="33"/>
      <c r="CW976" s="33"/>
      <c r="CX976" s="33"/>
      <c r="CY976" s="33"/>
      <c r="CZ976" s="33"/>
      <c r="DA976" s="33"/>
      <c r="DB976" s="33"/>
      <c r="DC976" s="33"/>
      <c r="DD976" s="33"/>
      <c r="DE976" s="33"/>
      <c r="DF976" s="33"/>
      <c r="DG976" s="33"/>
      <c r="DH976" s="33"/>
      <c r="DI976" s="33"/>
      <c r="DJ976" s="33"/>
      <c r="DK976" s="33"/>
      <c r="DL976" s="33"/>
      <c r="DM976" s="33"/>
      <c r="DN976" s="33"/>
      <c r="DO976" s="33"/>
      <c r="DP976" s="33"/>
      <c r="DQ976" s="33"/>
      <c r="DR976" s="33"/>
      <c r="DS976" s="33"/>
      <c r="DT976" s="33"/>
      <c r="DU976" s="33"/>
      <c r="DV976" s="33"/>
      <c r="DW976" s="33"/>
      <c r="DX976" s="33"/>
      <c r="DY976" s="33"/>
      <c r="DZ976" s="33"/>
      <c r="EA976" s="33"/>
      <c r="EB976" s="33"/>
      <c r="EC976" s="33"/>
      <c r="ED976" s="33"/>
      <c r="EE976" s="33"/>
      <c r="EF976" s="33"/>
      <c r="EG976" s="33"/>
      <c r="EH976" s="33"/>
      <c r="EI976" s="33"/>
      <c r="EJ976" s="33"/>
      <c r="EK976" s="33"/>
      <c r="EL976" s="33"/>
      <c r="EM976" s="33"/>
      <c r="EN976" s="33"/>
      <c r="EO976" s="33"/>
      <c r="EP976" s="33"/>
      <c r="EQ976" s="33"/>
      <c r="ER976" s="33"/>
      <c r="ES976" s="33"/>
    </row>
    <row r="977">
      <c r="A977" s="33"/>
      <c r="B977" s="33"/>
      <c r="C977" s="33"/>
      <c r="D977" s="33"/>
      <c r="E977" s="33"/>
      <c r="F977" s="33"/>
      <c r="G977" s="85"/>
      <c r="H977" s="85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33"/>
      <c r="Y977" s="33"/>
      <c r="Z977" s="33"/>
      <c r="AA977" s="33"/>
      <c r="AB977" s="33"/>
      <c r="AC977" s="33"/>
      <c r="AD977" s="33"/>
      <c r="AE977" s="33"/>
      <c r="AF977" s="33"/>
      <c r="AG977" s="33"/>
      <c r="AH977" s="33"/>
      <c r="AI977" s="33"/>
      <c r="AJ977" s="33"/>
      <c r="AK977" s="33"/>
      <c r="AL977" s="33"/>
      <c r="AM977" s="33"/>
      <c r="AN977" s="33"/>
      <c r="AO977" s="33"/>
      <c r="AP977" s="33"/>
      <c r="AQ977" s="33"/>
      <c r="AR977" s="33"/>
      <c r="AS977" s="33"/>
      <c r="AT977" s="33"/>
      <c r="AU977" s="33"/>
      <c r="AV977" s="33"/>
      <c r="AW977" s="33"/>
      <c r="AX977" s="33"/>
      <c r="AY977" s="33"/>
      <c r="AZ977" s="33"/>
      <c r="BA977" s="33"/>
      <c r="BB977" s="33"/>
      <c r="BC977" s="33"/>
      <c r="BD977" s="33"/>
      <c r="BE977" s="33"/>
      <c r="BF977" s="33"/>
      <c r="BG977" s="33"/>
      <c r="BH977" s="33"/>
      <c r="BI977" s="33"/>
      <c r="BJ977" s="33"/>
      <c r="BK977" s="33"/>
      <c r="BL977" s="33"/>
      <c r="BM977" s="33"/>
      <c r="BN977" s="33"/>
      <c r="BO977" s="33"/>
      <c r="BP977" s="33"/>
      <c r="BQ977" s="33"/>
      <c r="BR977" s="33"/>
      <c r="BS977" s="33"/>
      <c r="BT977" s="33"/>
      <c r="BU977" s="33"/>
      <c r="BV977" s="33"/>
      <c r="BW977" s="33"/>
      <c r="BX977" s="33"/>
      <c r="BY977" s="33"/>
      <c r="BZ977" s="33"/>
      <c r="CA977" s="33"/>
      <c r="CB977" s="33"/>
      <c r="CC977" s="33"/>
      <c r="CD977" s="33"/>
      <c r="CE977" s="33"/>
      <c r="CF977" s="33"/>
      <c r="CG977" s="33"/>
      <c r="CH977" s="33"/>
      <c r="CI977" s="33"/>
      <c r="CJ977" s="33"/>
      <c r="CK977" s="33"/>
      <c r="CL977" s="33"/>
      <c r="CM977" s="33"/>
      <c r="CN977" s="33"/>
      <c r="CO977" s="33"/>
      <c r="CP977" s="33"/>
      <c r="CQ977" s="33"/>
      <c r="CR977" s="33"/>
      <c r="CS977" s="33"/>
      <c r="CT977" s="33"/>
      <c r="CU977" s="33"/>
      <c r="CV977" s="33"/>
      <c r="CW977" s="33"/>
      <c r="CX977" s="33"/>
      <c r="CY977" s="33"/>
      <c r="CZ977" s="33"/>
      <c r="DA977" s="33"/>
      <c r="DB977" s="33"/>
      <c r="DC977" s="33"/>
      <c r="DD977" s="33"/>
      <c r="DE977" s="33"/>
      <c r="DF977" s="33"/>
      <c r="DG977" s="33"/>
      <c r="DH977" s="33"/>
      <c r="DI977" s="33"/>
      <c r="DJ977" s="33"/>
      <c r="DK977" s="33"/>
      <c r="DL977" s="33"/>
      <c r="DM977" s="33"/>
      <c r="DN977" s="33"/>
      <c r="DO977" s="33"/>
      <c r="DP977" s="33"/>
      <c r="DQ977" s="33"/>
      <c r="DR977" s="33"/>
      <c r="DS977" s="33"/>
      <c r="DT977" s="33"/>
      <c r="DU977" s="33"/>
      <c r="DV977" s="33"/>
      <c r="DW977" s="33"/>
      <c r="DX977" s="33"/>
      <c r="DY977" s="33"/>
      <c r="DZ977" s="33"/>
      <c r="EA977" s="33"/>
      <c r="EB977" s="33"/>
      <c r="EC977" s="33"/>
      <c r="ED977" s="33"/>
      <c r="EE977" s="33"/>
      <c r="EF977" s="33"/>
      <c r="EG977" s="33"/>
      <c r="EH977" s="33"/>
      <c r="EI977" s="33"/>
      <c r="EJ977" s="33"/>
      <c r="EK977" s="33"/>
      <c r="EL977" s="33"/>
      <c r="EM977" s="33"/>
      <c r="EN977" s="33"/>
      <c r="EO977" s="33"/>
      <c r="EP977" s="33"/>
      <c r="EQ977" s="33"/>
      <c r="ER977" s="33"/>
      <c r="ES977" s="33"/>
    </row>
    <row r="978">
      <c r="A978" s="33"/>
      <c r="B978" s="33"/>
      <c r="C978" s="33"/>
      <c r="D978" s="33"/>
      <c r="E978" s="33"/>
      <c r="F978" s="33"/>
      <c r="G978" s="85"/>
      <c r="H978" s="85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33"/>
      <c r="Y978" s="33"/>
      <c r="Z978" s="33"/>
      <c r="AA978" s="33"/>
      <c r="AB978" s="33"/>
      <c r="AC978" s="33"/>
      <c r="AD978" s="33"/>
      <c r="AE978" s="33"/>
      <c r="AF978" s="33"/>
      <c r="AG978" s="33"/>
      <c r="AH978" s="33"/>
      <c r="AI978" s="33"/>
      <c r="AJ978" s="33"/>
      <c r="AK978" s="33"/>
      <c r="AL978" s="33"/>
      <c r="AM978" s="33"/>
      <c r="AN978" s="33"/>
      <c r="AO978" s="33"/>
      <c r="AP978" s="33"/>
      <c r="AQ978" s="33"/>
      <c r="AR978" s="33"/>
      <c r="AS978" s="33"/>
      <c r="AT978" s="33"/>
      <c r="AU978" s="33"/>
      <c r="AV978" s="33"/>
      <c r="AW978" s="33"/>
      <c r="AX978" s="33"/>
      <c r="AY978" s="33"/>
      <c r="AZ978" s="33"/>
      <c r="BA978" s="33"/>
      <c r="BB978" s="33"/>
      <c r="BC978" s="33"/>
      <c r="BD978" s="33"/>
      <c r="BE978" s="33"/>
      <c r="BF978" s="33"/>
      <c r="BG978" s="33"/>
      <c r="BH978" s="33"/>
      <c r="BI978" s="33"/>
      <c r="BJ978" s="33"/>
      <c r="BK978" s="33"/>
      <c r="BL978" s="33"/>
      <c r="BM978" s="33"/>
      <c r="BN978" s="33"/>
      <c r="BO978" s="33"/>
      <c r="BP978" s="33"/>
      <c r="BQ978" s="33"/>
      <c r="BR978" s="33"/>
      <c r="BS978" s="33"/>
      <c r="BT978" s="33"/>
      <c r="BU978" s="33"/>
      <c r="BV978" s="33"/>
      <c r="BW978" s="33"/>
      <c r="BX978" s="33"/>
      <c r="BY978" s="33"/>
      <c r="BZ978" s="33"/>
      <c r="CA978" s="33"/>
      <c r="CB978" s="33"/>
      <c r="CC978" s="33"/>
      <c r="CD978" s="33"/>
      <c r="CE978" s="33"/>
      <c r="CF978" s="33"/>
      <c r="CG978" s="33"/>
      <c r="CH978" s="33"/>
      <c r="CI978" s="33"/>
      <c r="CJ978" s="33"/>
      <c r="CK978" s="33"/>
      <c r="CL978" s="33"/>
      <c r="CM978" s="33"/>
      <c r="CN978" s="33"/>
      <c r="CO978" s="33"/>
      <c r="CP978" s="33"/>
      <c r="CQ978" s="33"/>
      <c r="CR978" s="33"/>
      <c r="CS978" s="33"/>
      <c r="CT978" s="33"/>
      <c r="CU978" s="33"/>
      <c r="CV978" s="33"/>
      <c r="CW978" s="33"/>
      <c r="CX978" s="33"/>
      <c r="CY978" s="33"/>
      <c r="CZ978" s="33"/>
      <c r="DA978" s="33"/>
      <c r="DB978" s="33"/>
      <c r="DC978" s="33"/>
      <c r="DD978" s="33"/>
      <c r="DE978" s="33"/>
      <c r="DF978" s="33"/>
      <c r="DG978" s="33"/>
      <c r="DH978" s="33"/>
      <c r="DI978" s="33"/>
      <c r="DJ978" s="33"/>
      <c r="DK978" s="33"/>
      <c r="DL978" s="33"/>
      <c r="DM978" s="33"/>
      <c r="DN978" s="33"/>
      <c r="DO978" s="33"/>
      <c r="DP978" s="33"/>
      <c r="DQ978" s="33"/>
      <c r="DR978" s="33"/>
      <c r="DS978" s="33"/>
      <c r="DT978" s="33"/>
      <c r="DU978" s="33"/>
      <c r="DV978" s="33"/>
      <c r="DW978" s="33"/>
      <c r="DX978" s="33"/>
      <c r="DY978" s="33"/>
      <c r="DZ978" s="33"/>
      <c r="EA978" s="33"/>
      <c r="EB978" s="33"/>
      <c r="EC978" s="33"/>
      <c r="ED978" s="33"/>
      <c r="EE978" s="33"/>
      <c r="EF978" s="33"/>
      <c r="EG978" s="33"/>
      <c r="EH978" s="33"/>
      <c r="EI978" s="33"/>
      <c r="EJ978" s="33"/>
      <c r="EK978" s="33"/>
      <c r="EL978" s="33"/>
      <c r="EM978" s="33"/>
      <c r="EN978" s="33"/>
      <c r="EO978" s="33"/>
      <c r="EP978" s="33"/>
      <c r="EQ978" s="33"/>
      <c r="ER978" s="33"/>
      <c r="ES978" s="33"/>
    </row>
    <row r="979">
      <c r="A979" s="33"/>
      <c r="B979" s="33"/>
      <c r="C979" s="33"/>
      <c r="D979" s="33"/>
      <c r="E979" s="33"/>
      <c r="F979" s="33"/>
      <c r="G979" s="85"/>
      <c r="H979" s="85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33"/>
      <c r="Y979" s="33"/>
      <c r="Z979" s="33"/>
      <c r="AA979" s="33"/>
      <c r="AB979" s="33"/>
      <c r="AC979" s="33"/>
      <c r="AD979" s="33"/>
      <c r="AE979" s="33"/>
      <c r="AF979" s="33"/>
      <c r="AG979" s="33"/>
      <c r="AH979" s="33"/>
      <c r="AI979" s="33"/>
      <c r="AJ979" s="33"/>
      <c r="AK979" s="33"/>
      <c r="AL979" s="33"/>
      <c r="AM979" s="33"/>
      <c r="AN979" s="33"/>
      <c r="AO979" s="33"/>
      <c r="AP979" s="33"/>
      <c r="AQ979" s="33"/>
      <c r="AR979" s="33"/>
      <c r="AS979" s="33"/>
      <c r="AT979" s="33"/>
      <c r="AU979" s="33"/>
      <c r="AV979" s="33"/>
      <c r="AW979" s="33"/>
      <c r="AX979" s="33"/>
      <c r="AY979" s="33"/>
      <c r="AZ979" s="33"/>
      <c r="BA979" s="33"/>
      <c r="BB979" s="33"/>
      <c r="BC979" s="33"/>
      <c r="BD979" s="33"/>
      <c r="BE979" s="33"/>
      <c r="BF979" s="33"/>
      <c r="BG979" s="33"/>
      <c r="BH979" s="33"/>
      <c r="BI979" s="33"/>
      <c r="BJ979" s="33"/>
      <c r="BK979" s="33"/>
      <c r="BL979" s="33"/>
      <c r="BM979" s="33"/>
      <c r="BN979" s="33"/>
      <c r="BO979" s="33"/>
      <c r="BP979" s="33"/>
      <c r="BQ979" s="33"/>
      <c r="BR979" s="33"/>
      <c r="BS979" s="33"/>
      <c r="BT979" s="33"/>
      <c r="BU979" s="33"/>
      <c r="BV979" s="33"/>
      <c r="BW979" s="33"/>
      <c r="BX979" s="33"/>
      <c r="BY979" s="33"/>
      <c r="BZ979" s="33"/>
      <c r="CA979" s="33"/>
      <c r="CB979" s="33"/>
      <c r="CC979" s="33"/>
      <c r="CD979" s="33"/>
      <c r="CE979" s="33"/>
      <c r="CF979" s="33"/>
      <c r="CG979" s="33"/>
      <c r="CH979" s="33"/>
      <c r="CI979" s="33"/>
      <c r="CJ979" s="33"/>
      <c r="CK979" s="33"/>
      <c r="CL979" s="33"/>
      <c r="CM979" s="33"/>
      <c r="CN979" s="33"/>
      <c r="CO979" s="33"/>
      <c r="CP979" s="33"/>
      <c r="CQ979" s="33"/>
      <c r="CR979" s="33"/>
      <c r="CS979" s="33"/>
      <c r="CT979" s="33"/>
      <c r="CU979" s="33"/>
      <c r="CV979" s="33"/>
      <c r="CW979" s="33"/>
      <c r="CX979" s="33"/>
      <c r="CY979" s="33"/>
      <c r="CZ979" s="33"/>
      <c r="DA979" s="33"/>
      <c r="DB979" s="33"/>
      <c r="DC979" s="33"/>
      <c r="DD979" s="33"/>
      <c r="DE979" s="33"/>
      <c r="DF979" s="33"/>
      <c r="DG979" s="33"/>
      <c r="DH979" s="33"/>
      <c r="DI979" s="33"/>
      <c r="DJ979" s="33"/>
      <c r="DK979" s="33"/>
      <c r="DL979" s="33"/>
      <c r="DM979" s="33"/>
      <c r="DN979" s="33"/>
      <c r="DO979" s="33"/>
      <c r="DP979" s="33"/>
      <c r="DQ979" s="33"/>
      <c r="DR979" s="33"/>
      <c r="DS979" s="33"/>
      <c r="DT979" s="33"/>
      <c r="DU979" s="33"/>
      <c r="DV979" s="33"/>
      <c r="DW979" s="33"/>
      <c r="DX979" s="33"/>
      <c r="DY979" s="33"/>
      <c r="DZ979" s="33"/>
      <c r="EA979" s="33"/>
      <c r="EB979" s="33"/>
      <c r="EC979" s="33"/>
      <c r="ED979" s="33"/>
      <c r="EE979" s="33"/>
      <c r="EF979" s="33"/>
      <c r="EG979" s="33"/>
      <c r="EH979" s="33"/>
      <c r="EI979" s="33"/>
      <c r="EJ979" s="33"/>
      <c r="EK979" s="33"/>
      <c r="EL979" s="33"/>
      <c r="EM979" s="33"/>
      <c r="EN979" s="33"/>
      <c r="EO979" s="33"/>
      <c r="EP979" s="33"/>
      <c r="EQ979" s="33"/>
      <c r="ER979" s="33"/>
      <c r="ES979" s="33"/>
    </row>
    <row r="980">
      <c r="A980" s="33"/>
      <c r="B980" s="33"/>
      <c r="C980" s="33"/>
      <c r="D980" s="33"/>
      <c r="E980" s="33"/>
      <c r="F980" s="33"/>
      <c r="G980" s="85"/>
      <c r="H980" s="85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33"/>
      <c r="Y980" s="33"/>
      <c r="Z980" s="33"/>
      <c r="AA980" s="33"/>
      <c r="AB980" s="33"/>
      <c r="AC980" s="33"/>
      <c r="AD980" s="33"/>
      <c r="AE980" s="33"/>
      <c r="AF980" s="33"/>
      <c r="AG980" s="33"/>
      <c r="AH980" s="33"/>
      <c r="AI980" s="33"/>
      <c r="AJ980" s="33"/>
      <c r="AK980" s="33"/>
      <c r="AL980" s="33"/>
      <c r="AM980" s="33"/>
      <c r="AN980" s="33"/>
      <c r="AO980" s="33"/>
      <c r="AP980" s="33"/>
      <c r="AQ980" s="33"/>
      <c r="AR980" s="33"/>
      <c r="AS980" s="33"/>
      <c r="AT980" s="33"/>
      <c r="AU980" s="33"/>
      <c r="AV980" s="33"/>
      <c r="AW980" s="33"/>
      <c r="AX980" s="33"/>
      <c r="AY980" s="33"/>
      <c r="AZ980" s="33"/>
      <c r="BA980" s="33"/>
      <c r="BB980" s="33"/>
      <c r="BC980" s="33"/>
      <c r="BD980" s="33"/>
      <c r="BE980" s="33"/>
      <c r="BF980" s="33"/>
      <c r="BG980" s="33"/>
      <c r="BH980" s="33"/>
      <c r="BI980" s="33"/>
      <c r="BJ980" s="33"/>
      <c r="BK980" s="33"/>
      <c r="BL980" s="33"/>
      <c r="BM980" s="33"/>
      <c r="BN980" s="33"/>
      <c r="BO980" s="33"/>
      <c r="BP980" s="33"/>
      <c r="BQ980" s="33"/>
      <c r="BR980" s="33"/>
      <c r="BS980" s="33"/>
      <c r="BT980" s="33"/>
      <c r="BU980" s="33"/>
      <c r="BV980" s="33"/>
      <c r="BW980" s="33"/>
      <c r="BX980" s="33"/>
      <c r="BY980" s="33"/>
      <c r="BZ980" s="33"/>
      <c r="CA980" s="33"/>
      <c r="CB980" s="33"/>
      <c r="CC980" s="33"/>
      <c r="CD980" s="33"/>
      <c r="CE980" s="33"/>
      <c r="CF980" s="33"/>
      <c r="CG980" s="33"/>
      <c r="CH980" s="33"/>
      <c r="CI980" s="33"/>
      <c r="CJ980" s="33"/>
      <c r="CK980" s="33"/>
      <c r="CL980" s="33"/>
      <c r="CM980" s="33"/>
      <c r="CN980" s="33"/>
      <c r="CO980" s="33"/>
      <c r="CP980" s="33"/>
      <c r="CQ980" s="33"/>
      <c r="CR980" s="33"/>
      <c r="CS980" s="33"/>
      <c r="CT980" s="33"/>
      <c r="CU980" s="33"/>
      <c r="CV980" s="33"/>
      <c r="CW980" s="33"/>
      <c r="CX980" s="33"/>
      <c r="CY980" s="33"/>
      <c r="CZ980" s="33"/>
      <c r="DA980" s="33"/>
      <c r="DB980" s="33"/>
      <c r="DC980" s="33"/>
      <c r="DD980" s="33"/>
      <c r="DE980" s="33"/>
      <c r="DF980" s="33"/>
      <c r="DG980" s="33"/>
      <c r="DH980" s="33"/>
      <c r="DI980" s="33"/>
      <c r="DJ980" s="33"/>
      <c r="DK980" s="33"/>
      <c r="DL980" s="33"/>
      <c r="DM980" s="33"/>
      <c r="DN980" s="33"/>
      <c r="DO980" s="33"/>
      <c r="DP980" s="33"/>
      <c r="DQ980" s="33"/>
      <c r="DR980" s="33"/>
      <c r="DS980" s="33"/>
      <c r="DT980" s="33"/>
      <c r="DU980" s="33"/>
      <c r="DV980" s="33"/>
      <c r="DW980" s="33"/>
      <c r="DX980" s="33"/>
      <c r="DY980" s="33"/>
      <c r="DZ980" s="33"/>
      <c r="EA980" s="33"/>
      <c r="EB980" s="33"/>
      <c r="EC980" s="33"/>
      <c r="ED980" s="33"/>
      <c r="EE980" s="33"/>
      <c r="EF980" s="33"/>
      <c r="EG980" s="33"/>
      <c r="EH980" s="33"/>
      <c r="EI980" s="33"/>
      <c r="EJ980" s="33"/>
      <c r="EK980" s="33"/>
      <c r="EL980" s="33"/>
      <c r="EM980" s="33"/>
      <c r="EN980" s="33"/>
      <c r="EO980" s="33"/>
      <c r="EP980" s="33"/>
      <c r="EQ980" s="33"/>
      <c r="ER980" s="33"/>
      <c r="ES980" s="33"/>
    </row>
    <row r="981">
      <c r="A981" s="33"/>
      <c r="B981" s="33"/>
      <c r="C981" s="33"/>
      <c r="D981" s="33"/>
      <c r="E981" s="33"/>
      <c r="F981" s="33"/>
      <c r="G981" s="85"/>
      <c r="H981" s="85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33"/>
      <c r="Y981" s="33"/>
      <c r="Z981" s="33"/>
      <c r="AA981" s="33"/>
      <c r="AB981" s="33"/>
      <c r="AC981" s="33"/>
      <c r="AD981" s="33"/>
      <c r="AE981" s="33"/>
      <c r="AF981" s="33"/>
      <c r="AG981" s="33"/>
      <c r="AH981" s="33"/>
      <c r="AI981" s="33"/>
      <c r="AJ981" s="33"/>
      <c r="AK981" s="33"/>
      <c r="AL981" s="33"/>
      <c r="AM981" s="33"/>
      <c r="AN981" s="33"/>
      <c r="AO981" s="33"/>
      <c r="AP981" s="33"/>
      <c r="AQ981" s="33"/>
      <c r="AR981" s="33"/>
      <c r="AS981" s="33"/>
      <c r="AT981" s="33"/>
      <c r="AU981" s="33"/>
      <c r="AV981" s="33"/>
      <c r="AW981" s="33"/>
      <c r="AX981" s="33"/>
      <c r="AY981" s="33"/>
      <c r="AZ981" s="33"/>
      <c r="BA981" s="33"/>
      <c r="BB981" s="33"/>
      <c r="BC981" s="33"/>
      <c r="BD981" s="33"/>
      <c r="BE981" s="33"/>
      <c r="BF981" s="33"/>
      <c r="BG981" s="33"/>
      <c r="BH981" s="33"/>
      <c r="BI981" s="33"/>
      <c r="BJ981" s="33"/>
      <c r="BK981" s="33"/>
      <c r="BL981" s="33"/>
      <c r="BM981" s="33"/>
      <c r="BN981" s="33"/>
      <c r="BO981" s="33"/>
      <c r="BP981" s="33"/>
      <c r="BQ981" s="33"/>
      <c r="BR981" s="33"/>
      <c r="BS981" s="33"/>
      <c r="BT981" s="33"/>
      <c r="BU981" s="33"/>
      <c r="BV981" s="33"/>
      <c r="BW981" s="33"/>
      <c r="BX981" s="33"/>
      <c r="BY981" s="33"/>
      <c r="BZ981" s="33"/>
      <c r="CA981" s="33"/>
      <c r="CB981" s="33"/>
      <c r="CC981" s="33"/>
      <c r="CD981" s="33"/>
      <c r="CE981" s="33"/>
      <c r="CF981" s="33"/>
      <c r="CG981" s="33"/>
      <c r="CH981" s="33"/>
      <c r="CI981" s="33"/>
      <c r="CJ981" s="33"/>
      <c r="CK981" s="33"/>
      <c r="CL981" s="33"/>
      <c r="CM981" s="33"/>
      <c r="CN981" s="33"/>
      <c r="CO981" s="33"/>
      <c r="CP981" s="33"/>
      <c r="CQ981" s="33"/>
      <c r="CR981" s="33"/>
      <c r="CS981" s="33"/>
      <c r="CT981" s="33"/>
      <c r="CU981" s="33"/>
      <c r="CV981" s="33"/>
      <c r="CW981" s="33"/>
      <c r="CX981" s="33"/>
      <c r="CY981" s="33"/>
      <c r="CZ981" s="33"/>
      <c r="DA981" s="33"/>
      <c r="DB981" s="33"/>
      <c r="DC981" s="33"/>
      <c r="DD981" s="33"/>
      <c r="DE981" s="33"/>
      <c r="DF981" s="33"/>
      <c r="DG981" s="33"/>
      <c r="DH981" s="33"/>
      <c r="DI981" s="33"/>
      <c r="DJ981" s="33"/>
      <c r="DK981" s="33"/>
      <c r="DL981" s="33"/>
      <c r="DM981" s="33"/>
      <c r="DN981" s="33"/>
      <c r="DO981" s="33"/>
      <c r="DP981" s="33"/>
      <c r="DQ981" s="33"/>
      <c r="DR981" s="33"/>
      <c r="DS981" s="33"/>
      <c r="DT981" s="33"/>
      <c r="DU981" s="33"/>
      <c r="DV981" s="33"/>
      <c r="DW981" s="33"/>
      <c r="DX981" s="33"/>
      <c r="DY981" s="33"/>
      <c r="DZ981" s="33"/>
      <c r="EA981" s="33"/>
      <c r="EB981" s="33"/>
      <c r="EC981" s="33"/>
      <c r="ED981" s="33"/>
      <c r="EE981" s="33"/>
      <c r="EF981" s="33"/>
      <c r="EG981" s="33"/>
      <c r="EH981" s="33"/>
      <c r="EI981" s="33"/>
      <c r="EJ981" s="33"/>
      <c r="EK981" s="33"/>
      <c r="EL981" s="33"/>
      <c r="EM981" s="33"/>
      <c r="EN981" s="33"/>
      <c r="EO981" s="33"/>
      <c r="EP981" s="33"/>
      <c r="EQ981" s="33"/>
      <c r="ER981" s="33"/>
      <c r="ES981" s="33"/>
    </row>
    <row r="982">
      <c r="A982" s="33"/>
      <c r="B982" s="33"/>
      <c r="C982" s="33"/>
      <c r="D982" s="33"/>
      <c r="E982" s="33"/>
      <c r="F982" s="33"/>
      <c r="G982" s="85"/>
      <c r="H982" s="85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33"/>
      <c r="AD982" s="33"/>
      <c r="AE982" s="33"/>
      <c r="AF982" s="33"/>
      <c r="AG982" s="33"/>
      <c r="AH982" s="33"/>
      <c r="AI982" s="33"/>
      <c r="AJ982" s="33"/>
      <c r="AK982" s="33"/>
      <c r="AL982" s="33"/>
      <c r="AM982" s="33"/>
      <c r="AN982" s="33"/>
      <c r="AO982" s="33"/>
      <c r="AP982" s="33"/>
      <c r="AQ982" s="33"/>
      <c r="AR982" s="33"/>
      <c r="AS982" s="33"/>
      <c r="AT982" s="33"/>
      <c r="AU982" s="33"/>
      <c r="AV982" s="33"/>
      <c r="AW982" s="33"/>
      <c r="AX982" s="33"/>
      <c r="AY982" s="33"/>
      <c r="AZ982" s="33"/>
      <c r="BA982" s="33"/>
      <c r="BB982" s="33"/>
      <c r="BC982" s="33"/>
      <c r="BD982" s="33"/>
      <c r="BE982" s="33"/>
      <c r="BF982" s="33"/>
      <c r="BG982" s="33"/>
      <c r="BH982" s="33"/>
      <c r="BI982" s="33"/>
      <c r="BJ982" s="33"/>
      <c r="BK982" s="33"/>
      <c r="BL982" s="33"/>
      <c r="BM982" s="33"/>
      <c r="BN982" s="33"/>
      <c r="BO982" s="33"/>
      <c r="BP982" s="33"/>
      <c r="BQ982" s="33"/>
      <c r="BR982" s="33"/>
      <c r="BS982" s="33"/>
      <c r="BT982" s="33"/>
      <c r="BU982" s="33"/>
      <c r="BV982" s="33"/>
      <c r="BW982" s="33"/>
      <c r="BX982" s="33"/>
      <c r="BY982" s="33"/>
      <c r="BZ982" s="33"/>
      <c r="CA982" s="33"/>
      <c r="CB982" s="33"/>
      <c r="CC982" s="33"/>
      <c r="CD982" s="33"/>
      <c r="CE982" s="33"/>
      <c r="CF982" s="33"/>
      <c r="CG982" s="33"/>
      <c r="CH982" s="33"/>
      <c r="CI982" s="33"/>
      <c r="CJ982" s="33"/>
      <c r="CK982" s="33"/>
      <c r="CL982" s="33"/>
      <c r="CM982" s="33"/>
      <c r="CN982" s="33"/>
      <c r="CO982" s="33"/>
      <c r="CP982" s="33"/>
      <c r="CQ982" s="33"/>
      <c r="CR982" s="33"/>
      <c r="CS982" s="33"/>
      <c r="CT982" s="33"/>
      <c r="CU982" s="33"/>
      <c r="CV982" s="33"/>
      <c r="CW982" s="33"/>
      <c r="CX982" s="33"/>
      <c r="CY982" s="33"/>
      <c r="CZ982" s="33"/>
      <c r="DA982" s="33"/>
      <c r="DB982" s="33"/>
      <c r="DC982" s="33"/>
      <c r="DD982" s="33"/>
      <c r="DE982" s="33"/>
      <c r="DF982" s="33"/>
      <c r="DG982" s="33"/>
      <c r="DH982" s="33"/>
      <c r="DI982" s="33"/>
      <c r="DJ982" s="33"/>
      <c r="DK982" s="33"/>
      <c r="DL982" s="33"/>
      <c r="DM982" s="33"/>
      <c r="DN982" s="33"/>
      <c r="DO982" s="33"/>
      <c r="DP982" s="33"/>
      <c r="DQ982" s="33"/>
      <c r="DR982" s="33"/>
      <c r="DS982" s="33"/>
      <c r="DT982" s="33"/>
      <c r="DU982" s="33"/>
      <c r="DV982" s="33"/>
      <c r="DW982" s="33"/>
      <c r="DX982" s="33"/>
      <c r="DY982" s="33"/>
      <c r="DZ982" s="33"/>
      <c r="EA982" s="33"/>
      <c r="EB982" s="33"/>
      <c r="EC982" s="33"/>
      <c r="ED982" s="33"/>
      <c r="EE982" s="33"/>
      <c r="EF982" s="33"/>
      <c r="EG982" s="33"/>
      <c r="EH982" s="33"/>
      <c r="EI982" s="33"/>
      <c r="EJ982" s="33"/>
      <c r="EK982" s="33"/>
      <c r="EL982" s="33"/>
      <c r="EM982" s="33"/>
      <c r="EN982" s="33"/>
      <c r="EO982" s="33"/>
      <c r="EP982" s="33"/>
      <c r="EQ982" s="33"/>
      <c r="ER982" s="33"/>
      <c r="ES982" s="33"/>
    </row>
    <row r="983">
      <c r="A983" s="33"/>
      <c r="B983" s="33"/>
      <c r="C983" s="33"/>
      <c r="D983" s="33"/>
      <c r="E983" s="33"/>
      <c r="F983" s="33"/>
      <c r="G983" s="85"/>
      <c r="H983" s="85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33"/>
      <c r="Y983" s="33"/>
      <c r="Z983" s="33"/>
      <c r="AA983" s="33"/>
      <c r="AB983" s="33"/>
      <c r="AC983" s="33"/>
      <c r="AD983" s="33"/>
      <c r="AE983" s="33"/>
      <c r="AF983" s="33"/>
      <c r="AG983" s="33"/>
      <c r="AH983" s="33"/>
      <c r="AI983" s="33"/>
      <c r="AJ983" s="33"/>
      <c r="AK983" s="33"/>
      <c r="AL983" s="33"/>
      <c r="AM983" s="33"/>
      <c r="AN983" s="33"/>
      <c r="AO983" s="33"/>
      <c r="AP983" s="33"/>
      <c r="AQ983" s="33"/>
      <c r="AR983" s="33"/>
      <c r="AS983" s="33"/>
      <c r="AT983" s="33"/>
      <c r="AU983" s="33"/>
      <c r="AV983" s="33"/>
      <c r="AW983" s="33"/>
      <c r="AX983" s="33"/>
      <c r="AY983" s="33"/>
      <c r="AZ983" s="33"/>
      <c r="BA983" s="33"/>
      <c r="BB983" s="33"/>
      <c r="BC983" s="33"/>
      <c r="BD983" s="33"/>
      <c r="BE983" s="33"/>
      <c r="BF983" s="33"/>
      <c r="BG983" s="33"/>
      <c r="BH983" s="33"/>
      <c r="BI983" s="33"/>
      <c r="BJ983" s="33"/>
      <c r="BK983" s="33"/>
      <c r="BL983" s="33"/>
      <c r="BM983" s="33"/>
      <c r="BN983" s="33"/>
      <c r="BO983" s="33"/>
      <c r="BP983" s="33"/>
      <c r="BQ983" s="33"/>
      <c r="BR983" s="33"/>
      <c r="BS983" s="33"/>
      <c r="BT983" s="33"/>
      <c r="BU983" s="33"/>
      <c r="BV983" s="33"/>
      <c r="BW983" s="33"/>
      <c r="BX983" s="33"/>
      <c r="BY983" s="33"/>
      <c r="BZ983" s="33"/>
      <c r="CA983" s="33"/>
      <c r="CB983" s="33"/>
      <c r="CC983" s="33"/>
      <c r="CD983" s="33"/>
      <c r="CE983" s="33"/>
      <c r="CF983" s="33"/>
      <c r="CG983" s="33"/>
      <c r="CH983" s="33"/>
      <c r="CI983" s="33"/>
      <c r="CJ983" s="33"/>
      <c r="CK983" s="33"/>
      <c r="CL983" s="33"/>
      <c r="CM983" s="33"/>
      <c r="CN983" s="33"/>
      <c r="CO983" s="33"/>
      <c r="CP983" s="33"/>
      <c r="CQ983" s="33"/>
      <c r="CR983" s="33"/>
      <c r="CS983" s="33"/>
      <c r="CT983" s="33"/>
      <c r="CU983" s="33"/>
      <c r="CV983" s="33"/>
      <c r="CW983" s="33"/>
      <c r="CX983" s="33"/>
      <c r="CY983" s="33"/>
      <c r="CZ983" s="33"/>
      <c r="DA983" s="33"/>
      <c r="DB983" s="33"/>
      <c r="DC983" s="33"/>
      <c r="DD983" s="33"/>
      <c r="DE983" s="33"/>
      <c r="DF983" s="33"/>
      <c r="DG983" s="33"/>
      <c r="DH983" s="33"/>
      <c r="DI983" s="33"/>
      <c r="DJ983" s="33"/>
      <c r="DK983" s="33"/>
      <c r="DL983" s="33"/>
      <c r="DM983" s="33"/>
      <c r="DN983" s="33"/>
      <c r="DO983" s="33"/>
      <c r="DP983" s="33"/>
      <c r="DQ983" s="33"/>
      <c r="DR983" s="33"/>
      <c r="DS983" s="33"/>
      <c r="DT983" s="33"/>
      <c r="DU983" s="33"/>
      <c r="DV983" s="33"/>
      <c r="DW983" s="33"/>
      <c r="DX983" s="33"/>
      <c r="DY983" s="33"/>
      <c r="DZ983" s="33"/>
      <c r="EA983" s="33"/>
      <c r="EB983" s="33"/>
      <c r="EC983" s="33"/>
      <c r="ED983" s="33"/>
      <c r="EE983" s="33"/>
      <c r="EF983" s="33"/>
      <c r="EG983" s="33"/>
      <c r="EH983" s="33"/>
      <c r="EI983" s="33"/>
      <c r="EJ983" s="33"/>
      <c r="EK983" s="33"/>
      <c r="EL983" s="33"/>
      <c r="EM983" s="33"/>
      <c r="EN983" s="33"/>
      <c r="EO983" s="33"/>
      <c r="EP983" s="33"/>
      <c r="EQ983" s="33"/>
      <c r="ER983" s="33"/>
      <c r="ES983" s="33"/>
    </row>
    <row r="984">
      <c r="A984" s="33"/>
      <c r="B984" s="33"/>
      <c r="C984" s="33"/>
      <c r="D984" s="33"/>
      <c r="E984" s="33"/>
      <c r="F984" s="33"/>
      <c r="G984" s="85"/>
      <c r="H984" s="85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33"/>
      <c r="Y984" s="33"/>
      <c r="Z984" s="33"/>
      <c r="AA984" s="33"/>
      <c r="AB984" s="33"/>
      <c r="AC984" s="33"/>
      <c r="AD984" s="33"/>
      <c r="AE984" s="33"/>
      <c r="AF984" s="33"/>
      <c r="AG984" s="33"/>
      <c r="AH984" s="33"/>
      <c r="AI984" s="33"/>
      <c r="AJ984" s="33"/>
      <c r="AK984" s="33"/>
      <c r="AL984" s="33"/>
      <c r="AM984" s="33"/>
      <c r="AN984" s="33"/>
      <c r="AO984" s="33"/>
      <c r="AP984" s="33"/>
      <c r="AQ984" s="33"/>
      <c r="AR984" s="33"/>
      <c r="AS984" s="33"/>
      <c r="AT984" s="33"/>
      <c r="AU984" s="33"/>
      <c r="AV984" s="33"/>
      <c r="AW984" s="33"/>
      <c r="AX984" s="33"/>
      <c r="AY984" s="33"/>
      <c r="AZ984" s="33"/>
      <c r="BA984" s="33"/>
      <c r="BB984" s="33"/>
      <c r="BC984" s="33"/>
      <c r="BD984" s="33"/>
      <c r="BE984" s="33"/>
      <c r="BF984" s="33"/>
      <c r="BG984" s="33"/>
      <c r="BH984" s="33"/>
      <c r="BI984" s="33"/>
      <c r="BJ984" s="33"/>
      <c r="BK984" s="33"/>
      <c r="BL984" s="33"/>
      <c r="BM984" s="33"/>
      <c r="BN984" s="33"/>
      <c r="BO984" s="33"/>
      <c r="BP984" s="33"/>
      <c r="BQ984" s="33"/>
      <c r="BR984" s="33"/>
      <c r="BS984" s="33"/>
      <c r="BT984" s="33"/>
      <c r="BU984" s="33"/>
      <c r="BV984" s="33"/>
      <c r="BW984" s="33"/>
      <c r="BX984" s="33"/>
      <c r="BY984" s="33"/>
      <c r="BZ984" s="33"/>
      <c r="CA984" s="33"/>
      <c r="CB984" s="33"/>
      <c r="CC984" s="33"/>
      <c r="CD984" s="33"/>
      <c r="CE984" s="33"/>
      <c r="CF984" s="33"/>
      <c r="CG984" s="33"/>
      <c r="CH984" s="33"/>
      <c r="CI984" s="33"/>
      <c r="CJ984" s="33"/>
      <c r="CK984" s="33"/>
      <c r="CL984" s="33"/>
      <c r="CM984" s="33"/>
      <c r="CN984" s="33"/>
      <c r="CO984" s="33"/>
      <c r="CP984" s="33"/>
      <c r="CQ984" s="33"/>
      <c r="CR984" s="33"/>
      <c r="CS984" s="33"/>
      <c r="CT984" s="33"/>
      <c r="CU984" s="33"/>
      <c r="CV984" s="33"/>
      <c r="CW984" s="33"/>
      <c r="CX984" s="33"/>
      <c r="CY984" s="33"/>
      <c r="CZ984" s="33"/>
      <c r="DA984" s="33"/>
      <c r="DB984" s="33"/>
      <c r="DC984" s="33"/>
      <c r="DD984" s="33"/>
      <c r="DE984" s="33"/>
      <c r="DF984" s="33"/>
      <c r="DG984" s="33"/>
      <c r="DH984" s="33"/>
      <c r="DI984" s="33"/>
      <c r="DJ984" s="33"/>
      <c r="DK984" s="33"/>
      <c r="DL984" s="33"/>
      <c r="DM984" s="33"/>
      <c r="DN984" s="33"/>
      <c r="DO984" s="33"/>
      <c r="DP984" s="33"/>
      <c r="DQ984" s="33"/>
      <c r="DR984" s="33"/>
      <c r="DS984" s="33"/>
      <c r="DT984" s="33"/>
      <c r="DU984" s="33"/>
      <c r="DV984" s="33"/>
      <c r="DW984" s="33"/>
      <c r="DX984" s="33"/>
      <c r="DY984" s="33"/>
      <c r="DZ984" s="33"/>
      <c r="EA984" s="33"/>
      <c r="EB984" s="33"/>
      <c r="EC984" s="33"/>
      <c r="ED984" s="33"/>
      <c r="EE984" s="33"/>
      <c r="EF984" s="33"/>
      <c r="EG984" s="33"/>
      <c r="EH984" s="33"/>
      <c r="EI984" s="33"/>
      <c r="EJ984" s="33"/>
      <c r="EK984" s="33"/>
      <c r="EL984" s="33"/>
      <c r="EM984" s="33"/>
      <c r="EN984" s="33"/>
      <c r="EO984" s="33"/>
      <c r="EP984" s="33"/>
      <c r="EQ984" s="33"/>
      <c r="ER984" s="33"/>
      <c r="ES984" s="33"/>
    </row>
    <row r="985">
      <c r="A985" s="33"/>
      <c r="B985" s="33"/>
      <c r="C985" s="33"/>
      <c r="D985" s="33"/>
      <c r="E985" s="33"/>
      <c r="F985" s="33"/>
      <c r="G985" s="85"/>
      <c r="H985" s="85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33"/>
      <c r="Y985" s="33"/>
      <c r="Z985" s="33"/>
      <c r="AA985" s="33"/>
      <c r="AB985" s="33"/>
      <c r="AC985" s="33"/>
      <c r="AD985" s="33"/>
      <c r="AE985" s="33"/>
      <c r="AF985" s="33"/>
      <c r="AG985" s="33"/>
      <c r="AH985" s="33"/>
      <c r="AI985" s="33"/>
      <c r="AJ985" s="33"/>
      <c r="AK985" s="33"/>
      <c r="AL985" s="33"/>
      <c r="AM985" s="33"/>
      <c r="AN985" s="33"/>
      <c r="AO985" s="33"/>
      <c r="AP985" s="33"/>
      <c r="AQ985" s="33"/>
      <c r="AR985" s="33"/>
      <c r="AS985" s="33"/>
      <c r="AT985" s="33"/>
      <c r="AU985" s="33"/>
      <c r="AV985" s="33"/>
      <c r="AW985" s="33"/>
      <c r="AX985" s="33"/>
      <c r="AY985" s="33"/>
      <c r="AZ985" s="33"/>
      <c r="BA985" s="33"/>
      <c r="BB985" s="33"/>
      <c r="BC985" s="33"/>
      <c r="BD985" s="33"/>
      <c r="BE985" s="33"/>
      <c r="BF985" s="33"/>
      <c r="BG985" s="33"/>
      <c r="BH985" s="33"/>
      <c r="BI985" s="33"/>
      <c r="BJ985" s="33"/>
      <c r="BK985" s="33"/>
      <c r="BL985" s="33"/>
      <c r="BM985" s="33"/>
      <c r="BN985" s="33"/>
      <c r="BO985" s="33"/>
      <c r="BP985" s="33"/>
      <c r="BQ985" s="33"/>
      <c r="BR985" s="33"/>
      <c r="BS985" s="33"/>
      <c r="BT985" s="33"/>
      <c r="BU985" s="33"/>
      <c r="BV985" s="33"/>
      <c r="BW985" s="33"/>
      <c r="BX985" s="33"/>
      <c r="BY985" s="33"/>
      <c r="BZ985" s="33"/>
      <c r="CA985" s="33"/>
      <c r="CB985" s="33"/>
      <c r="CC985" s="33"/>
      <c r="CD985" s="33"/>
      <c r="CE985" s="33"/>
      <c r="CF985" s="33"/>
      <c r="CG985" s="33"/>
      <c r="CH985" s="33"/>
      <c r="CI985" s="33"/>
      <c r="CJ985" s="33"/>
      <c r="CK985" s="33"/>
      <c r="CL985" s="33"/>
      <c r="CM985" s="33"/>
      <c r="CN985" s="33"/>
      <c r="CO985" s="33"/>
      <c r="CP985" s="33"/>
      <c r="CQ985" s="33"/>
      <c r="CR985" s="33"/>
      <c r="CS985" s="33"/>
      <c r="CT985" s="33"/>
      <c r="CU985" s="33"/>
      <c r="CV985" s="33"/>
      <c r="CW985" s="33"/>
      <c r="CX985" s="33"/>
      <c r="CY985" s="33"/>
      <c r="CZ985" s="33"/>
      <c r="DA985" s="33"/>
      <c r="DB985" s="33"/>
      <c r="DC985" s="33"/>
      <c r="DD985" s="33"/>
      <c r="DE985" s="33"/>
      <c r="DF985" s="33"/>
      <c r="DG985" s="33"/>
      <c r="DH985" s="33"/>
      <c r="DI985" s="33"/>
      <c r="DJ985" s="33"/>
      <c r="DK985" s="33"/>
      <c r="DL985" s="33"/>
      <c r="DM985" s="33"/>
      <c r="DN985" s="33"/>
      <c r="DO985" s="33"/>
      <c r="DP985" s="33"/>
      <c r="DQ985" s="33"/>
      <c r="DR985" s="33"/>
      <c r="DS985" s="33"/>
      <c r="DT985" s="33"/>
      <c r="DU985" s="33"/>
      <c r="DV985" s="33"/>
      <c r="DW985" s="33"/>
      <c r="DX985" s="33"/>
      <c r="DY985" s="33"/>
      <c r="DZ985" s="33"/>
      <c r="EA985" s="33"/>
      <c r="EB985" s="33"/>
      <c r="EC985" s="33"/>
      <c r="ED985" s="33"/>
      <c r="EE985" s="33"/>
      <c r="EF985" s="33"/>
      <c r="EG985" s="33"/>
      <c r="EH985" s="33"/>
      <c r="EI985" s="33"/>
      <c r="EJ985" s="33"/>
      <c r="EK985" s="33"/>
      <c r="EL985" s="33"/>
      <c r="EM985" s="33"/>
      <c r="EN985" s="33"/>
      <c r="EO985" s="33"/>
      <c r="EP985" s="33"/>
      <c r="EQ985" s="33"/>
      <c r="ER985" s="33"/>
      <c r="ES985" s="33"/>
    </row>
    <row r="986">
      <c r="A986" s="33"/>
      <c r="B986" s="33"/>
      <c r="C986" s="33"/>
      <c r="D986" s="33"/>
      <c r="E986" s="33"/>
      <c r="F986" s="33"/>
      <c r="G986" s="85"/>
      <c r="H986" s="85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33"/>
      <c r="Y986" s="33"/>
      <c r="Z986" s="33"/>
      <c r="AA986" s="33"/>
      <c r="AB986" s="33"/>
      <c r="AC986" s="33"/>
      <c r="AD986" s="33"/>
      <c r="AE986" s="33"/>
      <c r="AF986" s="33"/>
      <c r="AG986" s="33"/>
      <c r="AH986" s="33"/>
      <c r="AI986" s="33"/>
      <c r="AJ986" s="33"/>
      <c r="AK986" s="33"/>
      <c r="AL986" s="33"/>
      <c r="AM986" s="33"/>
      <c r="AN986" s="33"/>
      <c r="AO986" s="33"/>
      <c r="AP986" s="33"/>
      <c r="AQ986" s="33"/>
      <c r="AR986" s="33"/>
      <c r="AS986" s="33"/>
      <c r="AT986" s="33"/>
      <c r="AU986" s="33"/>
      <c r="AV986" s="33"/>
      <c r="AW986" s="33"/>
      <c r="AX986" s="33"/>
      <c r="AY986" s="33"/>
      <c r="AZ986" s="33"/>
      <c r="BA986" s="33"/>
      <c r="BB986" s="33"/>
      <c r="BC986" s="33"/>
      <c r="BD986" s="33"/>
      <c r="BE986" s="33"/>
      <c r="BF986" s="33"/>
      <c r="BG986" s="33"/>
      <c r="BH986" s="33"/>
      <c r="BI986" s="33"/>
      <c r="BJ986" s="33"/>
      <c r="BK986" s="33"/>
      <c r="BL986" s="33"/>
      <c r="BM986" s="33"/>
      <c r="BN986" s="33"/>
      <c r="BO986" s="33"/>
      <c r="BP986" s="33"/>
      <c r="BQ986" s="33"/>
      <c r="BR986" s="33"/>
      <c r="BS986" s="33"/>
      <c r="BT986" s="33"/>
      <c r="BU986" s="33"/>
      <c r="BV986" s="33"/>
      <c r="BW986" s="33"/>
      <c r="BX986" s="33"/>
      <c r="BY986" s="33"/>
      <c r="BZ986" s="33"/>
      <c r="CA986" s="33"/>
      <c r="CB986" s="33"/>
      <c r="CC986" s="33"/>
      <c r="CD986" s="33"/>
      <c r="CE986" s="33"/>
      <c r="CF986" s="33"/>
      <c r="CG986" s="33"/>
      <c r="CH986" s="33"/>
      <c r="CI986" s="33"/>
      <c r="CJ986" s="33"/>
      <c r="CK986" s="33"/>
      <c r="CL986" s="33"/>
      <c r="CM986" s="33"/>
      <c r="CN986" s="33"/>
      <c r="CO986" s="33"/>
      <c r="CP986" s="33"/>
      <c r="CQ986" s="33"/>
      <c r="CR986" s="33"/>
      <c r="CS986" s="33"/>
      <c r="CT986" s="33"/>
      <c r="CU986" s="33"/>
      <c r="CV986" s="33"/>
      <c r="CW986" s="33"/>
      <c r="CX986" s="33"/>
      <c r="CY986" s="33"/>
      <c r="CZ986" s="33"/>
      <c r="DA986" s="33"/>
      <c r="DB986" s="33"/>
      <c r="DC986" s="33"/>
      <c r="DD986" s="33"/>
      <c r="DE986" s="33"/>
      <c r="DF986" s="33"/>
      <c r="DG986" s="33"/>
      <c r="DH986" s="33"/>
      <c r="DI986" s="33"/>
      <c r="DJ986" s="33"/>
      <c r="DK986" s="33"/>
      <c r="DL986" s="33"/>
      <c r="DM986" s="33"/>
      <c r="DN986" s="33"/>
      <c r="DO986" s="33"/>
      <c r="DP986" s="33"/>
      <c r="DQ986" s="33"/>
      <c r="DR986" s="33"/>
      <c r="DS986" s="33"/>
      <c r="DT986" s="33"/>
      <c r="DU986" s="33"/>
      <c r="DV986" s="33"/>
      <c r="DW986" s="33"/>
      <c r="DX986" s="33"/>
      <c r="DY986" s="33"/>
      <c r="DZ986" s="33"/>
      <c r="EA986" s="33"/>
      <c r="EB986" s="33"/>
      <c r="EC986" s="33"/>
      <c r="ED986" s="33"/>
      <c r="EE986" s="33"/>
      <c r="EF986" s="33"/>
      <c r="EG986" s="33"/>
      <c r="EH986" s="33"/>
      <c r="EI986" s="33"/>
      <c r="EJ986" s="33"/>
      <c r="EK986" s="33"/>
      <c r="EL986" s="33"/>
      <c r="EM986" s="33"/>
      <c r="EN986" s="33"/>
      <c r="EO986" s="33"/>
      <c r="EP986" s="33"/>
      <c r="EQ986" s="33"/>
      <c r="ER986" s="33"/>
      <c r="ES986" s="33"/>
    </row>
    <row r="987">
      <c r="A987" s="33"/>
      <c r="B987" s="33"/>
      <c r="C987" s="33"/>
      <c r="D987" s="33"/>
      <c r="E987" s="33"/>
      <c r="F987" s="33"/>
      <c r="G987" s="85"/>
      <c r="H987" s="85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33"/>
      <c r="Y987" s="33"/>
      <c r="Z987" s="33"/>
      <c r="AA987" s="33"/>
      <c r="AB987" s="33"/>
      <c r="AC987" s="33"/>
      <c r="AD987" s="33"/>
      <c r="AE987" s="33"/>
      <c r="AF987" s="33"/>
      <c r="AG987" s="33"/>
      <c r="AH987" s="33"/>
      <c r="AI987" s="33"/>
      <c r="AJ987" s="33"/>
      <c r="AK987" s="33"/>
      <c r="AL987" s="33"/>
      <c r="AM987" s="33"/>
      <c r="AN987" s="33"/>
      <c r="AO987" s="33"/>
      <c r="AP987" s="33"/>
      <c r="AQ987" s="33"/>
      <c r="AR987" s="33"/>
      <c r="AS987" s="33"/>
      <c r="AT987" s="33"/>
      <c r="AU987" s="33"/>
      <c r="AV987" s="33"/>
      <c r="AW987" s="33"/>
      <c r="AX987" s="33"/>
      <c r="AY987" s="33"/>
      <c r="AZ987" s="33"/>
      <c r="BA987" s="33"/>
      <c r="BB987" s="33"/>
      <c r="BC987" s="33"/>
      <c r="BD987" s="33"/>
      <c r="BE987" s="33"/>
      <c r="BF987" s="33"/>
      <c r="BG987" s="33"/>
      <c r="BH987" s="33"/>
      <c r="BI987" s="33"/>
      <c r="BJ987" s="33"/>
      <c r="BK987" s="33"/>
      <c r="BL987" s="33"/>
      <c r="BM987" s="33"/>
      <c r="BN987" s="33"/>
      <c r="BO987" s="33"/>
      <c r="BP987" s="33"/>
      <c r="BQ987" s="33"/>
      <c r="BR987" s="33"/>
      <c r="BS987" s="33"/>
      <c r="BT987" s="33"/>
      <c r="BU987" s="33"/>
      <c r="BV987" s="33"/>
      <c r="BW987" s="33"/>
      <c r="BX987" s="33"/>
      <c r="BY987" s="33"/>
      <c r="BZ987" s="33"/>
      <c r="CA987" s="33"/>
      <c r="CB987" s="33"/>
      <c r="CC987" s="33"/>
      <c r="CD987" s="33"/>
      <c r="CE987" s="33"/>
      <c r="CF987" s="33"/>
      <c r="CG987" s="33"/>
      <c r="CH987" s="33"/>
      <c r="CI987" s="33"/>
      <c r="CJ987" s="33"/>
      <c r="CK987" s="33"/>
      <c r="CL987" s="33"/>
      <c r="CM987" s="33"/>
      <c r="CN987" s="33"/>
      <c r="CO987" s="33"/>
      <c r="CP987" s="33"/>
      <c r="CQ987" s="33"/>
      <c r="CR987" s="33"/>
      <c r="CS987" s="33"/>
      <c r="CT987" s="33"/>
      <c r="CU987" s="33"/>
      <c r="CV987" s="33"/>
      <c r="CW987" s="33"/>
      <c r="CX987" s="33"/>
      <c r="CY987" s="33"/>
      <c r="CZ987" s="33"/>
      <c r="DA987" s="33"/>
      <c r="DB987" s="33"/>
      <c r="DC987" s="33"/>
      <c r="DD987" s="33"/>
      <c r="DE987" s="33"/>
      <c r="DF987" s="33"/>
      <c r="DG987" s="33"/>
      <c r="DH987" s="33"/>
      <c r="DI987" s="33"/>
      <c r="DJ987" s="33"/>
      <c r="DK987" s="33"/>
      <c r="DL987" s="33"/>
      <c r="DM987" s="33"/>
      <c r="DN987" s="33"/>
      <c r="DO987" s="33"/>
      <c r="DP987" s="33"/>
      <c r="DQ987" s="33"/>
      <c r="DR987" s="33"/>
      <c r="DS987" s="33"/>
      <c r="DT987" s="33"/>
      <c r="DU987" s="33"/>
      <c r="DV987" s="33"/>
      <c r="DW987" s="33"/>
      <c r="DX987" s="33"/>
      <c r="DY987" s="33"/>
      <c r="DZ987" s="33"/>
      <c r="EA987" s="33"/>
      <c r="EB987" s="33"/>
      <c r="EC987" s="33"/>
      <c r="ED987" s="33"/>
      <c r="EE987" s="33"/>
      <c r="EF987" s="33"/>
      <c r="EG987" s="33"/>
      <c r="EH987" s="33"/>
      <c r="EI987" s="33"/>
      <c r="EJ987" s="33"/>
      <c r="EK987" s="33"/>
      <c r="EL987" s="33"/>
      <c r="EM987" s="33"/>
      <c r="EN987" s="33"/>
      <c r="EO987" s="33"/>
      <c r="EP987" s="33"/>
      <c r="EQ987" s="33"/>
      <c r="ER987" s="33"/>
      <c r="ES987" s="33"/>
    </row>
    <row r="988">
      <c r="A988" s="33"/>
      <c r="B988" s="33"/>
      <c r="C988" s="33"/>
      <c r="D988" s="33"/>
      <c r="E988" s="33"/>
      <c r="F988" s="33"/>
      <c r="G988" s="85"/>
      <c r="H988" s="85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33"/>
      <c r="Y988" s="33"/>
      <c r="Z988" s="33"/>
      <c r="AA988" s="33"/>
      <c r="AB988" s="33"/>
      <c r="AC988" s="33"/>
      <c r="AD988" s="33"/>
      <c r="AE988" s="33"/>
      <c r="AF988" s="33"/>
      <c r="AG988" s="33"/>
      <c r="AH988" s="33"/>
      <c r="AI988" s="33"/>
      <c r="AJ988" s="33"/>
      <c r="AK988" s="33"/>
      <c r="AL988" s="33"/>
      <c r="AM988" s="33"/>
      <c r="AN988" s="33"/>
      <c r="AO988" s="33"/>
      <c r="AP988" s="33"/>
      <c r="AQ988" s="33"/>
      <c r="AR988" s="33"/>
      <c r="AS988" s="33"/>
      <c r="AT988" s="33"/>
      <c r="AU988" s="33"/>
      <c r="AV988" s="33"/>
      <c r="AW988" s="33"/>
      <c r="AX988" s="33"/>
      <c r="AY988" s="33"/>
      <c r="AZ988" s="33"/>
      <c r="BA988" s="33"/>
      <c r="BB988" s="33"/>
      <c r="BC988" s="33"/>
      <c r="BD988" s="33"/>
      <c r="BE988" s="33"/>
      <c r="BF988" s="33"/>
      <c r="BG988" s="33"/>
      <c r="BH988" s="33"/>
      <c r="BI988" s="33"/>
      <c r="BJ988" s="33"/>
      <c r="BK988" s="33"/>
      <c r="BL988" s="33"/>
      <c r="BM988" s="33"/>
      <c r="BN988" s="33"/>
      <c r="BO988" s="33"/>
      <c r="BP988" s="33"/>
      <c r="BQ988" s="33"/>
      <c r="BR988" s="33"/>
      <c r="BS988" s="33"/>
      <c r="BT988" s="33"/>
      <c r="BU988" s="33"/>
      <c r="BV988" s="33"/>
      <c r="BW988" s="33"/>
      <c r="BX988" s="33"/>
      <c r="BY988" s="33"/>
      <c r="BZ988" s="33"/>
      <c r="CA988" s="33"/>
      <c r="CB988" s="33"/>
      <c r="CC988" s="33"/>
      <c r="CD988" s="33"/>
      <c r="CE988" s="33"/>
      <c r="CF988" s="33"/>
      <c r="CG988" s="33"/>
      <c r="CH988" s="33"/>
      <c r="CI988" s="33"/>
      <c r="CJ988" s="33"/>
      <c r="CK988" s="33"/>
      <c r="CL988" s="33"/>
      <c r="CM988" s="33"/>
      <c r="CN988" s="33"/>
      <c r="CO988" s="33"/>
      <c r="CP988" s="33"/>
      <c r="CQ988" s="33"/>
      <c r="CR988" s="33"/>
      <c r="CS988" s="33"/>
      <c r="CT988" s="33"/>
      <c r="CU988" s="33"/>
      <c r="CV988" s="33"/>
      <c r="CW988" s="33"/>
      <c r="CX988" s="33"/>
      <c r="CY988" s="33"/>
      <c r="CZ988" s="33"/>
      <c r="DA988" s="33"/>
      <c r="DB988" s="33"/>
      <c r="DC988" s="33"/>
      <c r="DD988" s="33"/>
      <c r="DE988" s="33"/>
      <c r="DF988" s="33"/>
      <c r="DG988" s="33"/>
      <c r="DH988" s="33"/>
      <c r="DI988" s="33"/>
      <c r="DJ988" s="33"/>
      <c r="DK988" s="33"/>
      <c r="DL988" s="33"/>
      <c r="DM988" s="33"/>
      <c r="DN988" s="33"/>
      <c r="DO988" s="33"/>
      <c r="DP988" s="33"/>
      <c r="DQ988" s="33"/>
      <c r="DR988" s="33"/>
      <c r="DS988" s="33"/>
      <c r="DT988" s="33"/>
      <c r="DU988" s="33"/>
      <c r="DV988" s="33"/>
      <c r="DW988" s="33"/>
      <c r="DX988" s="33"/>
      <c r="DY988" s="33"/>
      <c r="DZ988" s="33"/>
      <c r="EA988" s="33"/>
      <c r="EB988" s="33"/>
      <c r="EC988" s="33"/>
      <c r="ED988" s="33"/>
      <c r="EE988" s="33"/>
      <c r="EF988" s="33"/>
      <c r="EG988" s="33"/>
      <c r="EH988" s="33"/>
      <c r="EI988" s="33"/>
      <c r="EJ988" s="33"/>
      <c r="EK988" s="33"/>
      <c r="EL988" s="33"/>
      <c r="EM988" s="33"/>
      <c r="EN988" s="33"/>
      <c r="EO988" s="33"/>
      <c r="EP988" s="33"/>
      <c r="EQ988" s="33"/>
      <c r="ER988" s="33"/>
      <c r="ES988" s="33"/>
    </row>
    <row r="989">
      <c r="A989" s="33"/>
      <c r="B989" s="33"/>
      <c r="C989" s="33"/>
      <c r="D989" s="33"/>
      <c r="E989" s="33"/>
      <c r="F989" s="33"/>
      <c r="G989" s="85"/>
      <c r="H989" s="85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33"/>
      <c r="Y989" s="33"/>
      <c r="Z989" s="33"/>
      <c r="AA989" s="33"/>
      <c r="AB989" s="33"/>
      <c r="AC989" s="33"/>
      <c r="AD989" s="33"/>
      <c r="AE989" s="33"/>
      <c r="AF989" s="33"/>
      <c r="AG989" s="33"/>
      <c r="AH989" s="33"/>
      <c r="AI989" s="33"/>
      <c r="AJ989" s="33"/>
      <c r="AK989" s="33"/>
      <c r="AL989" s="33"/>
      <c r="AM989" s="33"/>
      <c r="AN989" s="33"/>
      <c r="AO989" s="33"/>
      <c r="AP989" s="33"/>
      <c r="AQ989" s="33"/>
      <c r="AR989" s="33"/>
      <c r="AS989" s="33"/>
      <c r="AT989" s="33"/>
      <c r="AU989" s="33"/>
      <c r="AV989" s="33"/>
      <c r="AW989" s="33"/>
      <c r="AX989" s="33"/>
      <c r="AY989" s="33"/>
      <c r="AZ989" s="33"/>
      <c r="BA989" s="33"/>
      <c r="BB989" s="33"/>
      <c r="BC989" s="33"/>
      <c r="BD989" s="33"/>
      <c r="BE989" s="33"/>
      <c r="BF989" s="33"/>
      <c r="BG989" s="33"/>
      <c r="BH989" s="33"/>
      <c r="BI989" s="33"/>
      <c r="BJ989" s="33"/>
      <c r="BK989" s="33"/>
      <c r="BL989" s="33"/>
      <c r="BM989" s="33"/>
      <c r="BN989" s="33"/>
      <c r="BO989" s="33"/>
      <c r="BP989" s="33"/>
      <c r="BQ989" s="33"/>
      <c r="BR989" s="33"/>
      <c r="BS989" s="33"/>
      <c r="BT989" s="33"/>
      <c r="BU989" s="33"/>
      <c r="BV989" s="33"/>
      <c r="BW989" s="33"/>
      <c r="BX989" s="33"/>
      <c r="BY989" s="33"/>
      <c r="BZ989" s="33"/>
      <c r="CA989" s="33"/>
      <c r="CB989" s="33"/>
      <c r="CC989" s="33"/>
      <c r="CD989" s="33"/>
      <c r="CE989" s="33"/>
      <c r="CF989" s="33"/>
      <c r="CG989" s="33"/>
      <c r="CH989" s="33"/>
      <c r="CI989" s="33"/>
      <c r="CJ989" s="33"/>
      <c r="CK989" s="33"/>
      <c r="CL989" s="33"/>
      <c r="CM989" s="33"/>
      <c r="CN989" s="33"/>
      <c r="CO989" s="33"/>
      <c r="CP989" s="33"/>
      <c r="CQ989" s="33"/>
      <c r="CR989" s="33"/>
      <c r="CS989" s="33"/>
      <c r="CT989" s="33"/>
      <c r="CU989" s="33"/>
      <c r="CV989" s="33"/>
      <c r="CW989" s="33"/>
      <c r="CX989" s="33"/>
      <c r="CY989" s="33"/>
      <c r="CZ989" s="33"/>
      <c r="DA989" s="33"/>
      <c r="DB989" s="33"/>
      <c r="DC989" s="33"/>
      <c r="DD989" s="33"/>
      <c r="DE989" s="33"/>
      <c r="DF989" s="33"/>
      <c r="DG989" s="33"/>
      <c r="DH989" s="33"/>
      <c r="DI989" s="33"/>
      <c r="DJ989" s="33"/>
      <c r="DK989" s="33"/>
      <c r="DL989" s="33"/>
      <c r="DM989" s="33"/>
      <c r="DN989" s="33"/>
      <c r="DO989" s="33"/>
      <c r="DP989" s="33"/>
      <c r="DQ989" s="33"/>
      <c r="DR989" s="33"/>
      <c r="DS989" s="33"/>
      <c r="DT989" s="33"/>
      <c r="DU989" s="33"/>
      <c r="DV989" s="33"/>
      <c r="DW989" s="33"/>
      <c r="DX989" s="33"/>
      <c r="DY989" s="33"/>
      <c r="DZ989" s="33"/>
      <c r="EA989" s="33"/>
      <c r="EB989" s="33"/>
      <c r="EC989" s="33"/>
      <c r="ED989" s="33"/>
      <c r="EE989" s="33"/>
      <c r="EF989" s="33"/>
      <c r="EG989" s="33"/>
      <c r="EH989" s="33"/>
      <c r="EI989" s="33"/>
      <c r="EJ989" s="33"/>
      <c r="EK989" s="33"/>
      <c r="EL989" s="33"/>
      <c r="EM989" s="33"/>
      <c r="EN989" s="33"/>
      <c r="EO989" s="33"/>
      <c r="EP989" s="33"/>
      <c r="EQ989" s="33"/>
      <c r="ER989" s="33"/>
      <c r="ES989" s="33"/>
    </row>
    <row r="990">
      <c r="A990" s="33"/>
      <c r="B990" s="33"/>
      <c r="C990" s="33"/>
      <c r="D990" s="33"/>
      <c r="E990" s="33"/>
      <c r="F990" s="33"/>
      <c r="G990" s="85"/>
      <c r="H990" s="85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33"/>
      <c r="Y990" s="33"/>
      <c r="Z990" s="33"/>
      <c r="AA990" s="33"/>
      <c r="AB990" s="33"/>
      <c r="AC990" s="33"/>
      <c r="AD990" s="33"/>
      <c r="AE990" s="33"/>
      <c r="AF990" s="33"/>
      <c r="AG990" s="33"/>
      <c r="AH990" s="33"/>
      <c r="AI990" s="33"/>
      <c r="AJ990" s="33"/>
      <c r="AK990" s="33"/>
      <c r="AL990" s="33"/>
      <c r="AM990" s="33"/>
      <c r="AN990" s="33"/>
      <c r="AO990" s="33"/>
      <c r="AP990" s="33"/>
      <c r="AQ990" s="33"/>
      <c r="AR990" s="33"/>
      <c r="AS990" s="33"/>
      <c r="AT990" s="33"/>
      <c r="AU990" s="33"/>
      <c r="AV990" s="33"/>
      <c r="AW990" s="33"/>
      <c r="AX990" s="33"/>
      <c r="AY990" s="33"/>
      <c r="AZ990" s="33"/>
      <c r="BA990" s="33"/>
      <c r="BB990" s="33"/>
      <c r="BC990" s="33"/>
      <c r="BD990" s="33"/>
      <c r="BE990" s="33"/>
      <c r="BF990" s="33"/>
      <c r="BG990" s="33"/>
      <c r="BH990" s="33"/>
      <c r="BI990" s="33"/>
      <c r="BJ990" s="33"/>
      <c r="BK990" s="33"/>
      <c r="BL990" s="33"/>
      <c r="BM990" s="33"/>
      <c r="BN990" s="33"/>
      <c r="BO990" s="33"/>
      <c r="BP990" s="33"/>
      <c r="BQ990" s="33"/>
      <c r="BR990" s="33"/>
      <c r="BS990" s="33"/>
      <c r="BT990" s="33"/>
      <c r="BU990" s="33"/>
      <c r="BV990" s="33"/>
      <c r="BW990" s="33"/>
      <c r="BX990" s="33"/>
      <c r="BY990" s="33"/>
      <c r="BZ990" s="33"/>
      <c r="CA990" s="33"/>
      <c r="CB990" s="33"/>
      <c r="CC990" s="33"/>
      <c r="CD990" s="33"/>
      <c r="CE990" s="33"/>
      <c r="CF990" s="33"/>
      <c r="CG990" s="33"/>
      <c r="CH990" s="33"/>
      <c r="CI990" s="33"/>
      <c r="CJ990" s="33"/>
      <c r="CK990" s="33"/>
      <c r="CL990" s="33"/>
      <c r="CM990" s="33"/>
      <c r="CN990" s="33"/>
      <c r="CO990" s="33"/>
      <c r="CP990" s="33"/>
      <c r="CQ990" s="33"/>
      <c r="CR990" s="33"/>
      <c r="CS990" s="33"/>
      <c r="CT990" s="33"/>
      <c r="CU990" s="33"/>
      <c r="CV990" s="33"/>
      <c r="CW990" s="33"/>
      <c r="CX990" s="33"/>
      <c r="CY990" s="33"/>
      <c r="CZ990" s="33"/>
      <c r="DA990" s="33"/>
      <c r="DB990" s="33"/>
      <c r="DC990" s="33"/>
      <c r="DD990" s="33"/>
      <c r="DE990" s="33"/>
      <c r="DF990" s="33"/>
      <c r="DG990" s="33"/>
      <c r="DH990" s="33"/>
      <c r="DI990" s="33"/>
      <c r="DJ990" s="33"/>
      <c r="DK990" s="33"/>
      <c r="DL990" s="33"/>
      <c r="DM990" s="33"/>
      <c r="DN990" s="33"/>
      <c r="DO990" s="33"/>
      <c r="DP990" s="33"/>
      <c r="DQ990" s="33"/>
      <c r="DR990" s="33"/>
      <c r="DS990" s="33"/>
      <c r="DT990" s="33"/>
      <c r="DU990" s="33"/>
      <c r="DV990" s="33"/>
      <c r="DW990" s="33"/>
      <c r="DX990" s="33"/>
      <c r="DY990" s="33"/>
      <c r="DZ990" s="33"/>
      <c r="EA990" s="33"/>
      <c r="EB990" s="33"/>
      <c r="EC990" s="33"/>
      <c r="ED990" s="33"/>
      <c r="EE990" s="33"/>
      <c r="EF990" s="33"/>
      <c r="EG990" s="33"/>
      <c r="EH990" s="33"/>
      <c r="EI990" s="33"/>
      <c r="EJ990" s="33"/>
      <c r="EK990" s="33"/>
      <c r="EL990" s="33"/>
      <c r="EM990" s="33"/>
      <c r="EN990" s="33"/>
      <c r="EO990" s="33"/>
      <c r="EP990" s="33"/>
      <c r="EQ990" s="33"/>
      <c r="ER990" s="33"/>
      <c r="ES990" s="33"/>
    </row>
    <row r="991">
      <c r="A991" s="33"/>
      <c r="B991" s="33"/>
      <c r="C991" s="33"/>
      <c r="D991" s="33"/>
      <c r="E991" s="33"/>
      <c r="F991" s="33"/>
      <c r="G991" s="85"/>
      <c r="H991" s="85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33"/>
      <c r="Y991" s="33"/>
      <c r="Z991" s="33"/>
      <c r="AA991" s="33"/>
      <c r="AB991" s="33"/>
      <c r="AC991" s="33"/>
      <c r="AD991" s="33"/>
      <c r="AE991" s="33"/>
      <c r="AF991" s="33"/>
      <c r="AG991" s="33"/>
      <c r="AH991" s="33"/>
      <c r="AI991" s="33"/>
      <c r="AJ991" s="33"/>
      <c r="AK991" s="33"/>
      <c r="AL991" s="33"/>
      <c r="AM991" s="33"/>
      <c r="AN991" s="33"/>
      <c r="AO991" s="33"/>
      <c r="AP991" s="33"/>
      <c r="AQ991" s="33"/>
      <c r="AR991" s="33"/>
      <c r="AS991" s="33"/>
      <c r="AT991" s="33"/>
      <c r="AU991" s="33"/>
      <c r="AV991" s="33"/>
      <c r="AW991" s="33"/>
      <c r="AX991" s="33"/>
      <c r="AY991" s="33"/>
      <c r="AZ991" s="33"/>
      <c r="BA991" s="33"/>
      <c r="BB991" s="33"/>
      <c r="BC991" s="33"/>
      <c r="BD991" s="33"/>
      <c r="BE991" s="33"/>
      <c r="BF991" s="33"/>
      <c r="BG991" s="33"/>
      <c r="BH991" s="33"/>
      <c r="BI991" s="33"/>
      <c r="BJ991" s="33"/>
      <c r="BK991" s="33"/>
      <c r="BL991" s="33"/>
      <c r="BM991" s="33"/>
      <c r="BN991" s="33"/>
      <c r="BO991" s="33"/>
      <c r="BP991" s="33"/>
      <c r="BQ991" s="33"/>
      <c r="BR991" s="33"/>
      <c r="BS991" s="33"/>
      <c r="BT991" s="33"/>
      <c r="BU991" s="33"/>
      <c r="BV991" s="33"/>
      <c r="BW991" s="33"/>
      <c r="BX991" s="33"/>
      <c r="BY991" s="33"/>
      <c r="BZ991" s="33"/>
      <c r="CA991" s="33"/>
      <c r="CB991" s="33"/>
      <c r="CC991" s="33"/>
      <c r="CD991" s="33"/>
      <c r="CE991" s="33"/>
      <c r="CF991" s="33"/>
      <c r="CG991" s="33"/>
      <c r="CH991" s="33"/>
      <c r="CI991" s="33"/>
      <c r="CJ991" s="33"/>
      <c r="CK991" s="33"/>
      <c r="CL991" s="33"/>
      <c r="CM991" s="33"/>
      <c r="CN991" s="33"/>
      <c r="CO991" s="33"/>
      <c r="CP991" s="33"/>
      <c r="CQ991" s="33"/>
      <c r="CR991" s="33"/>
      <c r="CS991" s="33"/>
      <c r="CT991" s="33"/>
      <c r="CU991" s="33"/>
      <c r="CV991" s="33"/>
      <c r="CW991" s="33"/>
      <c r="CX991" s="33"/>
      <c r="CY991" s="33"/>
      <c r="CZ991" s="33"/>
      <c r="DA991" s="33"/>
      <c r="DB991" s="33"/>
      <c r="DC991" s="33"/>
      <c r="DD991" s="33"/>
      <c r="DE991" s="33"/>
      <c r="DF991" s="33"/>
      <c r="DG991" s="33"/>
      <c r="DH991" s="33"/>
      <c r="DI991" s="33"/>
      <c r="DJ991" s="33"/>
      <c r="DK991" s="33"/>
      <c r="DL991" s="33"/>
      <c r="DM991" s="33"/>
      <c r="DN991" s="33"/>
      <c r="DO991" s="33"/>
      <c r="DP991" s="33"/>
      <c r="DQ991" s="33"/>
      <c r="DR991" s="33"/>
      <c r="DS991" s="33"/>
      <c r="DT991" s="33"/>
      <c r="DU991" s="33"/>
      <c r="DV991" s="33"/>
      <c r="DW991" s="33"/>
      <c r="DX991" s="33"/>
      <c r="DY991" s="33"/>
      <c r="DZ991" s="33"/>
      <c r="EA991" s="33"/>
      <c r="EB991" s="33"/>
      <c r="EC991" s="33"/>
      <c r="ED991" s="33"/>
      <c r="EE991" s="33"/>
      <c r="EF991" s="33"/>
      <c r="EG991" s="33"/>
      <c r="EH991" s="33"/>
      <c r="EI991" s="33"/>
      <c r="EJ991" s="33"/>
      <c r="EK991" s="33"/>
      <c r="EL991" s="33"/>
      <c r="EM991" s="33"/>
      <c r="EN991" s="33"/>
      <c r="EO991" s="33"/>
      <c r="EP991" s="33"/>
      <c r="EQ991" s="33"/>
      <c r="ER991" s="33"/>
      <c r="ES991" s="33"/>
    </row>
    <row r="992">
      <c r="A992" s="33"/>
      <c r="B992" s="33"/>
      <c r="C992" s="33"/>
      <c r="D992" s="33"/>
      <c r="E992" s="33"/>
      <c r="F992" s="33"/>
      <c r="G992" s="85"/>
      <c r="H992" s="85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33"/>
      <c r="Y992" s="33"/>
      <c r="Z992" s="33"/>
      <c r="AA992" s="33"/>
      <c r="AB992" s="33"/>
      <c r="AC992" s="33"/>
      <c r="AD992" s="33"/>
      <c r="AE992" s="33"/>
      <c r="AF992" s="33"/>
      <c r="AG992" s="33"/>
      <c r="AH992" s="33"/>
      <c r="AI992" s="33"/>
      <c r="AJ992" s="33"/>
      <c r="AK992" s="33"/>
      <c r="AL992" s="33"/>
      <c r="AM992" s="33"/>
      <c r="AN992" s="33"/>
      <c r="AO992" s="33"/>
      <c r="AP992" s="33"/>
      <c r="AQ992" s="33"/>
      <c r="AR992" s="33"/>
      <c r="AS992" s="33"/>
      <c r="AT992" s="33"/>
      <c r="AU992" s="33"/>
      <c r="AV992" s="33"/>
      <c r="AW992" s="33"/>
      <c r="AX992" s="33"/>
      <c r="AY992" s="33"/>
      <c r="AZ992" s="33"/>
      <c r="BA992" s="33"/>
      <c r="BB992" s="33"/>
      <c r="BC992" s="33"/>
      <c r="BD992" s="33"/>
      <c r="BE992" s="33"/>
      <c r="BF992" s="33"/>
      <c r="BG992" s="33"/>
      <c r="BH992" s="33"/>
      <c r="BI992" s="33"/>
      <c r="BJ992" s="33"/>
      <c r="BK992" s="33"/>
      <c r="BL992" s="33"/>
      <c r="BM992" s="33"/>
      <c r="BN992" s="33"/>
      <c r="BO992" s="33"/>
      <c r="BP992" s="33"/>
      <c r="BQ992" s="33"/>
      <c r="BR992" s="33"/>
      <c r="BS992" s="33"/>
      <c r="BT992" s="33"/>
      <c r="BU992" s="33"/>
      <c r="BV992" s="33"/>
      <c r="BW992" s="33"/>
      <c r="BX992" s="33"/>
      <c r="BY992" s="33"/>
      <c r="BZ992" s="33"/>
      <c r="CA992" s="33"/>
      <c r="CB992" s="33"/>
      <c r="CC992" s="33"/>
      <c r="CD992" s="33"/>
      <c r="CE992" s="33"/>
      <c r="CF992" s="33"/>
      <c r="CG992" s="33"/>
      <c r="CH992" s="33"/>
      <c r="CI992" s="33"/>
      <c r="CJ992" s="33"/>
      <c r="CK992" s="33"/>
      <c r="CL992" s="33"/>
      <c r="CM992" s="33"/>
      <c r="CN992" s="33"/>
      <c r="CO992" s="33"/>
      <c r="CP992" s="33"/>
      <c r="CQ992" s="33"/>
      <c r="CR992" s="33"/>
      <c r="CS992" s="33"/>
      <c r="CT992" s="33"/>
      <c r="CU992" s="33"/>
      <c r="CV992" s="33"/>
      <c r="CW992" s="33"/>
      <c r="CX992" s="33"/>
      <c r="CY992" s="33"/>
      <c r="CZ992" s="33"/>
      <c r="DA992" s="33"/>
      <c r="DB992" s="33"/>
      <c r="DC992" s="33"/>
      <c r="DD992" s="33"/>
      <c r="DE992" s="33"/>
      <c r="DF992" s="33"/>
      <c r="DG992" s="33"/>
      <c r="DH992" s="33"/>
      <c r="DI992" s="33"/>
      <c r="DJ992" s="33"/>
      <c r="DK992" s="33"/>
      <c r="DL992" s="33"/>
      <c r="DM992" s="33"/>
      <c r="DN992" s="33"/>
      <c r="DO992" s="33"/>
      <c r="DP992" s="33"/>
      <c r="DQ992" s="33"/>
      <c r="DR992" s="33"/>
      <c r="DS992" s="33"/>
      <c r="DT992" s="33"/>
      <c r="DU992" s="33"/>
      <c r="DV992" s="33"/>
      <c r="DW992" s="33"/>
      <c r="DX992" s="33"/>
      <c r="DY992" s="33"/>
      <c r="DZ992" s="33"/>
      <c r="EA992" s="33"/>
      <c r="EB992" s="33"/>
      <c r="EC992" s="33"/>
      <c r="ED992" s="33"/>
      <c r="EE992" s="33"/>
      <c r="EF992" s="33"/>
      <c r="EG992" s="33"/>
      <c r="EH992" s="33"/>
      <c r="EI992" s="33"/>
      <c r="EJ992" s="33"/>
      <c r="EK992" s="33"/>
      <c r="EL992" s="33"/>
      <c r="EM992" s="33"/>
      <c r="EN992" s="33"/>
      <c r="EO992" s="33"/>
      <c r="EP992" s="33"/>
      <c r="EQ992" s="33"/>
      <c r="ER992" s="33"/>
      <c r="ES992" s="33"/>
    </row>
    <row r="993">
      <c r="A993" s="33"/>
      <c r="B993" s="33"/>
      <c r="C993" s="33"/>
      <c r="D993" s="33"/>
      <c r="E993" s="33"/>
      <c r="F993" s="33"/>
      <c r="G993" s="85"/>
      <c r="H993" s="85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33"/>
      <c r="Y993" s="33"/>
      <c r="Z993" s="33"/>
      <c r="AA993" s="33"/>
      <c r="AB993" s="33"/>
      <c r="AC993" s="33"/>
      <c r="AD993" s="33"/>
      <c r="AE993" s="33"/>
      <c r="AF993" s="33"/>
      <c r="AG993" s="33"/>
      <c r="AH993" s="33"/>
      <c r="AI993" s="33"/>
      <c r="AJ993" s="33"/>
      <c r="AK993" s="33"/>
      <c r="AL993" s="33"/>
      <c r="AM993" s="33"/>
      <c r="AN993" s="33"/>
      <c r="AO993" s="33"/>
      <c r="AP993" s="33"/>
      <c r="AQ993" s="33"/>
      <c r="AR993" s="33"/>
      <c r="AS993" s="33"/>
      <c r="AT993" s="33"/>
      <c r="AU993" s="33"/>
      <c r="AV993" s="33"/>
      <c r="AW993" s="33"/>
      <c r="AX993" s="33"/>
      <c r="AY993" s="33"/>
      <c r="AZ993" s="33"/>
      <c r="BA993" s="33"/>
      <c r="BB993" s="33"/>
      <c r="BC993" s="33"/>
      <c r="BD993" s="33"/>
      <c r="BE993" s="33"/>
      <c r="BF993" s="33"/>
      <c r="BG993" s="33"/>
      <c r="BH993" s="33"/>
      <c r="BI993" s="33"/>
      <c r="BJ993" s="33"/>
      <c r="BK993" s="33"/>
      <c r="BL993" s="33"/>
      <c r="BM993" s="33"/>
      <c r="BN993" s="33"/>
      <c r="BO993" s="33"/>
      <c r="BP993" s="33"/>
      <c r="BQ993" s="33"/>
      <c r="BR993" s="33"/>
      <c r="BS993" s="33"/>
      <c r="BT993" s="33"/>
      <c r="BU993" s="33"/>
      <c r="BV993" s="33"/>
      <c r="BW993" s="33"/>
      <c r="BX993" s="33"/>
      <c r="BY993" s="33"/>
      <c r="BZ993" s="33"/>
      <c r="CA993" s="33"/>
      <c r="CB993" s="33"/>
      <c r="CC993" s="33"/>
      <c r="CD993" s="33"/>
      <c r="CE993" s="33"/>
      <c r="CF993" s="33"/>
      <c r="CG993" s="33"/>
      <c r="CH993" s="33"/>
      <c r="CI993" s="33"/>
      <c r="CJ993" s="33"/>
      <c r="CK993" s="33"/>
      <c r="CL993" s="33"/>
      <c r="CM993" s="33"/>
      <c r="CN993" s="33"/>
      <c r="CO993" s="33"/>
      <c r="CP993" s="33"/>
      <c r="CQ993" s="33"/>
      <c r="CR993" s="33"/>
      <c r="CS993" s="33"/>
      <c r="CT993" s="33"/>
      <c r="CU993" s="33"/>
      <c r="CV993" s="33"/>
      <c r="CW993" s="33"/>
      <c r="CX993" s="33"/>
      <c r="CY993" s="33"/>
      <c r="CZ993" s="33"/>
      <c r="DA993" s="33"/>
      <c r="DB993" s="33"/>
      <c r="DC993" s="33"/>
      <c r="DD993" s="33"/>
      <c r="DE993" s="33"/>
      <c r="DF993" s="33"/>
      <c r="DG993" s="33"/>
      <c r="DH993" s="33"/>
      <c r="DI993" s="33"/>
      <c r="DJ993" s="33"/>
      <c r="DK993" s="33"/>
      <c r="DL993" s="33"/>
      <c r="DM993" s="33"/>
      <c r="DN993" s="33"/>
      <c r="DO993" s="33"/>
      <c r="DP993" s="33"/>
      <c r="DQ993" s="33"/>
      <c r="DR993" s="33"/>
      <c r="DS993" s="33"/>
      <c r="DT993" s="33"/>
      <c r="DU993" s="33"/>
      <c r="DV993" s="33"/>
      <c r="DW993" s="33"/>
      <c r="DX993" s="33"/>
      <c r="DY993" s="33"/>
      <c r="DZ993" s="33"/>
      <c r="EA993" s="33"/>
      <c r="EB993" s="33"/>
      <c r="EC993" s="33"/>
      <c r="ED993" s="33"/>
      <c r="EE993" s="33"/>
      <c r="EF993" s="33"/>
      <c r="EG993" s="33"/>
      <c r="EH993" s="33"/>
      <c r="EI993" s="33"/>
      <c r="EJ993" s="33"/>
      <c r="EK993" s="33"/>
      <c r="EL993" s="33"/>
      <c r="EM993" s="33"/>
      <c r="EN993" s="33"/>
      <c r="EO993" s="33"/>
      <c r="EP993" s="33"/>
      <c r="EQ993" s="33"/>
      <c r="ER993" s="33"/>
      <c r="ES993" s="33"/>
    </row>
    <row r="994">
      <c r="A994" s="33"/>
      <c r="B994" s="33"/>
      <c r="C994" s="33"/>
      <c r="D994" s="33"/>
      <c r="E994" s="33"/>
      <c r="F994" s="33"/>
      <c r="G994" s="85"/>
      <c r="H994" s="85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33"/>
      <c r="Y994" s="33"/>
      <c r="Z994" s="33"/>
      <c r="AA994" s="33"/>
      <c r="AB994" s="33"/>
      <c r="AC994" s="33"/>
      <c r="AD994" s="33"/>
      <c r="AE994" s="33"/>
      <c r="AF994" s="33"/>
      <c r="AG994" s="33"/>
      <c r="AH994" s="33"/>
      <c r="AI994" s="33"/>
      <c r="AJ994" s="33"/>
      <c r="AK994" s="33"/>
      <c r="AL994" s="33"/>
      <c r="AM994" s="33"/>
      <c r="AN994" s="33"/>
      <c r="AO994" s="33"/>
      <c r="AP994" s="33"/>
      <c r="AQ994" s="33"/>
      <c r="AR994" s="33"/>
      <c r="AS994" s="33"/>
      <c r="AT994" s="33"/>
      <c r="AU994" s="33"/>
      <c r="AV994" s="33"/>
      <c r="AW994" s="33"/>
      <c r="AX994" s="33"/>
      <c r="AY994" s="33"/>
      <c r="AZ994" s="33"/>
      <c r="BA994" s="33"/>
      <c r="BB994" s="33"/>
      <c r="BC994" s="33"/>
      <c r="BD994" s="33"/>
      <c r="BE994" s="33"/>
      <c r="BF994" s="33"/>
      <c r="BG994" s="33"/>
      <c r="BH994" s="33"/>
      <c r="BI994" s="33"/>
      <c r="BJ994" s="33"/>
      <c r="BK994" s="33"/>
      <c r="BL994" s="33"/>
      <c r="BM994" s="33"/>
      <c r="BN994" s="33"/>
      <c r="BO994" s="33"/>
      <c r="BP994" s="33"/>
      <c r="BQ994" s="33"/>
      <c r="BR994" s="33"/>
      <c r="BS994" s="33"/>
      <c r="BT994" s="33"/>
      <c r="BU994" s="33"/>
      <c r="BV994" s="33"/>
      <c r="BW994" s="33"/>
      <c r="BX994" s="33"/>
      <c r="BY994" s="33"/>
      <c r="BZ994" s="33"/>
      <c r="CA994" s="33"/>
      <c r="CB994" s="33"/>
      <c r="CC994" s="33"/>
      <c r="CD994" s="33"/>
      <c r="CE994" s="33"/>
      <c r="CF994" s="33"/>
      <c r="CG994" s="33"/>
      <c r="CH994" s="33"/>
      <c r="CI994" s="33"/>
      <c r="CJ994" s="33"/>
      <c r="CK994" s="33"/>
      <c r="CL994" s="33"/>
      <c r="CM994" s="33"/>
      <c r="CN994" s="33"/>
      <c r="CO994" s="33"/>
      <c r="CP994" s="33"/>
      <c r="CQ994" s="33"/>
      <c r="CR994" s="33"/>
      <c r="CS994" s="33"/>
      <c r="CT994" s="33"/>
      <c r="CU994" s="33"/>
      <c r="CV994" s="33"/>
      <c r="CW994" s="33"/>
      <c r="CX994" s="33"/>
      <c r="CY994" s="33"/>
      <c r="CZ994" s="33"/>
      <c r="DA994" s="33"/>
      <c r="DB994" s="33"/>
      <c r="DC994" s="33"/>
      <c r="DD994" s="33"/>
      <c r="DE994" s="33"/>
      <c r="DF994" s="33"/>
      <c r="DG994" s="33"/>
      <c r="DH994" s="33"/>
      <c r="DI994" s="33"/>
      <c r="DJ994" s="33"/>
      <c r="DK994" s="33"/>
      <c r="DL994" s="33"/>
      <c r="DM994" s="33"/>
      <c r="DN994" s="33"/>
      <c r="DO994" s="33"/>
      <c r="DP994" s="33"/>
      <c r="DQ994" s="33"/>
      <c r="DR994" s="33"/>
      <c r="DS994" s="33"/>
      <c r="DT994" s="33"/>
      <c r="DU994" s="33"/>
      <c r="DV994" s="33"/>
      <c r="DW994" s="33"/>
      <c r="DX994" s="33"/>
      <c r="DY994" s="33"/>
      <c r="DZ994" s="33"/>
      <c r="EA994" s="33"/>
      <c r="EB994" s="33"/>
      <c r="EC994" s="33"/>
      <c r="ED994" s="33"/>
      <c r="EE994" s="33"/>
      <c r="EF994" s="33"/>
      <c r="EG994" s="33"/>
      <c r="EH994" s="33"/>
      <c r="EI994" s="33"/>
      <c r="EJ994" s="33"/>
      <c r="EK994" s="33"/>
      <c r="EL994" s="33"/>
      <c r="EM994" s="33"/>
      <c r="EN994" s="33"/>
      <c r="EO994" s="33"/>
      <c r="EP994" s="33"/>
      <c r="EQ994" s="33"/>
      <c r="ER994" s="33"/>
      <c r="ES994" s="33"/>
    </row>
    <row r="995">
      <c r="A995" s="33"/>
      <c r="B995" s="33"/>
      <c r="C995" s="33"/>
      <c r="D995" s="33"/>
      <c r="E995" s="33"/>
      <c r="F995" s="33"/>
      <c r="G995" s="85"/>
      <c r="H995" s="85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33"/>
      <c r="Y995" s="33"/>
      <c r="Z995" s="33"/>
      <c r="AA995" s="33"/>
      <c r="AB995" s="33"/>
      <c r="AC995" s="33"/>
      <c r="AD995" s="33"/>
      <c r="AE995" s="33"/>
      <c r="AF995" s="33"/>
      <c r="AG995" s="33"/>
      <c r="AH995" s="33"/>
      <c r="AI995" s="33"/>
      <c r="AJ995" s="33"/>
      <c r="AK995" s="33"/>
      <c r="AL995" s="33"/>
      <c r="AM995" s="33"/>
      <c r="AN995" s="33"/>
      <c r="AO995" s="33"/>
      <c r="AP995" s="33"/>
      <c r="AQ995" s="33"/>
      <c r="AR995" s="33"/>
      <c r="AS995" s="33"/>
      <c r="AT995" s="33"/>
      <c r="AU995" s="33"/>
      <c r="AV995" s="33"/>
      <c r="AW995" s="33"/>
      <c r="AX995" s="33"/>
      <c r="AY995" s="33"/>
      <c r="AZ995" s="33"/>
      <c r="BA995" s="33"/>
      <c r="BB995" s="33"/>
      <c r="BC995" s="33"/>
      <c r="BD995" s="33"/>
      <c r="BE995" s="33"/>
      <c r="BF995" s="33"/>
      <c r="BG995" s="33"/>
      <c r="BH995" s="33"/>
      <c r="BI995" s="33"/>
      <c r="BJ995" s="33"/>
      <c r="BK995" s="33"/>
      <c r="BL995" s="33"/>
      <c r="BM995" s="33"/>
      <c r="BN995" s="33"/>
      <c r="BO995" s="33"/>
      <c r="BP995" s="33"/>
      <c r="BQ995" s="33"/>
      <c r="BR995" s="33"/>
      <c r="BS995" s="33"/>
      <c r="BT995" s="33"/>
      <c r="BU995" s="33"/>
      <c r="BV995" s="33"/>
      <c r="BW995" s="33"/>
      <c r="BX995" s="33"/>
      <c r="BY995" s="33"/>
      <c r="BZ995" s="33"/>
      <c r="CA995" s="33"/>
      <c r="CB995" s="33"/>
      <c r="CC995" s="33"/>
      <c r="CD995" s="33"/>
      <c r="CE995" s="33"/>
      <c r="CF995" s="33"/>
      <c r="CG995" s="33"/>
      <c r="CH995" s="33"/>
      <c r="CI995" s="33"/>
      <c r="CJ995" s="33"/>
      <c r="CK995" s="33"/>
      <c r="CL995" s="33"/>
      <c r="CM995" s="33"/>
      <c r="CN995" s="33"/>
      <c r="CO995" s="33"/>
      <c r="CP995" s="33"/>
      <c r="CQ995" s="33"/>
      <c r="CR995" s="33"/>
      <c r="CS995" s="33"/>
      <c r="CT995" s="33"/>
      <c r="CU995" s="33"/>
      <c r="CV995" s="33"/>
      <c r="CW995" s="33"/>
      <c r="CX995" s="33"/>
      <c r="CY995" s="33"/>
      <c r="CZ995" s="33"/>
      <c r="DA995" s="33"/>
      <c r="DB995" s="33"/>
      <c r="DC995" s="33"/>
      <c r="DD995" s="33"/>
      <c r="DE995" s="33"/>
      <c r="DF995" s="33"/>
      <c r="DG995" s="33"/>
      <c r="DH995" s="33"/>
      <c r="DI995" s="33"/>
      <c r="DJ995" s="33"/>
      <c r="DK995" s="33"/>
      <c r="DL995" s="33"/>
      <c r="DM995" s="33"/>
      <c r="DN995" s="33"/>
      <c r="DO995" s="33"/>
      <c r="DP995" s="33"/>
      <c r="DQ995" s="33"/>
      <c r="DR995" s="33"/>
      <c r="DS995" s="33"/>
      <c r="DT995" s="33"/>
      <c r="DU995" s="33"/>
      <c r="DV995" s="33"/>
      <c r="DW995" s="33"/>
      <c r="DX995" s="33"/>
      <c r="DY995" s="33"/>
      <c r="DZ995" s="33"/>
      <c r="EA995" s="33"/>
      <c r="EB995" s="33"/>
      <c r="EC995" s="33"/>
      <c r="ED995" s="33"/>
      <c r="EE995" s="33"/>
      <c r="EF995" s="33"/>
      <c r="EG995" s="33"/>
      <c r="EH995" s="33"/>
      <c r="EI995" s="33"/>
      <c r="EJ995" s="33"/>
      <c r="EK995" s="33"/>
      <c r="EL995" s="33"/>
      <c r="EM995" s="33"/>
      <c r="EN995" s="33"/>
      <c r="EO995" s="33"/>
      <c r="EP995" s="33"/>
      <c r="EQ995" s="33"/>
      <c r="ER995" s="33"/>
      <c r="ES995" s="33"/>
    </row>
    <row r="996">
      <c r="A996" s="33"/>
      <c r="B996" s="33"/>
      <c r="C996" s="33"/>
      <c r="D996" s="33"/>
      <c r="E996" s="33"/>
      <c r="F996" s="33"/>
      <c r="G996" s="85"/>
      <c r="H996" s="85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33"/>
      <c r="Y996" s="33"/>
      <c r="Z996" s="33"/>
      <c r="AA996" s="33"/>
      <c r="AB996" s="33"/>
      <c r="AC996" s="33"/>
      <c r="AD996" s="33"/>
      <c r="AE996" s="33"/>
      <c r="AF996" s="33"/>
      <c r="AG996" s="33"/>
      <c r="AH996" s="33"/>
      <c r="AI996" s="33"/>
      <c r="AJ996" s="33"/>
      <c r="AK996" s="33"/>
      <c r="AL996" s="33"/>
      <c r="AM996" s="33"/>
      <c r="AN996" s="33"/>
      <c r="AO996" s="33"/>
      <c r="AP996" s="33"/>
      <c r="AQ996" s="33"/>
      <c r="AR996" s="33"/>
      <c r="AS996" s="33"/>
      <c r="AT996" s="33"/>
      <c r="AU996" s="33"/>
      <c r="AV996" s="33"/>
      <c r="AW996" s="33"/>
      <c r="AX996" s="33"/>
      <c r="AY996" s="33"/>
      <c r="AZ996" s="33"/>
      <c r="BA996" s="33"/>
      <c r="BB996" s="33"/>
      <c r="BC996" s="33"/>
      <c r="BD996" s="33"/>
      <c r="BE996" s="33"/>
      <c r="BF996" s="33"/>
      <c r="BG996" s="33"/>
      <c r="BH996" s="33"/>
      <c r="BI996" s="33"/>
      <c r="BJ996" s="33"/>
      <c r="BK996" s="33"/>
      <c r="BL996" s="33"/>
      <c r="BM996" s="33"/>
      <c r="BN996" s="33"/>
      <c r="BO996" s="33"/>
      <c r="BP996" s="33"/>
      <c r="BQ996" s="33"/>
      <c r="BR996" s="33"/>
      <c r="BS996" s="33"/>
      <c r="BT996" s="33"/>
      <c r="BU996" s="33"/>
      <c r="BV996" s="33"/>
      <c r="BW996" s="33"/>
      <c r="BX996" s="33"/>
      <c r="BY996" s="33"/>
      <c r="BZ996" s="33"/>
      <c r="CA996" s="33"/>
      <c r="CB996" s="33"/>
      <c r="CC996" s="33"/>
      <c r="CD996" s="33"/>
      <c r="CE996" s="33"/>
      <c r="CF996" s="33"/>
      <c r="CG996" s="33"/>
      <c r="CH996" s="33"/>
      <c r="CI996" s="33"/>
      <c r="CJ996" s="33"/>
      <c r="CK996" s="33"/>
      <c r="CL996" s="33"/>
      <c r="CM996" s="33"/>
      <c r="CN996" s="33"/>
      <c r="CO996" s="33"/>
      <c r="CP996" s="33"/>
      <c r="CQ996" s="33"/>
      <c r="CR996" s="33"/>
      <c r="CS996" s="33"/>
      <c r="CT996" s="33"/>
      <c r="CU996" s="33"/>
      <c r="CV996" s="33"/>
      <c r="CW996" s="33"/>
      <c r="CX996" s="33"/>
      <c r="CY996" s="33"/>
      <c r="CZ996" s="33"/>
      <c r="DA996" s="33"/>
      <c r="DB996" s="33"/>
      <c r="DC996" s="33"/>
      <c r="DD996" s="33"/>
      <c r="DE996" s="33"/>
      <c r="DF996" s="33"/>
      <c r="DG996" s="33"/>
      <c r="DH996" s="33"/>
      <c r="DI996" s="33"/>
      <c r="DJ996" s="33"/>
      <c r="DK996" s="33"/>
      <c r="DL996" s="33"/>
      <c r="DM996" s="33"/>
      <c r="DN996" s="33"/>
      <c r="DO996" s="33"/>
      <c r="DP996" s="33"/>
      <c r="DQ996" s="33"/>
      <c r="DR996" s="33"/>
      <c r="DS996" s="33"/>
      <c r="DT996" s="33"/>
      <c r="DU996" s="33"/>
      <c r="DV996" s="33"/>
      <c r="DW996" s="33"/>
      <c r="DX996" s="33"/>
      <c r="DY996" s="33"/>
      <c r="DZ996" s="33"/>
      <c r="EA996" s="33"/>
      <c r="EB996" s="33"/>
      <c r="EC996" s="33"/>
      <c r="ED996" s="33"/>
      <c r="EE996" s="33"/>
      <c r="EF996" s="33"/>
      <c r="EG996" s="33"/>
      <c r="EH996" s="33"/>
      <c r="EI996" s="33"/>
      <c r="EJ996" s="33"/>
      <c r="EK996" s="33"/>
      <c r="EL996" s="33"/>
      <c r="EM996" s="33"/>
      <c r="EN996" s="33"/>
      <c r="EO996" s="33"/>
      <c r="EP996" s="33"/>
      <c r="EQ996" s="33"/>
      <c r="ER996" s="33"/>
      <c r="ES996" s="33"/>
    </row>
    <row r="997">
      <c r="A997" s="33"/>
      <c r="B997" s="33"/>
      <c r="C997" s="33"/>
      <c r="D997" s="33"/>
      <c r="E997" s="33"/>
      <c r="F997" s="33"/>
      <c r="G997" s="85"/>
      <c r="H997" s="85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33"/>
      <c r="Y997" s="33"/>
      <c r="Z997" s="33"/>
      <c r="AA997" s="33"/>
      <c r="AB997" s="33"/>
      <c r="AC997" s="33"/>
      <c r="AD997" s="33"/>
      <c r="AE997" s="33"/>
      <c r="AF997" s="33"/>
      <c r="AG997" s="33"/>
      <c r="AH997" s="33"/>
      <c r="AI997" s="33"/>
      <c r="AJ997" s="33"/>
      <c r="AK997" s="33"/>
      <c r="AL997" s="33"/>
      <c r="AM997" s="33"/>
      <c r="AN997" s="33"/>
      <c r="AO997" s="33"/>
      <c r="AP997" s="33"/>
      <c r="AQ997" s="33"/>
      <c r="AR997" s="33"/>
      <c r="AS997" s="33"/>
      <c r="AT997" s="33"/>
      <c r="AU997" s="33"/>
      <c r="AV997" s="33"/>
      <c r="AW997" s="33"/>
      <c r="AX997" s="33"/>
      <c r="AY997" s="33"/>
      <c r="AZ997" s="33"/>
      <c r="BA997" s="33"/>
      <c r="BB997" s="33"/>
      <c r="BC997" s="33"/>
      <c r="BD997" s="33"/>
      <c r="BE997" s="33"/>
      <c r="BF997" s="33"/>
      <c r="BG997" s="33"/>
      <c r="BH997" s="33"/>
      <c r="BI997" s="33"/>
      <c r="BJ997" s="33"/>
      <c r="BK997" s="33"/>
      <c r="BL997" s="33"/>
      <c r="BM997" s="33"/>
      <c r="BN997" s="33"/>
      <c r="BO997" s="33"/>
      <c r="BP997" s="33"/>
      <c r="BQ997" s="33"/>
      <c r="BR997" s="33"/>
      <c r="BS997" s="33"/>
      <c r="BT997" s="33"/>
      <c r="BU997" s="33"/>
      <c r="BV997" s="33"/>
      <c r="BW997" s="33"/>
      <c r="BX997" s="33"/>
      <c r="BY997" s="33"/>
      <c r="BZ997" s="33"/>
      <c r="CA997" s="33"/>
      <c r="CB997" s="33"/>
      <c r="CC997" s="33"/>
      <c r="CD997" s="33"/>
      <c r="CE997" s="33"/>
      <c r="CF997" s="33"/>
      <c r="CG997" s="33"/>
      <c r="CH997" s="33"/>
      <c r="CI997" s="33"/>
      <c r="CJ997" s="33"/>
      <c r="CK997" s="33"/>
      <c r="CL997" s="33"/>
      <c r="CM997" s="33"/>
      <c r="CN997" s="33"/>
      <c r="CO997" s="33"/>
      <c r="CP997" s="33"/>
      <c r="CQ997" s="33"/>
      <c r="CR997" s="33"/>
      <c r="CS997" s="33"/>
      <c r="CT997" s="33"/>
      <c r="CU997" s="33"/>
      <c r="CV997" s="33"/>
      <c r="CW997" s="33"/>
      <c r="CX997" s="33"/>
      <c r="CY997" s="33"/>
      <c r="CZ997" s="33"/>
      <c r="DA997" s="33"/>
      <c r="DB997" s="33"/>
      <c r="DC997" s="33"/>
      <c r="DD997" s="33"/>
      <c r="DE997" s="33"/>
      <c r="DF997" s="33"/>
      <c r="DG997" s="33"/>
      <c r="DH997" s="33"/>
      <c r="DI997" s="33"/>
      <c r="DJ997" s="33"/>
      <c r="DK997" s="33"/>
      <c r="DL997" s="33"/>
      <c r="DM997" s="33"/>
      <c r="DN997" s="33"/>
      <c r="DO997" s="33"/>
      <c r="DP997" s="33"/>
      <c r="DQ997" s="33"/>
      <c r="DR997" s="33"/>
      <c r="DS997" s="33"/>
      <c r="DT997" s="33"/>
      <c r="DU997" s="33"/>
      <c r="DV997" s="33"/>
      <c r="DW997" s="33"/>
      <c r="DX997" s="33"/>
      <c r="DY997" s="33"/>
      <c r="DZ997" s="33"/>
      <c r="EA997" s="33"/>
      <c r="EB997" s="33"/>
      <c r="EC997" s="33"/>
      <c r="ED997" s="33"/>
      <c r="EE997" s="33"/>
      <c r="EF997" s="33"/>
      <c r="EG997" s="33"/>
      <c r="EH997" s="33"/>
      <c r="EI997" s="33"/>
      <c r="EJ997" s="33"/>
      <c r="EK997" s="33"/>
      <c r="EL997" s="33"/>
      <c r="EM997" s="33"/>
      <c r="EN997" s="33"/>
      <c r="EO997" s="33"/>
      <c r="EP997" s="33"/>
      <c r="EQ997" s="33"/>
      <c r="ER997" s="33"/>
      <c r="ES997" s="33"/>
    </row>
    <row r="998">
      <c r="A998" s="33"/>
      <c r="B998" s="33"/>
      <c r="C998" s="33"/>
      <c r="D998" s="33"/>
      <c r="E998" s="33"/>
      <c r="F998" s="33"/>
      <c r="G998" s="85"/>
      <c r="H998" s="85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33"/>
      <c r="Y998" s="33"/>
      <c r="Z998" s="33"/>
      <c r="AA998" s="33"/>
      <c r="AB998" s="33"/>
      <c r="AC998" s="33"/>
      <c r="AD998" s="33"/>
      <c r="AE998" s="33"/>
      <c r="AF998" s="33"/>
      <c r="AG998" s="33"/>
      <c r="AH998" s="33"/>
      <c r="AI998" s="33"/>
      <c r="AJ998" s="33"/>
      <c r="AK998" s="33"/>
      <c r="AL998" s="33"/>
      <c r="AM998" s="33"/>
      <c r="AN998" s="33"/>
      <c r="AO998" s="33"/>
      <c r="AP998" s="33"/>
      <c r="AQ998" s="33"/>
      <c r="AR998" s="33"/>
      <c r="AS998" s="33"/>
      <c r="AT998" s="33"/>
      <c r="AU998" s="33"/>
      <c r="AV998" s="33"/>
      <c r="AW998" s="33"/>
      <c r="AX998" s="33"/>
      <c r="AY998" s="33"/>
      <c r="AZ998" s="33"/>
      <c r="BA998" s="33"/>
      <c r="BB998" s="33"/>
      <c r="BC998" s="33"/>
      <c r="BD998" s="33"/>
      <c r="BE998" s="33"/>
      <c r="BF998" s="33"/>
      <c r="BG998" s="33"/>
      <c r="BH998" s="33"/>
      <c r="BI998" s="33"/>
      <c r="BJ998" s="33"/>
      <c r="BK998" s="33"/>
      <c r="BL998" s="33"/>
      <c r="BM998" s="33"/>
      <c r="BN998" s="33"/>
      <c r="BO998" s="33"/>
      <c r="BP998" s="33"/>
      <c r="BQ998" s="33"/>
      <c r="BR998" s="33"/>
      <c r="BS998" s="33"/>
      <c r="BT998" s="33"/>
      <c r="BU998" s="33"/>
      <c r="BV998" s="33"/>
      <c r="BW998" s="33"/>
      <c r="BX998" s="33"/>
      <c r="BY998" s="33"/>
      <c r="BZ998" s="33"/>
      <c r="CA998" s="33"/>
      <c r="CB998" s="33"/>
      <c r="CC998" s="33"/>
      <c r="CD998" s="33"/>
      <c r="CE998" s="33"/>
      <c r="CF998" s="33"/>
      <c r="CG998" s="33"/>
      <c r="CH998" s="33"/>
      <c r="CI998" s="33"/>
      <c r="CJ998" s="33"/>
      <c r="CK998" s="33"/>
      <c r="CL998" s="33"/>
      <c r="CM998" s="33"/>
      <c r="CN998" s="33"/>
      <c r="CO998" s="33"/>
      <c r="CP998" s="33"/>
      <c r="CQ998" s="33"/>
      <c r="CR998" s="33"/>
      <c r="CS998" s="33"/>
      <c r="CT998" s="33"/>
      <c r="CU998" s="33"/>
      <c r="CV998" s="33"/>
      <c r="CW998" s="33"/>
      <c r="CX998" s="33"/>
      <c r="CY998" s="33"/>
      <c r="CZ998" s="33"/>
      <c r="DA998" s="33"/>
      <c r="DB998" s="33"/>
      <c r="DC998" s="33"/>
      <c r="DD998" s="33"/>
      <c r="DE998" s="33"/>
      <c r="DF998" s="33"/>
      <c r="DG998" s="33"/>
      <c r="DH998" s="33"/>
      <c r="DI998" s="33"/>
      <c r="DJ998" s="33"/>
      <c r="DK998" s="33"/>
      <c r="DL998" s="33"/>
      <c r="DM998" s="33"/>
      <c r="DN998" s="33"/>
      <c r="DO998" s="33"/>
      <c r="DP998" s="33"/>
      <c r="DQ998" s="33"/>
      <c r="DR998" s="33"/>
      <c r="DS998" s="33"/>
      <c r="DT998" s="33"/>
      <c r="DU998" s="33"/>
      <c r="DV998" s="33"/>
      <c r="DW998" s="33"/>
      <c r="DX998" s="33"/>
      <c r="DY998" s="33"/>
      <c r="DZ998" s="33"/>
      <c r="EA998" s="33"/>
      <c r="EB998" s="33"/>
      <c r="EC998" s="33"/>
      <c r="ED998" s="33"/>
      <c r="EE998" s="33"/>
      <c r="EF998" s="33"/>
      <c r="EG998" s="33"/>
      <c r="EH998" s="33"/>
      <c r="EI998" s="33"/>
      <c r="EJ998" s="33"/>
      <c r="EK998" s="33"/>
      <c r="EL998" s="33"/>
      <c r="EM998" s="33"/>
      <c r="EN998" s="33"/>
      <c r="EO998" s="33"/>
      <c r="EP998" s="33"/>
      <c r="EQ998" s="33"/>
      <c r="ER998" s="33"/>
      <c r="ES998" s="33"/>
    </row>
    <row r="999">
      <c r="A999" s="33"/>
      <c r="B999" s="33"/>
      <c r="C999" s="33"/>
      <c r="D999" s="33"/>
      <c r="E999" s="33"/>
      <c r="F999" s="33"/>
      <c r="G999" s="85"/>
      <c r="H999" s="85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33"/>
      <c r="Y999" s="33"/>
      <c r="Z999" s="33"/>
      <c r="AA999" s="33"/>
      <c r="AB999" s="33"/>
      <c r="AC999" s="33"/>
      <c r="AD999" s="33"/>
      <c r="AE999" s="33"/>
      <c r="AF999" s="33"/>
      <c r="AG999" s="33"/>
      <c r="AH999" s="33"/>
      <c r="AI999" s="33"/>
      <c r="AJ999" s="33"/>
      <c r="AK999" s="33"/>
      <c r="AL999" s="33"/>
      <c r="AM999" s="33"/>
      <c r="AN999" s="33"/>
      <c r="AO999" s="33"/>
      <c r="AP999" s="33"/>
      <c r="AQ999" s="33"/>
      <c r="AR999" s="33"/>
      <c r="AS999" s="33"/>
      <c r="AT999" s="33"/>
      <c r="AU999" s="33"/>
      <c r="AV999" s="33"/>
      <c r="AW999" s="33"/>
      <c r="AX999" s="33"/>
      <c r="AY999" s="33"/>
      <c r="AZ999" s="33"/>
      <c r="BA999" s="33"/>
      <c r="BB999" s="33"/>
      <c r="BC999" s="33"/>
      <c r="BD999" s="33"/>
      <c r="BE999" s="33"/>
      <c r="BF999" s="33"/>
      <c r="BG999" s="33"/>
      <c r="BH999" s="33"/>
      <c r="BI999" s="33"/>
      <c r="BJ999" s="33"/>
      <c r="BK999" s="33"/>
      <c r="BL999" s="33"/>
      <c r="BM999" s="33"/>
      <c r="BN999" s="33"/>
      <c r="BO999" s="33"/>
      <c r="BP999" s="33"/>
      <c r="BQ999" s="33"/>
      <c r="BR999" s="33"/>
      <c r="BS999" s="33"/>
      <c r="BT999" s="33"/>
      <c r="BU999" s="33"/>
      <c r="BV999" s="33"/>
      <c r="BW999" s="33"/>
      <c r="BX999" s="33"/>
      <c r="BY999" s="33"/>
      <c r="BZ999" s="33"/>
      <c r="CA999" s="33"/>
      <c r="CB999" s="33"/>
      <c r="CC999" s="33"/>
      <c r="CD999" s="33"/>
      <c r="CE999" s="33"/>
      <c r="CF999" s="33"/>
      <c r="CG999" s="33"/>
      <c r="CH999" s="33"/>
      <c r="CI999" s="33"/>
      <c r="CJ999" s="33"/>
      <c r="CK999" s="33"/>
      <c r="CL999" s="33"/>
      <c r="CM999" s="33"/>
      <c r="CN999" s="33"/>
      <c r="CO999" s="33"/>
      <c r="CP999" s="33"/>
      <c r="CQ999" s="33"/>
      <c r="CR999" s="33"/>
      <c r="CS999" s="33"/>
      <c r="CT999" s="33"/>
      <c r="CU999" s="33"/>
      <c r="CV999" s="33"/>
      <c r="CW999" s="33"/>
      <c r="CX999" s="33"/>
      <c r="CY999" s="33"/>
      <c r="CZ999" s="33"/>
      <c r="DA999" s="33"/>
      <c r="DB999" s="33"/>
      <c r="DC999" s="33"/>
      <c r="DD999" s="33"/>
      <c r="DE999" s="33"/>
      <c r="DF999" s="33"/>
      <c r="DG999" s="33"/>
      <c r="DH999" s="33"/>
      <c r="DI999" s="33"/>
      <c r="DJ999" s="33"/>
      <c r="DK999" s="33"/>
      <c r="DL999" s="33"/>
      <c r="DM999" s="33"/>
      <c r="DN999" s="33"/>
      <c r="DO999" s="33"/>
      <c r="DP999" s="33"/>
      <c r="DQ999" s="33"/>
      <c r="DR999" s="33"/>
      <c r="DS999" s="33"/>
      <c r="DT999" s="33"/>
      <c r="DU999" s="33"/>
      <c r="DV999" s="33"/>
      <c r="DW999" s="33"/>
      <c r="DX999" s="33"/>
      <c r="DY999" s="33"/>
      <c r="DZ999" s="33"/>
      <c r="EA999" s="33"/>
      <c r="EB999" s="33"/>
      <c r="EC999" s="33"/>
      <c r="ED999" s="33"/>
      <c r="EE999" s="33"/>
      <c r="EF999" s="33"/>
      <c r="EG999" s="33"/>
      <c r="EH999" s="33"/>
      <c r="EI999" s="33"/>
      <c r="EJ999" s="33"/>
      <c r="EK999" s="33"/>
      <c r="EL999" s="33"/>
      <c r="EM999" s="33"/>
      <c r="EN999" s="33"/>
      <c r="EO999" s="33"/>
      <c r="EP999" s="33"/>
      <c r="EQ999" s="33"/>
      <c r="ER999" s="33"/>
      <c r="ES999" s="33"/>
    </row>
    <row r="1000">
      <c r="A1000" s="33"/>
      <c r="B1000" s="33"/>
      <c r="C1000" s="33"/>
      <c r="D1000" s="33"/>
      <c r="E1000" s="33"/>
      <c r="F1000" s="33"/>
      <c r="G1000" s="85"/>
      <c r="H1000" s="85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33"/>
      <c r="Y1000" s="33"/>
      <c r="Z1000" s="33"/>
      <c r="AA1000" s="33"/>
      <c r="AB1000" s="33"/>
      <c r="AC1000" s="33"/>
      <c r="AD1000" s="33"/>
      <c r="AE1000" s="33"/>
      <c r="AF1000" s="33"/>
      <c r="AG1000" s="33"/>
      <c r="AH1000" s="33"/>
      <c r="AI1000" s="33"/>
      <c r="AJ1000" s="33"/>
      <c r="AK1000" s="33"/>
      <c r="AL1000" s="33"/>
      <c r="AM1000" s="33"/>
      <c r="AN1000" s="33"/>
      <c r="AO1000" s="33"/>
      <c r="AP1000" s="33"/>
      <c r="AQ1000" s="33"/>
      <c r="AR1000" s="33"/>
      <c r="AS1000" s="33"/>
      <c r="AT1000" s="33"/>
      <c r="AU1000" s="33"/>
      <c r="AV1000" s="33"/>
      <c r="AW1000" s="33"/>
      <c r="AX1000" s="33"/>
      <c r="AY1000" s="33"/>
      <c r="AZ1000" s="33"/>
      <c r="BA1000" s="33"/>
      <c r="BB1000" s="33"/>
      <c r="BC1000" s="33"/>
      <c r="BD1000" s="33"/>
      <c r="BE1000" s="33"/>
      <c r="BF1000" s="33"/>
      <c r="BG1000" s="33"/>
      <c r="BH1000" s="33"/>
      <c r="BI1000" s="33"/>
      <c r="BJ1000" s="33"/>
      <c r="BK1000" s="33"/>
      <c r="BL1000" s="33"/>
      <c r="BM1000" s="33"/>
      <c r="BN1000" s="33"/>
      <c r="BO1000" s="33"/>
      <c r="BP1000" s="33"/>
      <c r="BQ1000" s="33"/>
      <c r="BR1000" s="33"/>
      <c r="BS1000" s="33"/>
      <c r="BT1000" s="33"/>
      <c r="BU1000" s="33"/>
      <c r="BV1000" s="33"/>
      <c r="BW1000" s="33"/>
      <c r="BX1000" s="33"/>
      <c r="BY1000" s="33"/>
      <c r="BZ1000" s="33"/>
      <c r="CA1000" s="33"/>
      <c r="CB1000" s="33"/>
      <c r="CC1000" s="33"/>
      <c r="CD1000" s="33"/>
      <c r="CE1000" s="33"/>
      <c r="CF1000" s="33"/>
      <c r="CG1000" s="33"/>
      <c r="CH1000" s="33"/>
      <c r="CI1000" s="33"/>
      <c r="CJ1000" s="33"/>
      <c r="CK1000" s="33"/>
      <c r="CL1000" s="33"/>
      <c r="CM1000" s="33"/>
      <c r="CN1000" s="33"/>
      <c r="CO1000" s="33"/>
      <c r="CP1000" s="33"/>
      <c r="CQ1000" s="33"/>
      <c r="CR1000" s="33"/>
      <c r="CS1000" s="33"/>
      <c r="CT1000" s="33"/>
      <c r="CU1000" s="33"/>
      <c r="CV1000" s="33"/>
      <c r="CW1000" s="33"/>
      <c r="CX1000" s="33"/>
      <c r="CY1000" s="33"/>
      <c r="CZ1000" s="33"/>
      <c r="DA1000" s="33"/>
      <c r="DB1000" s="33"/>
      <c r="DC1000" s="33"/>
      <c r="DD1000" s="33"/>
      <c r="DE1000" s="33"/>
      <c r="DF1000" s="33"/>
      <c r="DG1000" s="33"/>
      <c r="DH1000" s="33"/>
      <c r="DI1000" s="33"/>
      <c r="DJ1000" s="33"/>
      <c r="DK1000" s="33"/>
      <c r="DL1000" s="33"/>
      <c r="DM1000" s="33"/>
      <c r="DN1000" s="33"/>
      <c r="DO1000" s="33"/>
      <c r="DP1000" s="33"/>
      <c r="DQ1000" s="33"/>
      <c r="DR1000" s="33"/>
      <c r="DS1000" s="33"/>
      <c r="DT1000" s="33"/>
      <c r="DU1000" s="33"/>
      <c r="DV1000" s="33"/>
      <c r="DW1000" s="33"/>
      <c r="DX1000" s="33"/>
      <c r="DY1000" s="33"/>
      <c r="DZ1000" s="33"/>
      <c r="EA1000" s="33"/>
      <c r="EB1000" s="33"/>
      <c r="EC1000" s="33"/>
      <c r="ED1000" s="33"/>
      <c r="EE1000" s="33"/>
      <c r="EF1000" s="33"/>
      <c r="EG1000" s="33"/>
      <c r="EH1000" s="33"/>
      <c r="EI1000" s="33"/>
      <c r="EJ1000" s="33"/>
      <c r="EK1000" s="33"/>
      <c r="EL1000" s="33"/>
      <c r="EM1000" s="33"/>
      <c r="EN1000" s="33"/>
      <c r="EO1000" s="33"/>
      <c r="EP1000" s="33"/>
      <c r="EQ1000" s="33"/>
      <c r="ER1000" s="33"/>
      <c r="ES1000" s="33"/>
    </row>
    <row r="1001">
      <c r="A1001" s="33"/>
      <c r="B1001" s="33"/>
      <c r="C1001" s="33"/>
      <c r="D1001" s="33"/>
      <c r="E1001" s="33"/>
      <c r="F1001" s="33"/>
      <c r="G1001" s="85"/>
      <c r="H1001" s="85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33"/>
      <c r="Y1001" s="33"/>
      <c r="Z1001" s="33"/>
      <c r="AA1001" s="33"/>
      <c r="AB1001" s="33"/>
      <c r="AC1001" s="33"/>
      <c r="AD1001" s="33"/>
      <c r="AE1001" s="33"/>
      <c r="AF1001" s="33"/>
      <c r="AG1001" s="33"/>
      <c r="AH1001" s="33"/>
      <c r="AI1001" s="33"/>
      <c r="AJ1001" s="33"/>
      <c r="AK1001" s="33"/>
      <c r="AL1001" s="33"/>
      <c r="AM1001" s="33"/>
      <c r="AN1001" s="33"/>
      <c r="AO1001" s="33"/>
      <c r="AP1001" s="33"/>
      <c r="AQ1001" s="33"/>
      <c r="AR1001" s="33"/>
      <c r="AS1001" s="33"/>
      <c r="AT1001" s="33"/>
      <c r="AU1001" s="33"/>
      <c r="AV1001" s="33"/>
      <c r="AW1001" s="33"/>
      <c r="AX1001" s="33"/>
      <c r="AY1001" s="33"/>
      <c r="AZ1001" s="33"/>
      <c r="BA1001" s="33"/>
      <c r="BB1001" s="33"/>
      <c r="BC1001" s="33"/>
      <c r="BD1001" s="33"/>
      <c r="BE1001" s="33"/>
      <c r="BF1001" s="33"/>
      <c r="BG1001" s="33"/>
      <c r="BH1001" s="33"/>
      <c r="BI1001" s="33"/>
      <c r="BJ1001" s="33"/>
      <c r="BK1001" s="33"/>
      <c r="BL1001" s="33"/>
      <c r="BM1001" s="33"/>
      <c r="BN1001" s="33"/>
      <c r="BO1001" s="33"/>
      <c r="BP1001" s="33"/>
      <c r="BQ1001" s="33"/>
      <c r="BR1001" s="33"/>
      <c r="BS1001" s="33"/>
      <c r="BT1001" s="33"/>
      <c r="BU1001" s="33"/>
      <c r="BV1001" s="33"/>
      <c r="BW1001" s="33"/>
      <c r="BX1001" s="33"/>
      <c r="BY1001" s="33"/>
      <c r="BZ1001" s="33"/>
      <c r="CA1001" s="33"/>
      <c r="CB1001" s="33"/>
      <c r="CC1001" s="33"/>
      <c r="CD1001" s="33"/>
      <c r="CE1001" s="33"/>
      <c r="CF1001" s="33"/>
      <c r="CG1001" s="33"/>
      <c r="CH1001" s="33"/>
      <c r="CI1001" s="33"/>
      <c r="CJ1001" s="33"/>
      <c r="CK1001" s="33"/>
      <c r="CL1001" s="33"/>
      <c r="CM1001" s="33"/>
      <c r="CN1001" s="33"/>
      <c r="CO1001" s="33"/>
      <c r="CP1001" s="33"/>
      <c r="CQ1001" s="33"/>
      <c r="CR1001" s="33"/>
      <c r="CS1001" s="33"/>
      <c r="CT1001" s="33"/>
      <c r="CU1001" s="33"/>
      <c r="CV1001" s="33"/>
      <c r="CW1001" s="33"/>
      <c r="CX1001" s="33"/>
      <c r="CY1001" s="33"/>
      <c r="CZ1001" s="33"/>
      <c r="DA1001" s="33"/>
      <c r="DB1001" s="33"/>
      <c r="DC1001" s="33"/>
      <c r="DD1001" s="33"/>
      <c r="DE1001" s="33"/>
      <c r="DF1001" s="33"/>
      <c r="DG1001" s="33"/>
      <c r="DH1001" s="33"/>
      <c r="DI1001" s="33"/>
      <c r="DJ1001" s="33"/>
      <c r="DK1001" s="33"/>
      <c r="DL1001" s="33"/>
      <c r="DM1001" s="33"/>
      <c r="DN1001" s="33"/>
      <c r="DO1001" s="33"/>
      <c r="DP1001" s="33"/>
      <c r="DQ1001" s="33"/>
      <c r="DR1001" s="33"/>
      <c r="DS1001" s="33"/>
      <c r="DT1001" s="33"/>
      <c r="DU1001" s="33"/>
      <c r="DV1001" s="33"/>
      <c r="DW1001" s="33"/>
      <c r="DX1001" s="33"/>
      <c r="DY1001" s="33"/>
      <c r="DZ1001" s="33"/>
      <c r="EA1001" s="33"/>
      <c r="EB1001" s="33"/>
      <c r="EC1001" s="33"/>
      <c r="ED1001" s="33"/>
      <c r="EE1001" s="33"/>
      <c r="EF1001" s="33"/>
      <c r="EG1001" s="33"/>
      <c r="EH1001" s="33"/>
      <c r="EI1001" s="33"/>
      <c r="EJ1001" s="33"/>
      <c r="EK1001" s="33"/>
      <c r="EL1001" s="33"/>
      <c r="EM1001" s="33"/>
      <c r="EN1001" s="33"/>
      <c r="EO1001" s="33"/>
      <c r="EP1001" s="33"/>
      <c r="EQ1001" s="33"/>
      <c r="ER1001" s="33"/>
      <c r="ES1001" s="33"/>
    </row>
    <row r="1002">
      <c r="A1002" s="33"/>
      <c r="B1002" s="33"/>
      <c r="C1002" s="33"/>
      <c r="D1002" s="33"/>
      <c r="E1002" s="33"/>
      <c r="F1002" s="33"/>
      <c r="G1002" s="85"/>
      <c r="H1002" s="85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33"/>
      <c r="Y1002" s="33"/>
      <c r="Z1002" s="33"/>
      <c r="AA1002" s="33"/>
      <c r="AB1002" s="33"/>
      <c r="AC1002" s="33"/>
      <c r="AD1002" s="33"/>
      <c r="AE1002" s="33"/>
      <c r="AF1002" s="33"/>
      <c r="AG1002" s="33"/>
      <c r="AH1002" s="33"/>
      <c r="AI1002" s="33"/>
      <c r="AJ1002" s="33"/>
      <c r="AK1002" s="33"/>
      <c r="AL1002" s="33"/>
      <c r="AM1002" s="33"/>
      <c r="AN1002" s="33"/>
      <c r="AO1002" s="33"/>
      <c r="AP1002" s="33"/>
      <c r="AQ1002" s="33"/>
      <c r="AR1002" s="33"/>
      <c r="AS1002" s="33"/>
      <c r="AT1002" s="33"/>
      <c r="AU1002" s="33"/>
      <c r="AV1002" s="33"/>
      <c r="AW1002" s="33"/>
      <c r="AX1002" s="33"/>
      <c r="AY1002" s="33"/>
      <c r="AZ1002" s="33"/>
      <c r="BA1002" s="33"/>
      <c r="BB1002" s="33"/>
      <c r="BC1002" s="33"/>
      <c r="BD1002" s="33"/>
      <c r="BE1002" s="33"/>
      <c r="BF1002" s="33"/>
      <c r="BG1002" s="33"/>
      <c r="BH1002" s="33"/>
      <c r="BI1002" s="33"/>
      <c r="BJ1002" s="33"/>
      <c r="BK1002" s="33"/>
      <c r="BL1002" s="33"/>
      <c r="BM1002" s="33"/>
      <c r="BN1002" s="33"/>
      <c r="BO1002" s="33"/>
      <c r="BP1002" s="33"/>
      <c r="BQ1002" s="33"/>
      <c r="BR1002" s="33"/>
      <c r="BS1002" s="33"/>
      <c r="BT1002" s="33"/>
      <c r="BU1002" s="33"/>
      <c r="BV1002" s="33"/>
      <c r="BW1002" s="33"/>
      <c r="BX1002" s="33"/>
      <c r="BY1002" s="33"/>
      <c r="BZ1002" s="33"/>
      <c r="CA1002" s="33"/>
      <c r="CB1002" s="33"/>
      <c r="CC1002" s="33"/>
      <c r="CD1002" s="33"/>
      <c r="CE1002" s="33"/>
      <c r="CF1002" s="33"/>
      <c r="CG1002" s="33"/>
      <c r="CH1002" s="33"/>
      <c r="CI1002" s="33"/>
      <c r="CJ1002" s="33"/>
      <c r="CK1002" s="33"/>
      <c r="CL1002" s="33"/>
      <c r="CM1002" s="33"/>
      <c r="CN1002" s="33"/>
      <c r="CO1002" s="33"/>
      <c r="CP1002" s="33"/>
      <c r="CQ1002" s="33"/>
      <c r="CR1002" s="33"/>
      <c r="CS1002" s="33"/>
      <c r="CT1002" s="33"/>
      <c r="CU1002" s="33"/>
      <c r="CV1002" s="33"/>
      <c r="CW1002" s="33"/>
      <c r="CX1002" s="33"/>
      <c r="CY1002" s="33"/>
      <c r="CZ1002" s="33"/>
      <c r="DA1002" s="33"/>
      <c r="DB1002" s="33"/>
      <c r="DC1002" s="33"/>
      <c r="DD1002" s="33"/>
      <c r="DE1002" s="33"/>
      <c r="DF1002" s="33"/>
      <c r="DG1002" s="33"/>
      <c r="DH1002" s="33"/>
      <c r="DI1002" s="33"/>
      <c r="DJ1002" s="33"/>
      <c r="DK1002" s="33"/>
      <c r="DL1002" s="33"/>
      <c r="DM1002" s="33"/>
      <c r="DN1002" s="33"/>
      <c r="DO1002" s="33"/>
      <c r="DP1002" s="33"/>
      <c r="DQ1002" s="33"/>
      <c r="DR1002" s="33"/>
      <c r="DS1002" s="33"/>
      <c r="DT1002" s="33"/>
      <c r="DU1002" s="33"/>
      <c r="DV1002" s="33"/>
      <c r="DW1002" s="33"/>
      <c r="DX1002" s="33"/>
      <c r="DY1002" s="33"/>
      <c r="DZ1002" s="33"/>
      <c r="EA1002" s="33"/>
      <c r="EB1002" s="33"/>
      <c r="EC1002" s="33"/>
      <c r="ED1002" s="33"/>
      <c r="EE1002" s="33"/>
      <c r="EF1002" s="33"/>
      <c r="EG1002" s="33"/>
      <c r="EH1002" s="33"/>
      <c r="EI1002" s="33"/>
      <c r="EJ1002" s="33"/>
      <c r="EK1002" s="33"/>
      <c r="EL1002" s="33"/>
      <c r="EM1002" s="33"/>
      <c r="EN1002" s="33"/>
      <c r="EO1002" s="33"/>
      <c r="EP1002" s="33"/>
      <c r="EQ1002" s="33"/>
      <c r="ER1002" s="33"/>
      <c r="ES1002" s="33"/>
    </row>
    <row r="1003">
      <c r="A1003" s="33"/>
      <c r="B1003" s="33"/>
      <c r="C1003" s="33"/>
      <c r="D1003" s="33"/>
      <c r="E1003" s="33"/>
      <c r="F1003" s="33"/>
      <c r="G1003" s="85"/>
      <c r="H1003" s="85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33"/>
      <c r="Y1003" s="33"/>
      <c r="Z1003" s="33"/>
      <c r="AA1003" s="33"/>
      <c r="AB1003" s="33"/>
      <c r="AC1003" s="33"/>
      <c r="AD1003" s="33"/>
      <c r="AE1003" s="33"/>
      <c r="AF1003" s="33"/>
      <c r="AG1003" s="33"/>
      <c r="AH1003" s="33"/>
      <c r="AI1003" s="33"/>
      <c r="AJ1003" s="33"/>
      <c r="AK1003" s="33"/>
      <c r="AL1003" s="33"/>
      <c r="AM1003" s="33"/>
      <c r="AN1003" s="33"/>
      <c r="AO1003" s="33"/>
      <c r="AP1003" s="33"/>
      <c r="AQ1003" s="33"/>
      <c r="AR1003" s="33"/>
      <c r="AS1003" s="33"/>
      <c r="AT1003" s="33"/>
      <c r="AU1003" s="33"/>
      <c r="AV1003" s="33"/>
      <c r="AW1003" s="33"/>
      <c r="AX1003" s="33"/>
      <c r="AY1003" s="33"/>
      <c r="AZ1003" s="33"/>
      <c r="BA1003" s="33"/>
      <c r="BB1003" s="33"/>
      <c r="BC1003" s="33"/>
      <c r="BD1003" s="33"/>
      <c r="BE1003" s="33"/>
      <c r="BF1003" s="33"/>
      <c r="BG1003" s="33"/>
      <c r="BH1003" s="33"/>
      <c r="BI1003" s="33"/>
      <c r="BJ1003" s="33"/>
      <c r="BK1003" s="33"/>
      <c r="BL1003" s="33"/>
      <c r="BM1003" s="33"/>
      <c r="BN1003" s="33"/>
      <c r="BO1003" s="33"/>
      <c r="BP1003" s="33"/>
      <c r="BQ1003" s="33"/>
      <c r="BR1003" s="33"/>
      <c r="BS1003" s="33"/>
      <c r="BT1003" s="33"/>
      <c r="BU1003" s="33"/>
      <c r="BV1003" s="33"/>
      <c r="BW1003" s="33"/>
      <c r="BX1003" s="33"/>
      <c r="BY1003" s="33"/>
      <c r="BZ1003" s="33"/>
      <c r="CA1003" s="33"/>
      <c r="CB1003" s="33"/>
      <c r="CC1003" s="33"/>
      <c r="CD1003" s="33"/>
      <c r="CE1003" s="33"/>
      <c r="CF1003" s="33"/>
      <c r="CG1003" s="33"/>
      <c r="CH1003" s="33"/>
      <c r="CI1003" s="33"/>
      <c r="CJ1003" s="33"/>
      <c r="CK1003" s="33"/>
      <c r="CL1003" s="33"/>
      <c r="CM1003" s="33"/>
      <c r="CN1003" s="33"/>
      <c r="CO1003" s="33"/>
      <c r="CP1003" s="33"/>
      <c r="CQ1003" s="33"/>
      <c r="CR1003" s="33"/>
      <c r="CS1003" s="33"/>
      <c r="CT1003" s="33"/>
      <c r="CU1003" s="33"/>
      <c r="CV1003" s="33"/>
      <c r="CW1003" s="33"/>
      <c r="CX1003" s="33"/>
      <c r="CY1003" s="33"/>
      <c r="CZ1003" s="33"/>
      <c r="DA1003" s="33"/>
      <c r="DB1003" s="33"/>
      <c r="DC1003" s="33"/>
      <c r="DD1003" s="33"/>
      <c r="DE1003" s="33"/>
      <c r="DF1003" s="33"/>
      <c r="DG1003" s="33"/>
      <c r="DH1003" s="33"/>
      <c r="DI1003" s="33"/>
      <c r="DJ1003" s="33"/>
      <c r="DK1003" s="33"/>
      <c r="DL1003" s="33"/>
      <c r="DM1003" s="33"/>
      <c r="DN1003" s="33"/>
      <c r="DO1003" s="33"/>
      <c r="DP1003" s="33"/>
      <c r="DQ1003" s="33"/>
      <c r="DR1003" s="33"/>
      <c r="DS1003" s="33"/>
      <c r="DT1003" s="33"/>
      <c r="DU1003" s="33"/>
      <c r="DV1003" s="33"/>
      <c r="DW1003" s="33"/>
      <c r="DX1003" s="33"/>
      <c r="DY1003" s="33"/>
      <c r="DZ1003" s="33"/>
      <c r="EA1003" s="33"/>
      <c r="EB1003" s="33"/>
      <c r="EC1003" s="33"/>
      <c r="ED1003" s="33"/>
      <c r="EE1003" s="33"/>
      <c r="EF1003" s="33"/>
      <c r="EG1003" s="33"/>
      <c r="EH1003" s="33"/>
      <c r="EI1003" s="33"/>
      <c r="EJ1003" s="33"/>
      <c r="EK1003" s="33"/>
      <c r="EL1003" s="33"/>
      <c r="EM1003" s="33"/>
      <c r="EN1003" s="33"/>
      <c r="EO1003" s="33"/>
      <c r="EP1003" s="33"/>
      <c r="EQ1003" s="33"/>
      <c r="ER1003" s="33"/>
      <c r="ES1003" s="33"/>
    </row>
    <row r="1004">
      <c r="A1004" s="33"/>
      <c r="B1004" s="33"/>
      <c r="C1004" s="33"/>
      <c r="D1004" s="33"/>
      <c r="E1004" s="33"/>
      <c r="F1004" s="33"/>
      <c r="G1004" s="85"/>
      <c r="H1004" s="85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33"/>
      <c r="Y1004" s="33"/>
      <c r="Z1004" s="33"/>
      <c r="AA1004" s="33"/>
      <c r="AB1004" s="33"/>
      <c r="AC1004" s="33"/>
      <c r="AD1004" s="33"/>
      <c r="AE1004" s="33"/>
      <c r="AF1004" s="33"/>
      <c r="AG1004" s="33"/>
      <c r="AH1004" s="33"/>
      <c r="AI1004" s="33"/>
      <c r="AJ1004" s="33"/>
      <c r="AK1004" s="33"/>
      <c r="AL1004" s="33"/>
      <c r="AM1004" s="33"/>
      <c r="AN1004" s="33"/>
      <c r="AO1004" s="33"/>
      <c r="AP1004" s="33"/>
      <c r="AQ1004" s="33"/>
      <c r="AR1004" s="33"/>
      <c r="AS1004" s="33"/>
      <c r="AT1004" s="33"/>
      <c r="AU1004" s="33"/>
      <c r="AV1004" s="33"/>
      <c r="AW1004" s="33"/>
      <c r="AX1004" s="33"/>
      <c r="AY1004" s="33"/>
      <c r="AZ1004" s="33"/>
      <c r="BA1004" s="33"/>
      <c r="BB1004" s="33"/>
      <c r="BC1004" s="33"/>
      <c r="BD1004" s="33"/>
      <c r="BE1004" s="33"/>
      <c r="BF1004" s="33"/>
      <c r="BG1004" s="33"/>
      <c r="BH1004" s="33"/>
      <c r="BI1004" s="33"/>
      <c r="BJ1004" s="33"/>
      <c r="BK1004" s="33"/>
      <c r="BL1004" s="33"/>
      <c r="BM1004" s="33"/>
      <c r="BN1004" s="33"/>
      <c r="BO1004" s="33"/>
      <c r="BP1004" s="33"/>
      <c r="BQ1004" s="33"/>
      <c r="BR1004" s="33"/>
      <c r="BS1004" s="33"/>
      <c r="BT1004" s="33"/>
      <c r="BU1004" s="33"/>
      <c r="BV1004" s="33"/>
      <c r="BW1004" s="33"/>
      <c r="BX1004" s="33"/>
      <c r="BY1004" s="33"/>
      <c r="BZ1004" s="33"/>
      <c r="CA1004" s="33"/>
      <c r="CB1004" s="33"/>
      <c r="CC1004" s="33"/>
      <c r="CD1004" s="33"/>
      <c r="CE1004" s="33"/>
      <c r="CF1004" s="33"/>
      <c r="CG1004" s="33"/>
      <c r="CH1004" s="33"/>
      <c r="CI1004" s="33"/>
      <c r="CJ1004" s="33"/>
      <c r="CK1004" s="33"/>
      <c r="CL1004" s="33"/>
      <c r="CM1004" s="33"/>
      <c r="CN1004" s="33"/>
      <c r="CO1004" s="33"/>
      <c r="CP1004" s="33"/>
      <c r="CQ1004" s="33"/>
      <c r="CR1004" s="33"/>
      <c r="CS1004" s="33"/>
      <c r="CT1004" s="33"/>
      <c r="CU1004" s="33"/>
      <c r="CV1004" s="33"/>
      <c r="CW1004" s="33"/>
      <c r="CX1004" s="33"/>
      <c r="CY1004" s="33"/>
      <c r="CZ1004" s="33"/>
      <c r="DA1004" s="33"/>
      <c r="DB1004" s="33"/>
      <c r="DC1004" s="33"/>
      <c r="DD1004" s="33"/>
      <c r="DE1004" s="33"/>
      <c r="DF1004" s="33"/>
      <c r="DG1004" s="33"/>
      <c r="DH1004" s="33"/>
      <c r="DI1004" s="33"/>
      <c r="DJ1004" s="33"/>
      <c r="DK1004" s="33"/>
      <c r="DL1004" s="33"/>
      <c r="DM1004" s="33"/>
      <c r="DN1004" s="33"/>
      <c r="DO1004" s="33"/>
      <c r="DP1004" s="33"/>
      <c r="DQ1004" s="33"/>
      <c r="DR1004" s="33"/>
      <c r="DS1004" s="33"/>
      <c r="DT1004" s="33"/>
      <c r="DU1004" s="33"/>
      <c r="DV1004" s="33"/>
      <c r="DW1004" s="33"/>
      <c r="DX1004" s="33"/>
      <c r="DY1004" s="33"/>
      <c r="DZ1004" s="33"/>
      <c r="EA1004" s="33"/>
      <c r="EB1004" s="33"/>
      <c r="EC1004" s="33"/>
      <c r="ED1004" s="33"/>
      <c r="EE1004" s="33"/>
      <c r="EF1004" s="33"/>
      <c r="EG1004" s="33"/>
      <c r="EH1004" s="33"/>
      <c r="EI1004" s="33"/>
      <c r="EJ1004" s="33"/>
      <c r="EK1004" s="33"/>
      <c r="EL1004" s="33"/>
      <c r="EM1004" s="33"/>
      <c r="EN1004" s="33"/>
      <c r="EO1004" s="33"/>
      <c r="EP1004" s="33"/>
      <c r="EQ1004" s="33"/>
      <c r="ER1004" s="33"/>
      <c r="ES1004" s="33"/>
    </row>
    <row r="1005">
      <c r="A1005" s="33"/>
      <c r="B1005" s="33"/>
      <c r="C1005" s="33"/>
      <c r="D1005" s="33"/>
      <c r="E1005" s="33"/>
      <c r="F1005" s="33"/>
      <c r="G1005" s="85"/>
      <c r="H1005" s="85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33"/>
      <c r="Y1005" s="33"/>
      <c r="Z1005" s="33"/>
      <c r="AA1005" s="33"/>
      <c r="AB1005" s="33"/>
      <c r="AC1005" s="33"/>
      <c r="AD1005" s="33"/>
      <c r="AE1005" s="33"/>
      <c r="AF1005" s="33"/>
      <c r="AG1005" s="33"/>
      <c r="AH1005" s="33"/>
      <c r="AI1005" s="33"/>
      <c r="AJ1005" s="33"/>
      <c r="AK1005" s="33"/>
      <c r="AL1005" s="33"/>
      <c r="AM1005" s="33"/>
      <c r="AN1005" s="33"/>
      <c r="AO1005" s="33"/>
      <c r="AP1005" s="33"/>
      <c r="AQ1005" s="33"/>
      <c r="AR1005" s="33"/>
      <c r="AS1005" s="33"/>
      <c r="AT1005" s="33"/>
      <c r="AU1005" s="33"/>
      <c r="AV1005" s="33"/>
      <c r="AW1005" s="33"/>
      <c r="AX1005" s="33"/>
      <c r="AY1005" s="33"/>
      <c r="AZ1005" s="33"/>
      <c r="BA1005" s="33"/>
      <c r="BB1005" s="33"/>
      <c r="BC1005" s="33"/>
      <c r="BD1005" s="33"/>
      <c r="BE1005" s="33"/>
      <c r="BF1005" s="33"/>
      <c r="BG1005" s="33"/>
      <c r="BH1005" s="33"/>
      <c r="BI1005" s="33"/>
      <c r="BJ1005" s="33"/>
      <c r="BK1005" s="33"/>
      <c r="BL1005" s="33"/>
      <c r="BM1005" s="33"/>
      <c r="BN1005" s="33"/>
      <c r="BO1005" s="33"/>
      <c r="BP1005" s="33"/>
      <c r="BQ1005" s="33"/>
      <c r="BR1005" s="33"/>
      <c r="BS1005" s="33"/>
      <c r="BT1005" s="33"/>
      <c r="BU1005" s="33"/>
      <c r="BV1005" s="33"/>
      <c r="BW1005" s="33"/>
      <c r="BX1005" s="33"/>
      <c r="BY1005" s="33"/>
      <c r="BZ1005" s="33"/>
      <c r="CA1005" s="33"/>
      <c r="CB1005" s="33"/>
      <c r="CC1005" s="33"/>
      <c r="CD1005" s="33"/>
      <c r="CE1005" s="33"/>
      <c r="CF1005" s="33"/>
      <c r="CG1005" s="33"/>
      <c r="CH1005" s="33"/>
      <c r="CI1005" s="33"/>
      <c r="CJ1005" s="33"/>
      <c r="CK1005" s="33"/>
      <c r="CL1005" s="33"/>
      <c r="CM1005" s="33"/>
      <c r="CN1005" s="33"/>
      <c r="CO1005" s="33"/>
      <c r="CP1005" s="33"/>
      <c r="CQ1005" s="33"/>
      <c r="CR1005" s="33"/>
      <c r="CS1005" s="33"/>
      <c r="CT1005" s="33"/>
      <c r="CU1005" s="33"/>
      <c r="CV1005" s="33"/>
      <c r="CW1005" s="33"/>
      <c r="CX1005" s="33"/>
      <c r="CY1005" s="33"/>
      <c r="CZ1005" s="33"/>
      <c r="DA1005" s="33"/>
      <c r="DB1005" s="33"/>
      <c r="DC1005" s="33"/>
      <c r="DD1005" s="33"/>
      <c r="DE1005" s="33"/>
      <c r="DF1005" s="33"/>
      <c r="DG1005" s="33"/>
      <c r="DH1005" s="33"/>
      <c r="DI1005" s="33"/>
      <c r="DJ1005" s="33"/>
      <c r="DK1005" s="33"/>
      <c r="DL1005" s="33"/>
      <c r="DM1005" s="33"/>
      <c r="DN1005" s="33"/>
      <c r="DO1005" s="33"/>
      <c r="DP1005" s="33"/>
      <c r="DQ1005" s="33"/>
      <c r="DR1005" s="33"/>
      <c r="DS1005" s="33"/>
      <c r="DT1005" s="33"/>
      <c r="DU1005" s="33"/>
      <c r="DV1005" s="33"/>
      <c r="DW1005" s="33"/>
      <c r="DX1005" s="33"/>
      <c r="DY1005" s="33"/>
      <c r="DZ1005" s="33"/>
      <c r="EA1005" s="33"/>
      <c r="EB1005" s="33"/>
      <c r="EC1005" s="33"/>
      <c r="ED1005" s="33"/>
      <c r="EE1005" s="33"/>
      <c r="EF1005" s="33"/>
      <c r="EG1005" s="33"/>
      <c r="EH1005" s="33"/>
      <c r="EI1005" s="33"/>
      <c r="EJ1005" s="33"/>
      <c r="EK1005" s="33"/>
      <c r="EL1005" s="33"/>
      <c r="EM1005" s="33"/>
      <c r="EN1005" s="33"/>
      <c r="EO1005" s="33"/>
      <c r="EP1005" s="33"/>
      <c r="EQ1005" s="33"/>
      <c r="ER1005" s="33"/>
      <c r="ES1005" s="33"/>
    </row>
    <row r="1006">
      <c r="A1006" s="33"/>
      <c r="B1006" s="33"/>
      <c r="C1006" s="33"/>
      <c r="D1006" s="33"/>
      <c r="E1006" s="33"/>
      <c r="F1006" s="33"/>
      <c r="G1006" s="85"/>
      <c r="H1006" s="85"/>
      <c r="I1006" s="33"/>
      <c r="J1006" s="33"/>
      <c r="K1006" s="33"/>
      <c r="L1006" s="33"/>
      <c r="M1006" s="33"/>
      <c r="N1006" s="33"/>
      <c r="O1006" s="33"/>
      <c r="P1006" s="33"/>
      <c r="Q1006" s="33"/>
      <c r="R1006" s="33"/>
      <c r="S1006" s="33"/>
      <c r="T1006" s="33"/>
      <c r="U1006" s="33"/>
      <c r="V1006" s="33"/>
      <c r="W1006" s="33"/>
      <c r="X1006" s="33"/>
      <c r="Y1006" s="33"/>
      <c r="Z1006" s="33"/>
      <c r="AA1006" s="33"/>
      <c r="AB1006" s="33"/>
      <c r="AC1006" s="33"/>
      <c r="AD1006" s="33"/>
      <c r="AE1006" s="33"/>
      <c r="AF1006" s="33"/>
      <c r="AG1006" s="33"/>
      <c r="AH1006" s="33"/>
      <c r="AI1006" s="33"/>
      <c r="AJ1006" s="33"/>
      <c r="AK1006" s="33"/>
      <c r="AL1006" s="33"/>
      <c r="AM1006" s="33"/>
      <c r="AN1006" s="33"/>
      <c r="AO1006" s="33"/>
      <c r="AP1006" s="33"/>
      <c r="AQ1006" s="33"/>
      <c r="AR1006" s="33"/>
      <c r="AS1006" s="33"/>
      <c r="AT1006" s="33"/>
      <c r="AU1006" s="33"/>
      <c r="AV1006" s="33"/>
      <c r="AW1006" s="33"/>
      <c r="AX1006" s="33"/>
      <c r="AY1006" s="33"/>
      <c r="AZ1006" s="33"/>
      <c r="BA1006" s="33"/>
      <c r="BB1006" s="33"/>
      <c r="BC1006" s="33"/>
      <c r="BD1006" s="33"/>
      <c r="BE1006" s="33"/>
      <c r="BF1006" s="33"/>
      <c r="BG1006" s="33"/>
      <c r="BH1006" s="33"/>
      <c r="BI1006" s="33"/>
      <c r="BJ1006" s="33"/>
      <c r="BK1006" s="33"/>
      <c r="BL1006" s="33"/>
      <c r="BM1006" s="33"/>
      <c r="BN1006" s="33"/>
      <c r="BO1006" s="33"/>
      <c r="BP1006" s="33"/>
      <c r="BQ1006" s="33"/>
      <c r="BR1006" s="33"/>
      <c r="BS1006" s="33"/>
      <c r="BT1006" s="33"/>
      <c r="BU1006" s="33"/>
      <c r="BV1006" s="33"/>
      <c r="BW1006" s="33"/>
      <c r="BX1006" s="33"/>
      <c r="BY1006" s="33"/>
      <c r="BZ1006" s="33"/>
      <c r="CA1006" s="33"/>
      <c r="CB1006" s="33"/>
      <c r="CC1006" s="33"/>
      <c r="CD1006" s="33"/>
      <c r="CE1006" s="33"/>
      <c r="CF1006" s="33"/>
      <c r="CG1006" s="33"/>
      <c r="CH1006" s="33"/>
      <c r="CI1006" s="33"/>
      <c r="CJ1006" s="33"/>
      <c r="CK1006" s="33"/>
      <c r="CL1006" s="33"/>
      <c r="CM1006" s="33"/>
      <c r="CN1006" s="33"/>
      <c r="CO1006" s="33"/>
      <c r="CP1006" s="33"/>
      <c r="CQ1006" s="33"/>
      <c r="CR1006" s="33"/>
      <c r="CS1006" s="33"/>
      <c r="CT1006" s="33"/>
      <c r="CU1006" s="33"/>
      <c r="CV1006" s="33"/>
      <c r="CW1006" s="33"/>
      <c r="CX1006" s="33"/>
      <c r="CY1006" s="33"/>
      <c r="CZ1006" s="33"/>
      <c r="DA1006" s="33"/>
      <c r="DB1006" s="33"/>
      <c r="DC1006" s="33"/>
      <c r="DD1006" s="33"/>
      <c r="DE1006" s="33"/>
      <c r="DF1006" s="33"/>
      <c r="DG1006" s="33"/>
      <c r="DH1006" s="33"/>
      <c r="DI1006" s="33"/>
      <c r="DJ1006" s="33"/>
      <c r="DK1006" s="33"/>
      <c r="DL1006" s="33"/>
      <c r="DM1006" s="33"/>
      <c r="DN1006" s="33"/>
      <c r="DO1006" s="33"/>
      <c r="DP1006" s="33"/>
      <c r="DQ1006" s="33"/>
      <c r="DR1006" s="33"/>
      <c r="DS1006" s="33"/>
      <c r="DT1006" s="33"/>
      <c r="DU1006" s="33"/>
      <c r="DV1006" s="33"/>
      <c r="DW1006" s="33"/>
      <c r="DX1006" s="33"/>
      <c r="DY1006" s="33"/>
      <c r="DZ1006" s="33"/>
      <c r="EA1006" s="33"/>
      <c r="EB1006" s="33"/>
      <c r="EC1006" s="33"/>
      <c r="ED1006" s="33"/>
      <c r="EE1006" s="33"/>
      <c r="EF1006" s="33"/>
      <c r="EG1006" s="33"/>
      <c r="EH1006" s="33"/>
      <c r="EI1006" s="33"/>
      <c r="EJ1006" s="33"/>
      <c r="EK1006" s="33"/>
      <c r="EL1006" s="33"/>
      <c r="EM1006" s="33"/>
      <c r="EN1006" s="33"/>
      <c r="EO1006" s="33"/>
      <c r="EP1006" s="33"/>
      <c r="EQ1006" s="33"/>
      <c r="ER1006" s="33"/>
      <c r="ES1006" s="33"/>
    </row>
    <row r="1007">
      <c r="A1007" s="33"/>
      <c r="B1007" s="33"/>
      <c r="C1007" s="33"/>
      <c r="D1007" s="33"/>
      <c r="E1007" s="33"/>
      <c r="F1007" s="33"/>
      <c r="G1007" s="85"/>
      <c r="H1007" s="85"/>
      <c r="I1007" s="33"/>
      <c r="J1007" s="33"/>
      <c r="K1007" s="33"/>
      <c r="L1007" s="33"/>
      <c r="M1007" s="33"/>
      <c r="N1007" s="33"/>
      <c r="O1007" s="33"/>
      <c r="P1007" s="33"/>
      <c r="Q1007" s="33"/>
      <c r="R1007" s="33"/>
      <c r="S1007" s="33"/>
      <c r="T1007" s="33"/>
      <c r="U1007" s="33"/>
      <c r="V1007" s="33"/>
      <c r="W1007" s="33"/>
      <c r="X1007" s="33"/>
      <c r="Y1007" s="33"/>
      <c r="Z1007" s="33"/>
      <c r="AA1007" s="33"/>
      <c r="AB1007" s="33"/>
      <c r="AC1007" s="33"/>
      <c r="AD1007" s="33"/>
      <c r="AE1007" s="33"/>
      <c r="AF1007" s="33"/>
      <c r="AG1007" s="33"/>
      <c r="AH1007" s="33"/>
      <c r="AI1007" s="33"/>
      <c r="AJ1007" s="33"/>
      <c r="AK1007" s="33"/>
      <c r="AL1007" s="33"/>
      <c r="AM1007" s="33"/>
      <c r="AN1007" s="33"/>
      <c r="AO1007" s="33"/>
      <c r="AP1007" s="33"/>
      <c r="AQ1007" s="33"/>
      <c r="AR1007" s="33"/>
      <c r="AS1007" s="33"/>
      <c r="AT1007" s="33"/>
      <c r="AU1007" s="33"/>
      <c r="AV1007" s="33"/>
      <c r="AW1007" s="33"/>
      <c r="AX1007" s="33"/>
      <c r="AY1007" s="33"/>
      <c r="AZ1007" s="33"/>
      <c r="BA1007" s="33"/>
      <c r="BB1007" s="33"/>
      <c r="BC1007" s="33"/>
      <c r="BD1007" s="33"/>
      <c r="BE1007" s="33"/>
      <c r="BF1007" s="33"/>
      <c r="BG1007" s="33"/>
      <c r="BH1007" s="33"/>
      <c r="BI1007" s="33"/>
      <c r="BJ1007" s="33"/>
      <c r="BK1007" s="33"/>
      <c r="BL1007" s="33"/>
      <c r="BM1007" s="33"/>
      <c r="BN1007" s="33"/>
      <c r="BO1007" s="33"/>
      <c r="BP1007" s="33"/>
      <c r="BQ1007" s="33"/>
      <c r="BR1007" s="33"/>
      <c r="BS1007" s="33"/>
      <c r="BT1007" s="33"/>
      <c r="BU1007" s="33"/>
      <c r="BV1007" s="33"/>
      <c r="BW1007" s="33"/>
      <c r="BX1007" s="33"/>
      <c r="BY1007" s="33"/>
      <c r="BZ1007" s="33"/>
      <c r="CA1007" s="33"/>
      <c r="CB1007" s="33"/>
      <c r="CC1007" s="33"/>
      <c r="CD1007" s="33"/>
      <c r="CE1007" s="33"/>
      <c r="CF1007" s="33"/>
      <c r="CG1007" s="33"/>
      <c r="CH1007" s="33"/>
      <c r="CI1007" s="33"/>
      <c r="CJ1007" s="33"/>
      <c r="CK1007" s="33"/>
      <c r="CL1007" s="33"/>
      <c r="CM1007" s="33"/>
      <c r="CN1007" s="33"/>
      <c r="CO1007" s="33"/>
      <c r="CP1007" s="33"/>
      <c r="CQ1007" s="33"/>
      <c r="CR1007" s="33"/>
      <c r="CS1007" s="33"/>
      <c r="CT1007" s="33"/>
      <c r="CU1007" s="33"/>
      <c r="CV1007" s="33"/>
      <c r="CW1007" s="33"/>
      <c r="CX1007" s="33"/>
      <c r="CY1007" s="33"/>
      <c r="CZ1007" s="33"/>
      <c r="DA1007" s="33"/>
      <c r="DB1007" s="33"/>
      <c r="DC1007" s="33"/>
      <c r="DD1007" s="33"/>
      <c r="DE1007" s="33"/>
      <c r="DF1007" s="33"/>
      <c r="DG1007" s="33"/>
      <c r="DH1007" s="33"/>
      <c r="DI1007" s="33"/>
      <c r="DJ1007" s="33"/>
      <c r="DK1007" s="33"/>
      <c r="DL1007" s="33"/>
      <c r="DM1007" s="33"/>
      <c r="DN1007" s="33"/>
      <c r="DO1007" s="33"/>
      <c r="DP1007" s="33"/>
      <c r="DQ1007" s="33"/>
      <c r="DR1007" s="33"/>
      <c r="DS1007" s="33"/>
      <c r="DT1007" s="33"/>
      <c r="DU1007" s="33"/>
      <c r="DV1007" s="33"/>
      <c r="DW1007" s="33"/>
      <c r="DX1007" s="33"/>
      <c r="DY1007" s="33"/>
      <c r="DZ1007" s="33"/>
      <c r="EA1007" s="33"/>
      <c r="EB1007" s="33"/>
      <c r="EC1007" s="33"/>
      <c r="ED1007" s="33"/>
      <c r="EE1007" s="33"/>
      <c r="EF1007" s="33"/>
      <c r="EG1007" s="33"/>
      <c r="EH1007" s="33"/>
      <c r="EI1007" s="33"/>
      <c r="EJ1007" s="33"/>
      <c r="EK1007" s="33"/>
      <c r="EL1007" s="33"/>
      <c r="EM1007" s="33"/>
      <c r="EN1007" s="33"/>
      <c r="EO1007" s="33"/>
      <c r="EP1007" s="33"/>
      <c r="EQ1007" s="33"/>
      <c r="ER1007" s="33"/>
      <c r="ES1007" s="33"/>
    </row>
    <row r="1008">
      <c r="A1008" s="33"/>
      <c r="B1008" s="33"/>
      <c r="C1008" s="33"/>
      <c r="D1008" s="33"/>
      <c r="E1008" s="33"/>
      <c r="F1008" s="33"/>
      <c r="G1008" s="85"/>
      <c r="H1008" s="85"/>
      <c r="I1008" s="33"/>
      <c r="J1008" s="33"/>
      <c r="K1008" s="33"/>
      <c r="L1008" s="33"/>
      <c r="M1008" s="33"/>
      <c r="N1008" s="33"/>
      <c r="O1008" s="33"/>
      <c r="P1008" s="33"/>
      <c r="Q1008" s="33"/>
      <c r="R1008" s="33"/>
      <c r="S1008" s="33"/>
      <c r="T1008" s="33"/>
      <c r="U1008" s="33"/>
      <c r="V1008" s="33"/>
      <c r="W1008" s="33"/>
      <c r="X1008" s="33"/>
      <c r="Y1008" s="33"/>
      <c r="Z1008" s="33"/>
      <c r="AA1008" s="33"/>
      <c r="AB1008" s="33"/>
      <c r="AC1008" s="33"/>
      <c r="AD1008" s="33"/>
      <c r="AE1008" s="33"/>
      <c r="AF1008" s="33"/>
      <c r="AG1008" s="33"/>
      <c r="AH1008" s="33"/>
      <c r="AI1008" s="33"/>
      <c r="AJ1008" s="33"/>
      <c r="AK1008" s="33"/>
      <c r="AL1008" s="33"/>
      <c r="AM1008" s="33"/>
      <c r="AN1008" s="33"/>
      <c r="AO1008" s="33"/>
      <c r="AP1008" s="33"/>
      <c r="AQ1008" s="33"/>
      <c r="AR1008" s="33"/>
      <c r="AS1008" s="33"/>
      <c r="AT1008" s="33"/>
      <c r="AU1008" s="33"/>
      <c r="AV1008" s="33"/>
      <c r="AW1008" s="33"/>
      <c r="AX1008" s="33"/>
      <c r="AY1008" s="33"/>
      <c r="AZ1008" s="33"/>
      <c r="BA1008" s="33"/>
      <c r="BB1008" s="33"/>
      <c r="BC1008" s="33"/>
      <c r="BD1008" s="33"/>
      <c r="BE1008" s="33"/>
      <c r="BF1008" s="33"/>
      <c r="BG1008" s="33"/>
      <c r="BH1008" s="33"/>
      <c r="BI1008" s="33"/>
      <c r="BJ1008" s="33"/>
      <c r="BK1008" s="33"/>
      <c r="BL1008" s="33"/>
      <c r="BM1008" s="33"/>
      <c r="BN1008" s="33"/>
      <c r="BO1008" s="33"/>
      <c r="BP1008" s="33"/>
      <c r="BQ1008" s="33"/>
      <c r="BR1008" s="33"/>
      <c r="BS1008" s="33"/>
      <c r="BT1008" s="33"/>
      <c r="BU1008" s="33"/>
      <c r="BV1008" s="33"/>
      <c r="BW1008" s="33"/>
      <c r="BX1008" s="33"/>
      <c r="BY1008" s="33"/>
      <c r="BZ1008" s="33"/>
      <c r="CA1008" s="33"/>
      <c r="CB1008" s="33"/>
      <c r="CC1008" s="33"/>
      <c r="CD1008" s="33"/>
      <c r="CE1008" s="33"/>
      <c r="CF1008" s="33"/>
      <c r="CG1008" s="33"/>
      <c r="CH1008" s="33"/>
      <c r="CI1008" s="33"/>
      <c r="CJ1008" s="33"/>
      <c r="CK1008" s="33"/>
      <c r="CL1008" s="33"/>
      <c r="CM1008" s="33"/>
      <c r="CN1008" s="33"/>
      <c r="CO1008" s="33"/>
      <c r="CP1008" s="33"/>
      <c r="CQ1008" s="33"/>
      <c r="CR1008" s="33"/>
      <c r="CS1008" s="33"/>
      <c r="CT1008" s="33"/>
      <c r="CU1008" s="33"/>
      <c r="CV1008" s="33"/>
      <c r="CW1008" s="33"/>
      <c r="CX1008" s="33"/>
      <c r="CY1008" s="33"/>
      <c r="CZ1008" s="33"/>
      <c r="DA1008" s="33"/>
      <c r="DB1008" s="33"/>
      <c r="DC1008" s="33"/>
      <c r="DD1008" s="33"/>
      <c r="DE1008" s="33"/>
      <c r="DF1008" s="33"/>
      <c r="DG1008" s="33"/>
      <c r="DH1008" s="33"/>
      <c r="DI1008" s="33"/>
      <c r="DJ1008" s="33"/>
      <c r="DK1008" s="33"/>
      <c r="DL1008" s="33"/>
      <c r="DM1008" s="33"/>
      <c r="DN1008" s="33"/>
      <c r="DO1008" s="33"/>
      <c r="DP1008" s="33"/>
      <c r="DQ1008" s="33"/>
      <c r="DR1008" s="33"/>
      <c r="DS1008" s="33"/>
      <c r="DT1008" s="33"/>
      <c r="DU1008" s="33"/>
      <c r="DV1008" s="33"/>
      <c r="DW1008" s="33"/>
      <c r="DX1008" s="33"/>
      <c r="DY1008" s="33"/>
      <c r="DZ1008" s="33"/>
      <c r="EA1008" s="33"/>
      <c r="EB1008" s="33"/>
      <c r="EC1008" s="33"/>
      <c r="ED1008" s="33"/>
      <c r="EE1008" s="33"/>
      <c r="EF1008" s="33"/>
      <c r="EG1008" s="33"/>
      <c r="EH1008" s="33"/>
      <c r="EI1008" s="33"/>
      <c r="EJ1008" s="33"/>
      <c r="EK1008" s="33"/>
      <c r="EL1008" s="33"/>
      <c r="EM1008" s="33"/>
      <c r="EN1008" s="33"/>
      <c r="EO1008" s="33"/>
      <c r="EP1008" s="33"/>
      <c r="EQ1008" s="33"/>
      <c r="ER1008" s="33"/>
      <c r="ES1008" s="33"/>
    </row>
    <row r="1009">
      <c r="A1009" s="33"/>
      <c r="B1009" s="33"/>
      <c r="C1009" s="33"/>
      <c r="D1009" s="33"/>
      <c r="E1009" s="33"/>
      <c r="F1009" s="33"/>
      <c r="G1009" s="85"/>
      <c r="H1009" s="85"/>
      <c r="I1009" s="33"/>
      <c r="J1009" s="33"/>
      <c r="K1009" s="33"/>
      <c r="L1009" s="33"/>
      <c r="M1009" s="33"/>
      <c r="N1009" s="33"/>
      <c r="O1009" s="33"/>
      <c r="P1009" s="33"/>
      <c r="Q1009" s="33"/>
      <c r="R1009" s="33"/>
      <c r="S1009" s="33"/>
      <c r="T1009" s="33"/>
      <c r="U1009" s="33"/>
      <c r="V1009" s="33"/>
      <c r="W1009" s="33"/>
      <c r="X1009" s="33"/>
      <c r="Y1009" s="33"/>
      <c r="Z1009" s="33"/>
      <c r="AA1009" s="33"/>
      <c r="AB1009" s="33"/>
      <c r="AC1009" s="33"/>
      <c r="AD1009" s="33"/>
      <c r="AE1009" s="33"/>
      <c r="AF1009" s="33"/>
      <c r="AG1009" s="33"/>
      <c r="AH1009" s="33"/>
      <c r="AI1009" s="33"/>
      <c r="AJ1009" s="33"/>
      <c r="AK1009" s="33"/>
      <c r="AL1009" s="33"/>
      <c r="AM1009" s="33"/>
      <c r="AN1009" s="33"/>
      <c r="AO1009" s="33"/>
      <c r="AP1009" s="33"/>
      <c r="AQ1009" s="33"/>
      <c r="AR1009" s="33"/>
      <c r="AS1009" s="33"/>
      <c r="AT1009" s="33"/>
      <c r="AU1009" s="33"/>
      <c r="AV1009" s="33"/>
      <c r="AW1009" s="33"/>
      <c r="AX1009" s="33"/>
      <c r="AY1009" s="33"/>
      <c r="AZ1009" s="33"/>
      <c r="BA1009" s="33"/>
      <c r="BB1009" s="33"/>
      <c r="BC1009" s="33"/>
      <c r="BD1009" s="33"/>
      <c r="BE1009" s="33"/>
      <c r="BF1009" s="33"/>
      <c r="BG1009" s="33"/>
      <c r="BH1009" s="33"/>
      <c r="BI1009" s="33"/>
      <c r="BJ1009" s="33"/>
      <c r="BK1009" s="33"/>
      <c r="BL1009" s="33"/>
      <c r="BM1009" s="33"/>
      <c r="BN1009" s="33"/>
      <c r="BO1009" s="33"/>
      <c r="BP1009" s="33"/>
      <c r="BQ1009" s="33"/>
      <c r="BR1009" s="33"/>
      <c r="BS1009" s="33"/>
      <c r="BT1009" s="33"/>
      <c r="BU1009" s="33"/>
      <c r="BV1009" s="33"/>
      <c r="BW1009" s="33"/>
      <c r="BX1009" s="33"/>
      <c r="BY1009" s="33"/>
      <c r="BZ1009" s="33"/>
      <c r="CA1009" s="33"/>
      <c r="CB1009" s="33"/>
      <c r="CC1009" s="33"/>
      <c r="CD1009" s="33"/>
      <c r="CE1009" s="33"/>
      <c r="CF1009" s="33"/>
      <c r="CG1009" s="33"/>
      <c r="CH1009" s="33"/>
      <c r="CI1009" s="33"/>
      <c r="CJ1009" s="33"/>
      <c r="CK1009" s="33"/>
      <c r="CL1009" s="33"/>
      <c r="CM1009" s="33"/>
      <c r="CN1009" s="33"/>
      <c r="CO1009" s="33"/>
      <c r="CP1009" s="33"/>
      <c r="CQ1009" s="33"/>
      <c r="CR1009" s="33"/>
      <c r="CS1009" s="33"/>
      <c r="CT1009" s="33"/>
      <c r="CU1009" s="33"/>
      <c r="CV1009" s="33"/>
      <c r="CW1009" s="33"/>
      <c r="CX1009" s="33"/>
      <c r="CY1009" s="33"/>
      <c r="CZ1009" s="33"/>
      <c r="DA1009" s="33"/>
      <c r="DB1009" s="33"/>
      <c r="DC1009" s="33"/>
      <c r="DD1009" s="33"/>
      <c r="DE1009" s="33"/>
      <c r="DF1009" s="33"/>
      <c r="DG1009" s="33"/>
      <c r="DH1009" s="33"/>
      <c r="DI1009" s="33"/>
      <c r="DJ1009" s="33"/>
      <c r="DK1009" s="33"/>
      <c r="DL1009" s="33"/>
      <c r="DM1009" s="33"/>
      <c r="DN1009" s="33"/>
      <c r="DO1009" s="33"/>
      <c r="DP1009" s="33"/>
      <c r="DQ1009" s="33"/>
      <c r="DR1009" s="33"/>
      <c r="DS1009" s="33"/>
      <c r="DT1009" s="33"/>
      <c r="DU1009" s="33"/>
      <c r="DV1009" s="33"/>
      <c r="DW1009" s="33"/>
      <c r="DX1009" s="33"/>
      <c r="DY1009" s="33"/>
      <c r="DZ1009" s="33"/>
      <c r="EA1009" s="33"/>
      <c r="EB1009" s="33"/>
      <c r="EC1009" s="33"/>
      <c r="ED1009" s="33"/>
      <c r="EE1009" s="33"/>
      <c r="EF1009" s="33"/>
      <c r="EG1009" s="33"/>
      <c r="EH1009" s="33"/>
      <c r="EI1009" s="33"/>
      <c r="EJ1009" s="33"/>
      <c r="EK1009" s="33"/>
      <c r="EL1009" s="33"/>
      <c r="EM1009" s="33"/>
      <c r="EN1009" s="33"/>
      <c r="EO1009" s="33"/>
      <c r="EP1009" s="33"/>
      <c r="EQ1009" s="33"/>
      <c r="ER1009" s="33"/>
      <c r="ES1009" s="33"/>
    </row>
    <row r="1010">
      <c r="A1010" s="33"/>
      <c r="B1010" s="33"/>
      <c r="C1010" s="33"/>
      <c r="D1010" s="33"/>
      <c r="E1010" s="33"/>
      <c r="F1010" s="33"/>
      <c r="G1010" s="85"/>
      <c r="H1010" s="85"/>
      <c r="I1010" s="33"/>
      <c r="J1010" s="33"/>
      <c r="K1010" s="33"/>
      <c r="L1010" s="33"/>
      <c r="M1010" s="33"/>
      <c r="N1010" s="33"/>
      <c r="O1010" s="33"/>
      <c r="P1010" s="33"/>
      <c r="Q1010" s="33"/>
      <c r="R1010" s="33"/>
      <c r="S1010" s="33"/>
      <c r="T1010" s="33"/>
      <c r="U1010" s="33"/>
      <c r="V1010" s="33"/>
      <c r="W1010" s="33"/>
      <c r="X1010" s="33"/>
      <c r="Y1010" s="33"/>
      <c r="Z1010" s="33"/>
      <c r="AA1010" s="33"/>
      <c r="AB1010" s="33"/>
      <c r="AC1010" s="33"/>
      <c r="AD1010" s="33"/>
      <c r="AE1010" s="33"/>
      <c r="AF1010" s="33"/>
      <c r="AG1010" s="33"/>
      <c r="AH1010" s="33"/>
      <c r="AI1010" s="33"/>
      <c r="AJ1010" s="33"/>
      <c r="AK1010" s="33"/>
      <c r="AL1010" s="33"/>
      <c r="AM1010" s="33"/>
      <c r="AN1010" s="33"/>
      <c r="AO1010" s="33"/>
      <c r="AP1010" s="33"/>
      <c r="AQ1010" s="33"/>
      <c r="AR1010" s="33"/>
      <c r="AS1010" s="33"/>
      <c r="AT1010" s="33"/>
      <c r="AU1010" s="33"/>
      <c r="AV1010" s="33"/>
      <c r="AW1010" s="33"/>
      <c r="AX1010" s="33"/>
      <c r="AY1010" s="33"/>
      <c r="AZ1010" s="33"/>
      <c r="BA1010" s="33"/>
      <c r="BB1010" s="33"/>
      <c r="BC1010" s="33"/>
      <c r="BD1010" s="33"/>
      <c r="BE1010" s="33"/>
      <c r="BF1010" s="33"/>
      <c r="BG1010" s="33"/>
      <c r="BH1010" s="33"/>
      <c r="BI1010" s="33"/>
      <c r="BJ1010" s="33"/>
      <c r="BK1010" s="33"/>
      <c r="BL1010" s="33"/>
      <c r="BM1010" s="33"/>
      <c r="BN1010" s="33"/>
      <c r="BO1010" s="33"/>
      <c r="BP1010" s="33"/>
      <c r="BQ1010" s="33"/>
      <c r="BR1010" s="33"/>
      <c r="BS1010" s="33"/>
      <c r="BT1010" s="33"/>
      <c r="BU1010" s="33"/>
      <c r="BV1010" s="33"/>
      <c r="BW1010" s="33"/>
      <c r="BX1010" s="33"/>
      <c r="BY1010" s="33"/>
      <c r="BZ1010" s="33"/>
      <c r="CA1010" s="33"/>
      <c r="CB1010" s="33"/>
      <c r="CC1010" s="33"/>
      <c r="CD1010" s="33"/>
      <c r="CE1010" s="33"/>
      <c r="CF1010" s="33"/>
      <c r="CG1010" s="33"/>
      <c r="CH1010" s="33"/>
      <c r="CI1010" s="33"/>
      <c r="CJ1010" s="33"/>
      <c r="CK1010" s="33"/>
      <c r="CL1010" s="33"/>
      <c r="CM1010" s="33"/>
      <c r="CN1010" s="33"/>
      <c r="CO1010" s="33"/>
      <c r="CP1010" s="33"/>
      <c r="CQ1010" s="33"/>
      <c r="CR1010" s="33"/>
      <c r="CS1010" s="33"/>
      <c r="CT1010" s="33"/>
      <c r="CU1010" s="33"/>
      <c r="CV1010" s="33"/>
      <c r="CW1010" s="33"/>
      <c r="CX1010" s="33"/>
      <c r="CY1010" s="33"/>
      <c r="CZ1010" s="33"/>
      <c r="DA1010" s="33"/>
      <c r="DB1010" s="33"/>
      <c r="DC1010" s="33"/>
      <c r="DD1010" s="33"/>
      <c r="DE1010" s="33"/>
      <c r="DF1010" s="33"/>
      <c r="DG1010" s="33"/>
      <c r="DH1010" s="33"/>
      <c r="DI1010" s="33"/>
      <c r="DJ1010" s="33"/>
      <c r="DK1010" s="33"/>
      <c r="DL1010" s="33"/>
      <c r="DM1010" s="33"/>
      <c r="DN1010" s="33"/>
      <c r="DO1010" s="33"/>
      <c r="DP1010" s="33"/>
      <c r="DQ1010" s="33"/>
      <c r="DR1010" s="33"/>
      <c r="DS1010" s="33"/>
      <c r="DT1010" s="33"/>
      <c r="DU1010" s="33"/>
      <c r="DV1010" s="33"/>
      <c r="DW1010" s="33"/>
      <c r="DX1010" s="33"/>
      <c r="DY1010" s="33"/>
      <c r="DZ1010" s="33"/>
      <c r="EA1010" s="33"/>
      <c r="EB1010" s="33"/>
      <c r="EC1010" s="33"/>
      <c r="ED1010" s="33"/>
      <c r="EE1010" s="33"/>
      <c r="EF1010" s="33"/>
      <c r="EG1010" s="33"/>
      <c r="EH1010" s="33"/>
      <c r="EI1010" s="33"/>
      <c r="EJ1010" s="33"/>
      <c r="EK1010" s="33"/>
      <c r="EL1010" s="33"/>
      <c r="EM1010" s="33"/>
      <c r="EN1010" s="33"/>
      <c r="EO1010" s="33"/>
      <c r="EP1010" s="33"/>
      <c r="EQ1010" s="33"/>
      <c r="ER1010" s="33"/>
      <c r="ES1010" s="33"/>
    </row>
    <row r="1011">
      <c r="A1011" s="33"/>
      <c r="B1011" s="33"/>
      <c r="C1011" s="33"/>
      <c r="D1011" s="33"/>
      <c r="E1011" s="33"/>
      <c r="F1011" s="33"/>
      <c r="G1011" s="85"/>
      <c r="H1011" s="85"/>
      <c r="I1011" s="33"/>
      <c r="J1011" s="33"/>
      <c r="K1011" s="33"/>
      <c r="L1011" s="33"/>
      <c r="M1011" s="33"/>
      <c r="N1011" s="33"/>
      <c r="O1011" s="33"/>
      <c r="P1011" s="33"/>
      <c r="Q1011" s="33"/>
      <c r="R1011" s="33"/>
      <c r="S1011" s="33"/>
      <c r="T1011" s="33"/>
      <c r="U1011" s="33"/>
      <c r="V1011" s="33"/>
      <c r="W1011" s="33"/>
      <c r="X1011" s="33"/>
      <c r="Y1011" s="33"/>
      <c r="Z1011" s="33"/>
      <c r="AA1011" s="33"/>
      <c r="AB1011" s="33"/>
      <c r="AC1011" s="33"/>
      <c r="AD1011" s="33"/>
      <c r="AE1011" s="33"/>
      <c r="AF1011" s="33"/>
      <c r="AG1011" s="33"/>
      <c r="AH1011" s="33"/>
      <c r="AI1011" s="33"/>
      <c r="AJ1011" s="33"/>
      <c r="AK1011" s="33"/>
      <c r="AL1011" s="33"/>
      <c r="AM1011" s="33"/>
      <c r="AN1011" s="33"/>
      <c r="AO1011" s="33"/>
      <c r="AP1011" s="33"/>
      <c r="AQ1011" s="33"/>
      <c r="AR1011" s="33"/>
      <c r="AS1011" s="33"/>
      <c r="AT1011" s="33"/>
      <c r="AU1011" s="33"/>
      <c r="AV1011" s="33"/>
      <c r="AW1011" s="33"/>
      <c r="AX1011" s="33"/>
      <c r="AY1011" s="33"/>
      <c r="AZ1011" s="33"/>
      <c r="BA1011" s="33"/>
      <c r="BB1011" s="33"/>
      <c r="BC1011" s="33"/>
      <c r="BD1011" s="33"/>
      <c r="BE1011" s="33"/>
      <c r="BF1011" s="33"/>
      <c r="BG1011" s="33"/>
      <c r="BH1011" s="33"/>
      <c r="BI1011" s="33"/>
      <c r="BJ1011" s="33"/>
      <c r="BK1011" s="33"/>
      <c r="BL1011" s="33"/>
      <c r="BM1011" s="33"/>
      <c r="BN1011" s="33"/>
      <c r="BO1011" s="33"/>
      <c r="BP1011" s="33"/>
      <c r="BQ1011" s="33"/>
      <c r="BR1011" s="33"/>
      <c r="BS1011" s="33"/>
      <c r="BT1011" s="33"/>
      <c r="BU1011" s="33"/>
      <c r="BV1011" s="33"/>
      <c r="BW1011" s="33"/>
      <c r="BX1011" s="33"/>
      <c r="BY1011" s="33"/>
      <c r="BZ1011" s="33"/>
      <c r="CA1011" s="33"/>
      <c r="CB1011" s="33"/>
      <c r="CC1011" s="33"/>
      <c r="CD1011" s="33"/>
      <c r="CE1011" s="33"/>
      <c r="CF1011" s="33"/>
      <c r="CG1011" s="33"/>
      <c r="CH1011" s="33"/>
      <c r="CI1011" s="33"/>
      <c r="CJ1011" s="33"/>
      <c r="CK1011" s="33"/>
      <c r="CL1011" s="33"/>
      <c r="CM1011" s="33"/>
      <c r="CN1011" s="33"/>
      <c r="CO1011" s="33"/>
      <c r="CP1011" s="33"/>
      <c r="CQ1011" s="33"/>
      <c r="CR1011" s="33"/>
      <c r="CS1011" s="33"/>
      <c r="CT1011" s="33"/>
      <c r="CU1011" s="33"/>
      <c r="CV1011" s="33"/>
      <c r="CW1011" s="33"/>
      <c r="CX1011" s="33"/>
      <c r="CY1011" s="33"/>
      <c r="CZ1011" s="33"/>
      <c r="DA1011" s="33"/>
      <c r="DB1011" s="33"/>
      <c r="DC1011" s="33"/>
      <c r="DD1011" s="33"/>
      <c r="DE1011" s="33"/>
      <c r="DF1011" s="33"/>
      <c r="DG1011" s="33"/>
      <c r="DH1011" s="33"/>
      <c r="DI1011" s="33"/>
      <c r="DJ1011" s="33"/>
      <c r="DK1011" s="33"/>
      <c r="DL1011" s="33"/>
      <c r="DM1011" s="33"/>
      <c r="DN1011" s="33"/>
      <c r="DO1011" s="33"/>
      <c r="DP1011" s="33"/>
      <c r="DQ1011" s="33"/>
      <c r="DR1011" s="33"/>
      <c r="DS1011" s="33"/>
      <c r="DT1011" s="33"/>
      <c r="DU1011" s="33"/>
      <c r="DV1011" s="33"/>
      <c r="DW1011" s="33"/>
      <c r="DX1011" s="33"/>
      <c r="DY1011" s="33"/>
      <c r="DZ1011" s="33"/>
      <c r="EA1011" s="33"/>
      <c r="EB1011" s="33"/>
      <c r="EC1011" s="33"/>
      <c r="ED1011" s="33"/>
      <c r="EE1011" s="33"/>
      <c r="EF1011" s="33"/>
      <c r="EG1011" s="33"/>
      <c r="EH1011" s="33"/>
      <c r="EI1011" s="33"/>
      <c r="EJ1011" s="33"/>
      <c r="EK1011" s="33"/>
      <c r="EL1011" s="33"/>
      <c r="EM1011" s="33"/>
      <c r="EN1011" s="33"/>
      <c r="EO1011" s="33"/>
      <c r="EP1011" s="33"/>
      <c r="EQ1011" s="33"/>
      <c r="ER1011" s="33"/>
      <c r="ES1011" s="33"/>
    </row>
    <row r="1012">
      <c r="A1012" s="33"/>
      <c r="B1012" s="33"/>
      <c r="C1012" s="33"/>
      <c r="D1012" s="33"/>
      <c r="E1012" s="33"/>
      <c r="F1012" s="33"/>
      <c r="G1012" s="85"/>
      <c r="H1012" s="85"/>
      <c r="I1012" s="33"/>
      <c r="J1012" s="33"/>
      <c r="K1012" s="33"/>
      <c r="L1012" s="33"/>
      <c r="M1012" s="33"/>
      <c r="N1012" s="33"/>
      <c r="O1012" s="33"/>
      <c r="P1012" s="33"/>
      <c r="Q1012" s="33"/>
      <c r="R1012" s="33"/>
      <c r="S1012" s="33"/>
      <c r="T1012" s="33"/>
      <c r="U1012" s="33"/>
      <c r="V1012" s="33"/>
      <c r="W1012" s="33"/>
      <c r="X1012" s="33"/>
      <c r="Y1012" s="33"/>
      <c r="Z1012" s="33"/>
      <c r="AA1012" s="33"/>
      <c r="AB1012" s="33"/>
      <c r="AC1012" s="33"/>
      <c r="AD1012" s="33"/>
      <c r="AE1012" s="33"/>
      <c r="AF1012" s="33"/>
      <c r="AG1012" s="33"/>
      <c r="AH1012" s="33"/>
      <c r="AI1012" s="33"/>
      <c r="AJ1012" s="33"/>
      <c r="AK1012" s="33"/>
      <c r="AL1012" s="33"/>
      <c r="AM1012" s="33"/>
      <c r="AN1012" s="33"/>
      <c r="AO1012" s="33"/>
      <c r="AP1012" s="33"/>
      <c r="AQ1012" s="33"/>
      <c r="AR1012" s="33"/>
      <c r="AS1012" s="33"/>
      <c r="AT1012" s="33"/>
      <c r="AU1012" s="33"/>
      <c r="AV1012" s="33"/>
      <c r="AW1012" s="33"/>
      <c r="AX1012" s="33"/>
      <c r="AY1012" s="33"/>
      <c r="AZ1012" s="33"/>
      <c r="BA1012" s="33"/>
      <c r="BB1012" s="33"/>
      <c r="BC1012" s="33"/>
      <c r="BD1012" s="33"/>
      <c r="BE1012" s="33"/>
      <c r="BF1012" s="33"/>
      <c r="BG1012" s="33"/>
      <c r="BH1012" s="33"/>
      <c r="BI1012" s="33"/>
      <c r="BJ1012" s="33"/>
      <c r="BK1012" s="33"/>
      <c r="BL1012" s="33"/>
      <c r="BM1012" s="33"/>
      <c r="BN1012" s="33"/>
      <c r="BO1012" s="33"/>
      <c r="BP1012" s="33"/>
      <c r="BQ1012" s="33"/>
      <c r="BR1012" s="33"/>
      <c r="BS1012" s="33"/>
      <c r="BT1012" s="33"/>
      <c r="BU1012" s="33"/>
      <c r="BV1012" s="33"/>
      <c r="BW1012" s="33"/>
      <c r="BX1012" s="33"/>
      <c r="BY1012" s="33"/>
      <c r="BZ1012" s="33"/>
      <c r="CA1012" s="33"/>
      <c r="CB1012" s="33"/>
      <c r="CC1012" s="33"/>
      <c r="CD1012" s="33"/>
      <c r="CE1012" s="33"/>
      <c r="CF1012" s="33"/>
      <c r="CG1012" s="33"/>
      <c r="CH1012" s="33"/>
      <c r="CI1012" s="33"/>
      <c r="CJ1012" s="33"/>
      <c r="CK1012" s="33"/>
      <c r="CL1012" s="33"/>
      <c r="CM1012" s="33"/>
      <c r="CN1012" s="33"/>
      <c r="CO1012" s="33"/>
      <c r="CP1012" s="33"/>
      <c r="CQ1012" s="33"/>
      <c r="CR1012" s="33"/>
      <c r="CS1012" s="33"/>
      <c r="CT1012" s="33"/>
      <c r="CU1012" s="33"/>
      <c r="CV1012" s="33"/>
      <c r="CW1012" s="33"/>
      <c r="CX1012" s="33"/>
      <c r="CY1012" s="33"/>
      <c r="CZ1012" s="33"/>
      <c r="DA1012" s="33"/>
      <c r="DB1012" s="33"/>
      <c r="DC1012" s="33"/>
      <c r="DD1012" s="33"/>
      <c r="DE1012" s="33"/>
      <c r="DF1012" s="33"/>
      <c r="DG1012" s="33"/>
      <c r="DH1012" s="33"/>
      <c r="DI1012" s="33"/>
      <c r="DJ1012" s="33"/>
      <c r="DK1012" s="33"/>
      <c r="DL1012" s="33"/>
      <c r="DM1012" s="33"/>
      <c r="DN1012" s="33"/>
      <c r="DO1012" s="33"/>
      <c r="DP1012" s="33"/>
      <c r="DQ1012" s="33"/>
      <c r="DR1012" s="33"/>
      <c r="DS1012" s="33"/>
      <c r="DT1012" s="33"/>
      <c r="DU1012" s="33"/>
      <c r="DV1012" s="33"/>
      <c r="DW1012" s="33"/>
      <c r="DX1012" s="33"/>
      <c r="DY1012" s="33"/>
      <c r="DZ1012" s="33"/>
      <c r="EA1012" s="33"/>
      <c r="EB1012" s="33"/>
      <c r="EC1012" s="33"/>
      <c r="ED1012" s="33"/>
      <c r="EE1012" s="33"/>
      <c r="EF1012" s="33"/>
      <c r="EG1012" s="33"/>
      <c r="EH1012" s="33"/>
      <c r="EI1012" s="33"/>
      <c r="EJ1012" s="33"/>
      <c r="EK1012" s="33"/>
      <c r="EL1012" s="33"/>
      <c r="EM1012" s="33"/>
      <c r="EN1012" s="33"/>
      <c r="EO1012" s="33"/>
      <c r="EP1012" s="33"/>
      <c r="EQ1012" s="33"/>
      <c r="ER1012" s="33"/>
      <c r="ES1012" s="33"/>
    </row>
    <row r="1013">
      <c r="A1013" s="33"/>
      <c r="B1013" s="33"/>
      <c r="C1013" s="33"/>
      <c r="D1013" s="33"/>
      <c r="E1013" s="33"/>
      <c r="F1013" s="33"/>
      <c r="G1013" s="85"/>
      <c r="H1013" s="85"/>
      <c r="I1013" s="33"/>
      <c r="J1013" s="33"/>
      <c r="K1013" s="33"/>
      <c r="L1013" s="33"/>
      <c r="M1013" s="33"/>
      <c r="N1013" s="33"/>
      <c r="O1013" s="33"/>
      <c r="P1013" s="33"/>
      <c r="Q1013" s="33"/>
      <c r="R1013" s="33"/>
      <c r="S1013" s="33"/>
      <c r="T1013" s="33"/>
      <c r="U1013" s="33"/>
      <c r="V1013" s="33"/>
      <c r="W1013" s="33"/>
      <c r="X1013" s="33"/>
      <c r="Y1013" s="33"/>
      <c r="Z1013" s="33"/>
      <c r="AA1013" s="33"/>
      <c r="AB1013" s="33"/>
      <c r="AC1013" s="33"/>
      <c r="AD1013" s="33"/>
      <c r="AE1013" s="33"/>
      <c r="AF1013" s="33"/>
      <c r="AG1013" s="33"/>
      <c r="AH1013" s="33"/>
      <c r="AI1013" s="33"/>
      <c r="AJ1013" s="33"/>
      <c r="AK1013" s="33"/>
      <c r="AL1013" s="33"/>
      <c r="AM1013" s="33"/>
      <c r="AN1013" s="33"/>
      <c r="AO1013" s="33"/>
      <c r="AP1013" s="33"/>
      <c r="AQ1013" s="33"/>
      <c r="AR1013" s="33"/>
      <c r="AS1013" s="33"/>
      <c r="AT1013" s="33"/>
      <c r="AU1013" s="33"/>
      <c r="AV1013" s="33"/>
      <c r="AW1013" s="33"/>
      <c r="AX1013" s="33"/>
      <c r="AY1013" s="33"/>
      <c r="AZ1013" s="33"/>
      <c r="BA1013" s="33"/>
      <c r="BB1013" s="33"/>
      <c r="BC1013" s="33"/>
      <c r="BD1013" s="33"/>
      <c r="BE1013" s="33"/>
      <c r="BF1013" s="33"/>
      <c r="BG1013" s="33"/>
      <c r="BH1013" s="33"/>
      <c r="BI1013" s="33"/>
      <c r="BJ1013" s="33"/>
      <c r="BK1013" s="33"/>
      <c r="BL1013" s="33"/>
      <c r="BM1013" s="33"/>
      <c r="BN1013" s="33"/>
      <c r="BO1013" s="33"/>
      <c r="BP1013" s="33"/>
      <c r="BQ1013" s="33"/>
      <c r="BR1013" s="33"/>
      <c r="BS1013" s="33"/>
      <c r="BT1013" s="33"/>
      <c r="BU1013" s="33"/>
      <c r="BV1013" s="33"/>
      <c r="BW1013" s="33"/>
      <c r="BX1013" s="33"/>
      <c r="BY1013" s="33"/>
      <c r="BZ1013" s="33"/>
      <c r="CA1013" s="33"/>
      <c r="CB1013" s="33"/>
      <c r="CC1013" s="33"/>
      <c r="CD1013" s="33"/>
      <c r="CE1013" s="33"/>
      <c r="CF1013" s="33"/>
      <c r="CG1013" s="33"/>
      <c r="CH1013" s="33"/>
      <c r="CI1013" s="33"/>
      <c r="CJ1013" s="33"/>
      <c r="CK1013" s="33"/>
      <c r="CL1013" s="33"/>
      <c r="CM1013" s="33"/>
      <c r="CN1013" s="33"/>
      <c r="CO1013" s="33"/>
      <c r="CP1013" s="33"/>
      <c r="CQ1013" s="33"/>
      <c r="CR1013" s="33"/>
      <c r="CS1013" s="33"/>
      <c r="CT1013" s="33"/>
      <c r="CU1013" s="33"/>
      <c r="CV1013" s="33"/>
      <c r="CW1013" s="33"/>
      <c r="CX1013" s="33"/>
      <c r="CY1013" s="33"/>
      <c r="CZ1013" s="33"/>
      <c r="DA1013" s="33"/>
      <c r="DB1013" s="33"/>
      <c r="DC1013" s="33"/>
      <c r="DD1013" s="33"/>
      <c r="DE1013" s="33"/>
      <c r="DF1013" s="33"/>
      <c r="DG1013" s="33"/>
      <c r="DH1013" s="33"/>
      <c r="DI1013" s="33"/>
      <c r="DJ1013" s="33"/>
      <c r="DK1013" s="33"/>
      <c r="DL1013" s="33"/>
      <c r="DM1013" s="33"/>
      <c r="DN1013" s="33"/>
      <c r="DO1013" s="33"/>
      <c r="DP1013" s="33"/>
      <c r="DQ1013" s="33"/>
      <c r="DR1013" s="33"/>
      <c r="DS1013" s="33"/>
      <c r="DT1013" s="33"/>
      <c r="DU1013" s="33"/>
      <c r="DV1013" s="33"/>
      <c r="DW1013" s="33"/>
      <c r="DX1013" s="33"/>
      <c r="DY1013" s="33"/>
      <c r="DZ1013" s="33"/>
      <c r="EA1013" s="33"/>
      <c r="EB1013" s="33"/>
      <c r="EC1013" s="33"/>
      <c r="ED1013" s="33"/>
      <c r="EE1013" s="33"/>
      <c r="EF1013" s="33"/>
      <c r="EG1013" s="33"/>
      <c r="EH1013" s="33"/>
      <c r="EI1013" s="33"/>
      <c r="EJ1013" s="33"/>
      <c r="EK1013" s="33"/>
      <c r="EL1013" s="33"/>
      <c r="EM1013" s="33"/>
      <c r="EN1013" s="33"/>
      <c r="EO1013" s="33"/>
      <c r="EP1013" s="33"/>
      <c r="EQ1013" s="33"/>
      <c r="ER1013" s="33"/>
      <c r="ES1013" s="33"/>
    </row>
    <row r="1014">
      <c r="A1014" s="33"/>
      <c r="B1014" s="33"/>
      <c r="C1014" s="33"/>
      <c r="D1014" s="33"/>
      <c r="E1014" s="33"/>
      <c r="F1014" s="33"/>
      <c r="G1014" s="85"/>
      <c r="H1014" s="85"/>
      <c r="I1014" s="33"/>
      <c r="J1014" s="33"/>
      <c r="K1014" s="33"/>
      <c r="L1014" s="33"/>
      <c r="M1014" s="33"/>
      <c r="N1014" s="33"/>
      <c r="O1014" s="33"/>
      <c r="P1014" s="33"/>
      <c r="Q1014" s="33"/>
      <c r="R1014" s="33"/>
      <c r="S1014" s="33"/>
      <c r="T1014" s="33"/>
      <c r="U1014" s="33"/>
      <c r="V1014" s="33"/>
      <c r="W1014" s="33"/>
      <c r="X1014" s="33"/>
      <c r="Y1014" s="33"/>
      <c r="Z1014" s="33"/>
      <c r="AA1014" s="33"/>
      <c r="AB1014" s="33"/>
      <c r="AC1014" s="33"/>
      <c r="AD1014" s="33"/>
      <c r="AE1014" s="33"/>
      <c r="AF1014" s="33"/>
      <c r="AG1014" s="33"/>
      <c r="AH1014" s="33"/>
      <c r="AI1014" s="33"/>
      <c r="AJ1014" s="33"/>
      <c r="AK1014" s="33"/>
      <c r="AL1014" s="33"/>
      <c r="AM1014" s="33"/>
      <c r="AN1014" s="33"/>
      <c r="AO1014" s="33"/>
      <c r="AP1014" s="33"/>
      <c r="AQ1014" s="33"/>
      <c r="AR1014" s="33"/>
      <c r="AS1014" s="33"/>
      <c r="AT1014" s="33"/>
      <c r="AU1014" s="33"/>
      <c r="AV1014" s="33"/>
      <c r="AW1014" s="33"/>
      <c r="AX1014" s="33"/>
      <c r="AY1014" s="33"/>
      <c r="AZ1014" s="33"/>
      <c r="BA1014" s="33"/>
      <c r="BB1014" s="33"/>
      <c r="BC1014" s="33"/>
      <c r="BD1014" s="33"/>
      <c r="BE1014" s="33"/>
      <c r="BF1014" s="33"/>
      <c r="BG1014" s="33"/>
      <c r="BH1014" s="33"/>
      <c r="BI1014" s="33"/>
      <c r="BJ1014" s="33"/>
      <c r="BK1014" s="33"/>
      <c r="BL1014" s="33"/>
      <c r="BM1014" s="33"/>
      <c r="BN1014" s="33"/>
      <c r="BO1014" s="33"/>
      <c r="BP1014" s="33"/>
      <c r="BQ1014" s="33"/>
      <c r="BR1014" s="33"/>
      <c r="BS1014" s="33"/>
      <c r="BT1014" s="33"/>
      <c r="BU1014" s="33"/>
      <c r="BV1014" s="33"/>
      <c r="BW1014" s="33"/>
      <c r="BX1014" s="33"/>
      <c r="BY1014" s="33"/>
      <c r="BZ1014" s="33"/>
      <c r="CA1014" s="33"/>
      <c r="CB1014" s="33"/>
      <c r="CC1014" s="33"/>
      <c r="CD1014" s="33"/>
      <c r="CE1014" s="33"/>
      <c r="CF1014" s="33"/>
      <c r="CG1014" s="33"/>
      <c r="CH1014" s="33"/>
      <c r="CI1014" s="33"/>
      <c r="CJ1014" s="33"/>
      <c r="CK1014" s="33"/>
      <c r="CL1014" s="33"/>
      <c r="CM1014" s="33"/>
      <c r="CN1014" s="33"/>
      <c r="CO1014" s="33"/>
      <c r="CP1014" s="33"/>
      <c r="CQ1014" s="33"/>
      <c r="CR1014" s="33"/>
      <c r="CS1014" s="33"/>
      <c r="CT1014" s="33"/>
      <c r="CU1014" s="33"/>
      <c r="CV1014" s="33"/>
      <c r="CW1014" s="33"/>
      <c r="CX1014" s="33"/>
      <c r="CY1014" s="33"/>
      <c r="CZ1014" s="33"/>
      <c r="DA1014" s="33"/>
      <c r="DB1014" s="33"/>
      <c r="DC1014" s="33"/>
      <c r="DD1014" s="33"/>
      <c r="DE1014" s="33"/>
      <c r="DF1014" s="33"/>
      <c r="DG1014" s="33"/>
      <c r="DH1014" s="33"/>
      <c r="DI1014" s="33"/>
      <c r="DJ1014" s="33"/>
      <c r="DK1014" s="33"/>
      <c r="DL1014" s="33"/>
      <c r="DM1014" s="33"/>
      <c r="DN1014" s="33"/>
      <c r="DO1014" s="33"/>
      <c r="DP1014" s="33"/>
      <c r="DQ1014" s="33"/>
      <c r="DR1014" s="33"/>
      <c r="DS1014" s="33"/>
      <c r="DT1014" s="33"/>
      <c r="DU1014" s="33"/>
      <c r="DV1014" s="33"/>
      <c r="DW1014" s="33"/>
      <c r="DX1014" s="33"/>
      <c r="DY1014" s="33"/>
      <c r="DZ1014" s="33"/>
      <c r="EA1014" s="33"/>
      <c r="EB1014" s="33"/>
      <c r="EC1014" s="33"/>
      <c r="ED1014" s="33"/>
      <c r="EE1014" s="33"/>
      <c r="EF1014" s="33"/>
      <c r="EG1014" s="33"/>
      <c r="EH1014" s="33"/>
      <c r="EI1014" s="33"/>
      <c r="EJ1014" s="33"/>
      <c r="EK1014" s="33"/>
      <c r="EL1014" s="33"/>
      <c r="EM1014" s="33"/>
      <c r="EN1014" s="33"/>
      <c r="EO1014" s="33"/>
      <c r="EP1014" s="33"/>
      <c r="EQ1014" s="33"/>
      <c r="ER1014" s="33"/>
      <c r="ES1014" s="33"/>
    </row>
    <row r="1015">
      <c r="A1015" s="33"/>
      <c r="B1015" s="33"/>
      <c r="C1015" s="33"/>
      <c r="D1015" s="33"/>
      <c r="E1015" s="33"/>
      <c r="F1015" s="33"/>
      <c r="G1015" s="85"/>
      <c r="H1015" s="85"/>
      <c r="I1015" s="33"/>
      <c r="J1015" s="33"/>
      <c r="K1015" s="33"/>
      <c r="L1015" s="33"/>
      <c r="M1015" s="33"/>
      <c r="N1015" s="33"/>
      <c r="O1015" s="33"/>
      <c r="P1015" s="33"/>
      <c r="Q1015" s="33"/>
      <c r="R1015" s="33"/>
      <c r="S1015" s="33"/>
      <c r="T1015" s="33"/>
      <c r="U1015" s="33"/>
      <c r="V1015" s="33"/>
      <c r="W1015" s="33"/>
      <c r="X1015" s="33"/>
      <c r="Y1015" s="33"/>
      <c r="Z1015" s="33"/>
      <c r="AA1015" s="33"/>
      <c r="AB1015" s="33"/>
      <c r="AC1015" s="33"/>
      <c r="AD1015" s="33"/>
      <c r="AE1015" s="33"/>
      <c r="AF1015" s="33"/>
      <c r="AG1015" s="33"/>
      <c r="AH1015" s="33"/>
      <c r="AI1015" s="33"/>
      <c r="AJ1015" s="33"/>
      <c r="AK1015" s="33"/>
      <c r="AL1015" s="33"/>
      <c r="AM1015" s="33"/>
      <c r="AN1015" s="33"/>
      <c r="AO1015" s="33"/>
      <c r="AP1015" s="33"/>
      <c r="AQ1015" s="33"/>
      <c r="AR1015" s="33"/>
      <c r="AS1015" s="33"/>
      <c r="AT1015" s="33"/>
      <c r="AU1015" s="33"/>
      <c r="AV1015" s="33"/>
      <c r="AW1015" s="33"/>
      <c r="AX1015" s="33"/>
      <c r="AY1015" s="33"/>
      <c r="AZ1015" s="33"/>
      <c r="BA1015" s="33"/>
      <c r="BB1015" s="33"/>
      <c r="BC1015" s="33"/>
      <c r="BD1015" s="33"/>
      <c r="BE1015" s="33"/>
      <c r="BF1015" s="33"/>
      <c r="BG1015" s="33"/>
      <c r="BH1015" s="33"/>
      <c r="BI1015" s="33"/>
      <c r="BJ1015" s="33"/>
      <c r="BK1015" s="33"/>
      <c r="BL1015" s="33"/>
      <c r="BM1015" s="33"/>
      <c r="BN1015" s="33"/>
      <c r="BO1015" s="33"/>
      <c r="BP1015" s="33"/>
      <c r="BQ1015" s="33"/>
      <c r="BR1015" s="33"/>
      <c r="BS1015" s="33"/>
      <c r="BT1015" s="33"/>
      <c r="BU1015" s="33"/>
      <c r="BV1015" s="33"/>
      <c r="BW1015" s="33"/>
      <c r="BX1015" s="33"/>
      <c r="BY1015" s="33"/>
      <c r="BZ1015" s="33"/>
      <c r="CA1015" s="33"/>
      <c r="CB1015" s="33"/>
      <c r="CC1015" s="33"/>
      <c r="CD1015" s="33"/>
      <c r="CE1015" s="33"/>
      <c r="CF1015" s="33"/>
      <c r="CG1015" s="33"/>
      <c r="CH1015" s="33"/>
      <c r="CI1015" s="33"/>
      <c r="CJ1015" s="33"/>
      <c r="CK1015" s="33"/>
      <c r="CL1015" s="33"/>
      <c r="CM1015" s="33"/>
      <c r="CN1015" s="33"/>
      <c r="CO1015" s="33"/>
      <c r="CP1015" s="33"/>
      <c r="CQ1015" s="33"/>
      <c r="CR1015" s="33"/>
      <c r="CS1015" s="33"/>
      <c r="CT1015" s="33"/>
      <c r="CU1015" s="33"/>
      <c r="CV1015" s="33"/>
      <c r="CW1015" s="33"/>
      <c r="CX1015" s="33"/>
      <c r="CY1015" s="33"/>
      <c r="CZ1015" s="33"/>
      <c r="DA1015" s="33"/>
      <c r="DB1015" s="33"/>
      <c r="DC1015" s="33"/>
      <c r="DD1015" s="33"/>
      <c r="DE1015" s="33"/>
      <c r="DF1015" s="33"/>
      <c r="DG1015" s="33"/>
      <c r="DH1015" s="33"/>
      <c r="DI1015" s="33"/>
      <c r="DJ1015" s="33"/>
      <c r="DK1015" s="33"/>
      <c r="DL1015" s="33"/>
      <c r="DM1015" s="33"/>
      <c r="DN1015" s="33"/>
      <c r="DO1015" s="33"/>
      <c r="DP1015" s="33"/>
      <c r="DQ1015" s="33"/>
      <c r="DR1015" s="33"/>
      <c r="DS1015" s="33"/>
      <c r="DT1015" s="33"/>
      <c r="DU1015" s="33"/>
      <c r="DV1015" s="33"/>
      <c r="DW1015" s="33"/>
      <c r="DX1015" s="33"/>
      <c r="DY1015" s="33"/>
      <c r="DZ1015" s="33"/>
      <c r="EA1015" s="33"/>
      <c r="EB1015" s="33"/>
      <c r="EC1015" s="33"/>
      <c r="ED1015" s="33"/>
      <c r="EE1015" s="33"/>
      <c r="EF1015" s="33"/>
      <c r="EG1015" s="33"/>
      <c r="EH1015" s="33"/>
      <c r="EI1015" s="33"/>
      <c r="EJ1015" s="33"/>
      <c r="EK1015" s="33"/>
      <c r="EL1015" s="33"/>
      <c r="EM1015" s="33"/>
      <c r="EN1015" s="33"/>
      <c r="EO1015" s="33"/>
      <c r="EP1015" s="33"/>
      <c r="EQ1015" s="33"/>
      <c r="ER1015" s="33"/>
      <c r="ES1015" s="33"/>
    </row>
    <row r="1016">
      <c r="A1016" s="33"/>
      <c r="B1016" s="33"/>
      <c r="C1016" s="33"/>
      <c r="D1016" s="33"/>
      <c r="E1016" s="33"/>
      <c r="F1016" s="33"/>
      <c r="G1016" s="85"/>
      <c r="H1016" s="85"/>
      <c r="I1016" s="33"/>
      <c r="J1016" s="33"/>
      <c r="K1016" s="33"/>
      <c r="L1016" s="33"/>
      <c r="M1016" s="33"/>
      <c r="N1016" s="33"/>
      <c r="O1016" s="33"/>
      <c r="P1016" s="33"/>
      <c r="Q1016" s="33"/>
      <c r="R1016" s="33"/>
      <c r="S1016" s="33"/>
      <c r="T1016" s="33"/>
      <c r="U1016" s="33"/>
      <c r="V1016" s="33"/>
      <c r="W1016" s="33"/>
      <c r="X1016" s="33"/>
      <c r="Y1016" s="33"/>
      <c r="Z1016" s="33"/>
      <c r="AA1016" s="33"/>
      <c r="AB1016" s="33"/>
      <c r="AC1016" s="33"/>
      <c r="AD1016" s="33"/>
      <c r="AE1016" s="33"/>
      <c r="AF1016" s="33"/>
      <c r="AG1016" s="33"/>
      <c r="AH1016" s="33"/>
      <c r="AI1016" s="33"/>
      <c r="AJ1016" s="33"/>
      <c r="AK1016" s="33"/>
      <c r="AL1016" s="33"/>
      <c r="AM1016" s="33"/>
      <c r="AN1016" s="33"/>
      <c r="AO1016" s="33"/>
      <c r="AP1016" s="33"/>
      <c r="AQ1016" s="33"/>
      <c r="AR1016" s="33"/>
      <c r="AS1016" s="33"/>
      <c r="AT1016" s="33"/>
      <c r="AU1016" s="33"/>
      <c r="AV1016" s="33"/>
      <c r="AW1016" s="33"/>
      <c r="AX1016" s="33"/>
      <c r="AY1016" s="33"/>
      <c r="AZ1016" s="33"/>
      <c r="BA1016" s="33"/>
      <c r="BB1016" s="33"/>
      <c r="BC1016" s="33"/>
      <c r="BD1016" s="33"/>
      <c r="BE1016" s="33"/>
      <c r="BF1016" s="33"/>
      <c r="BG1016" s="33"/>
      <c r="BH1016" s="33"/>
      <c r="BI1016" s="33"/>
      <c r="BJ1016" s="33"/>
      <c r="BK1016" s="33"/>
      <c r="BL1016" s="33"/>
      <c r="BM1016" s="33"/>
      <c r="BN1016" s="33"/>
      <c r="BO1016" s="33"/>
      <c r="BP1016" s="33"/>
      <c r="BQ1016" s="33"/>
      <c r="BR1016" s="33"/>
      <c r="BS1016" s="33"/>
      <c r="BT1016" s="33"/>
      <c r="BU1016" s="33"/>
      <c r="BV1016" s="33"/>
      <c r="BW1016" s="33"/>
      <c r="BX1016" s="33"/>
      <c r="BY1016" s="33"/>
      <c r="BZ1016" s="33"/>
      <c r="CA1016" s="33"/>
      <c r="CB1016" s="33"/>
      <c r="CC1016" s="33"/>
      <c r="CD1016" s="33"/>
      <c r="CE1016" s="33"/>
      <c r="CF1016" s="33"/>
      <c r="CG1016" s="33"/>
      <c r="CH1016" s="33"/>
      <c r="CI1016" s="33"/>
      <c r="CJ1016" s="33"/>
      <c r="CK1016" s="33"/>
      <c r="CL1016" s="33"/>
      <c r="CM1016" s="33"/>
      <c r="CN1016" s="33"/>
      <c r="CO1016" s="33"/>
      <c r="CP1016" s="33"/>
      <c r="CQ1016" s="33"/>
      <c r="CR1016" s="33"/>
      <c r="CS1016" s="33"/>
      <c r="CT1016" s="33"/>
      <c r="CU1016" s="33"/>
      <c r="CV1016" s="33"/>
      <c r="CW1016" s="33"/>
      <c r="CX1016" s="33"/>
      <c r="CY1016" s="33"/>
      <c r="CZ1016" s="33"/>
      <c r="DA1016" s="33"/>
      <c r="DB1016" s="33"/>
      <c r="DC1016" s="33"/>
      <c r="DD1016" s="33"/>
      <c r="DE1016" s="33"/>
      <c r="DF1016" s="33"/>
      <c r="DG1016" s="33"/>
      <c r="DH1016" s="33"/>
      <c r="DI1016" s="33"/>
      <c r="DJ1016" s="33"/>
      <c r="DK1016" s="33"/>
      <c r="DL1016" s="33"/>
      <c r="DM1016" s="33"/>
      <c r="DN1016" s="33"/>
      <c r="DO1016" s="33"/>
      <c r="DP1016" s="33"/>
      <c r="DQ1016" s="33"/>
      <c r="DR1016" s="33"/>
      <c r="DS1016" s="33"/>
      <c r="DT1016" s="33"/>
      <c r="DU1016" s="33"/>
      <c r="DV1016" s="33"/>
      <c r="DW1016" s="33"/>
      <c r="DX1016" s="33"/>
      <c r="DY1016" s="33"/>
      <c r="DZ1016" s="33"/>
      <c r="EA1016" s="33"/>
      <c r="EB1016" s="33"/>
      <c r="EC1016" s="33"/>
      <c r="ED1016" s="33"/>
      <c r="EE1016" s="33"/>
      <c r="EF1016" s="33"/>
      <c r="EG1016" s="33"/>
      <c r="EH1016" s="33"/>
      <c r="EI1016" s="33"/>
      <c r="EJ1016" s="33"/>
      <c r="EK1016" s="33"/>
      <c r="EL1016" s="33"/>
      <c r="EM1016" s="33"/>
      <c r="EN1016" s="33"/>
      <c r="EO1016" s="33"/>
      <c r="EP1016" s="33"/>
      <c r="EQ1016" s="33"/>
      <c r="ER1016" s="33"/>
      <c r="ES1016" s="33"/>
    </row>
    <row r="1017">
      <c r="A1017" s="33"/>
      <c r="B1017" s="33"/>
      <c r="C1017" s="33"/>
      <c r="D1017" s="33"/>
      <c r="E1017" s="33"/>
      <c r="F1017" s="33"/>
      <c r="G1017" s="85"/>
      <c r="H1017" s="85"/>
      <c r="I1017" s="33"/>
      <c r="J1017" s="33"/>
      <c r="K1017" s="33"/>
      <c r="L1017" s="33"/>
      <c r="M1017" s="33"/>
      <c r="N1017" s="33"/>
      <c r="O1017" s="33"/>
      <c r="P1017" s="33"/>
      <c r="Q1017" s="33"/>
      <c r="R1017" s="33"/>
      <c r="S1017" s="33"/>
      <c r="T1017" s="33"/>
      <c r="U1017" s="33"/>
      <c r="V1017" s="33"/>
      <c r="W1017" s="33"/>
      <c r="X1017" s="33"/>
      <c r="Y1017" s="33"/>
      <c r="Z1017" s="33"/>
      <c r="AA1017" s="33"/>
      <c r="AB1017" s="33"/>
      <c r="AC1017" s="33"/>
      <c r="AD1017" s="33"/>
      <c r="AE1017" s="33"/>
      <c r="AF1017" s="33"/>
      <c r="AG1017" s="33"/>
      <c r="AH1017" s="33"/>
      <c r="AI1017" s="33"/>
      <c r="AJ1017" s="33"/>
      <c r="AK1017" s="33"/>
      <c r="AL1017" s="33"/>
      <c r="AM1017" s="33"/>
      <c r="AN1017" s="33"/>
      <c r="AO1017" s="33"/>
      <c r="AP1017" s="33"/>
      <c r="AQ1017" s="33"/>
      <c r="AR1017" s="33"/>
      <c r="AS1017" s="33"/>
      <c r="AT1017" s="33"/>
      <c r="AU1017" s="33"/>
      <c r="AV1017" s="33"/>
      <c r="AW1017" s="33"/>
      <c r="AX1017" s="33"/>
      <c r="AY1017" s="33"/>
      <c r="AZ1017" s="33"/>
      <c r="BA1017" s="33"/>
      <c r="BB1017" s="33"/>
      <c r="BC1017" s="33"/>
      <c r="BD1017" s="33"/>
      <c r="BE1017" s="33"/>
      <c r="BF1017" s="33"/>
      <c r="BG1017" s="33"/>
      <c r="BH1017" s="33"/>
      <c r="BI1017" s="33"/>
      <c r="BJ1017" s="33"/>
      <c r="BK1017" s="33"/>
      <c r="BL1017" s="33"/>
      <c r="BM1017" s="33"/>
      <c r="BN1017" s="33"/>
      <c r="BO1017" s="33"/>
      <c r="BP1017" s="33"/>
      <c r="BQ1017" s="33"/>
      <c r="BR1017" s="33"/>
      <c r="BS1017" s="33"/>
      <c r="BT1017" s="33"/>
      <c r="BU1017" s="33"/>
      <c r="BV1017" s="33"/>
      <c r="BW1017" s="33"/>
      <c r="BX1017" s="33"/>
      <c r="BY1017" s="33"/>
      <c r="BZ1017" s="33"/>
      <c r="CA1017" s="33"/>
      <c r="CB1017" s="33"/>
      <c r="CC1017" s="33"/>
      <c r="CD1017" s="33"/>
      <c r="CE1017" s="33"/>
      <c r="CF1017" s="33"/>
      <c r="CG1017" s="33"/>
      <c r="CH1017" s="33"/>
      <c r="CI1017" s="33"/>
      <c r="CJ1017" s="33"/>
      <c r="CK1017" s="33"/>
      <c r="CL1017" s="33"/>
      <c r="CM1017" s="33"/>
      <c r="CN1017" s="33"/>
      <c r="CO1017" s="33"/>
      <c r="CP1017" s="33"/>
      <c r="CQ1017" s="33"/>
      <c r="CR1017" s="33"/>
      <c r="CS1017" s="33"/>
      <c r="CT1017" s="33"/>
      <c r="CU1017" s="33"/>
      <c r="CV1017" s="33"/>
      <c r="CW1017" s="33"/>
      <c r="CX1017" s="33"/>
      <c r="CY1017" s="33"/>
      <c r="CZ1017" s="33"/>
      <c r="DA1017" s="33"/>
      <c r="DB1017" s="33"/>
      <c r="DC1017" s="33"/>
      <c r="DD1017" s="33"/>
      <c r="DE1017" s="33"/>
      <c r="DF1017" s="33"/>
      <c r="DG1017" s="33"/>
      <c r="DH1017" s="33"/>
      <c r="DI1017" s="33"/>
      <c r="DJ1017" s="33"/>
      <c r="DK1017" s="33"/>
      <c r="DL1017" s="33"/>
      <c r="DM1017" s="33"/>
      <c r="DN1017" s="33"/>
      <c r="DO1017" s="33"/>
      <c r="DP1017" s="33"/>
      <c r="DQ1017" s="33"/>
      <c r="DR1017" s="33"/>
      <c r="DS1017" s="33"/>
      <c r="DT1017" s="33"/>
      <c r="DU1017" s="33"/>
      <c r="DV1017" s="33"/>
      <c r="DW1017" s="33"/>
      <c r="DX1017" s="33"/>
      <c r="DY1017" s="33"/>
      <c r="DZ1017" s="33"/>
      <c r="EA1017" s="33"/>
      <c r="EB1017" s="33"/>
      <c r="EC1017" s="33"/>
      <c r="ED1017" s="33"/>
      <c r="EE1017" s="33"/>
      <c r="EF1017" s="33"/>
      <c r="EG1017" s="33"/>
      <c r="EH1017" s="33"/>
      <c r="EI1017" s="33"/>
      <c r="EJ1017" s="33"/>
      <c r="EK1017" s="33"/>
      <c r="EL1017" s="33"/>
      <c r="EM1017" s="33"/>
      <c r="EN1017" s="33"/>
      <c r="EO1017" s="33"/>
      <c r="EP1017" s="33"/>
      <c r="EQ1017" s="33"/>
      <c r="ER1017" s="33"/>
      <c r="ES1017" s="33"/>
    </row>
    <row r="1018">
      <c r="A1018" s="33"/>
      <c r="B1018" s="33"/>
      <c r="C1018" s="33"/>
      <c r="D1018" s="33"/>
      <c r="E1018" s="33"/>
      <c r="F1018" s="33"/>
      <c r="G1018" s="85"/>
      <c r="H1018" s="85"/>
      <c r="I1018" s="33"/>
      <c r="J1018" s="33"/>
      <c r="K1018" s="33"/>
      <c r="L1018" s="33"/>
      <c r="M1018" s="33"/>
      <c r="N1018" s="33"/>
      <c r="O1018" s="33"/>
      <c r="P1018" s="33"/>
      <c r="Q1018" s="33"/>
      <c r="R1018" s="33"/>
      <c r="S1018" s="33"/>
      <c r="T1018" s="33"/>
      <c r="U1018" s="33"/>
      <c r="V1018" s="33"/>
      <c r="W1018" s="33"/>
      <c r="X1018" s="33"/>
      <c r="Y1018" s="33"/>
      <c r="Z1018" s="33"/>
      <c r="AA1018" s="33"/>
      <c r="AB1018" s="33"/>
      <c r="AC1018" s="33"/>
      <c r="AD1018" s="33"/>
      <c r="AE1018" s="33"/>
      <c r="AF1018" s="33"/>
      <c r="AG1018" s="33"/>
      <c r="AH1018" s="33"/>
      <c r="AI1018" s="33"/>
      <c r="AJ1018" s="33"/>
      <c r="AK1018" s="33"/>
      <c r="AL1018" s="33"/>
      <c r="AM1018" s="33"/>
      <c r="AN1018" s="33"/>
      <c r="AO1018" s="33"/>
      <c r="AP1018" s="33"/>
      <c r="AQ1018" s="33"/>
      <c r="AR1018" s="33"/>
      <c r="AS1018" s="33"/>
      <c r="AT1018" s="33"/>
      <c r="AU1018" s="33"/>
      <c r="AV1018" s="33"/>
      <c r="AW1018" s="33"/>
      <c r="AX1018" s="33"/>
      <c r="AY1018" s="33"/>
      <c r="AZ1018" s="33"/>
      <c r="BA1018" s="33"/>
      <c r="BB1018" s="33"/>
      <c r="BC1018" s="33"/>
      <c r="BD1018" s="33"/>
      <c r="BE1018" s="33"/>
      <c r="BF1018" s="33"/>
      <c r="BG1018" s="33"/>
      <c r="BH1018" s="33"/>
      <c r="BI1018" s="33"/>
      <c r="BJ1018" s="33"/>
      <c r="BK1018" s="33"/>
      <c r="BL1018" s="33"/>
      <c r="BM1018" s="33"/>
      <c r="BN1018" s="33"/>
      <c r="BO1018" s="33"/>
      <c r="BP1018" s="33"/>
      <c r="BQ1018" s="33"/>
      <c r="BR1018" s="33"/>
      <c r="BS1018" s="33"/>
      <c r="BT1018" s="33"/>
      <c r="BU1018" s="33"/>
      <c r="BV1018" s="33"/>
      <c r="BW1018" s="33"/>
      <c r="BX1018" s="33"/>
      <c r="BY1018" s="33"/>
      <c r="BZ1018" s="33"/>
      <c r="CA1018" s="33"/>
      <c r="CB1018" s="33"/>
      <c r="CC1018" s="33"/>
      <c r="CD1018" s="33"/>
      <c r="CE1018" s="33"/>
      <c r="CF1018" s="33"/>
      <c r="CG1018" s="33"/>
      <c r="CH1018" s="33"/>
      <c r="CI1018" s="33"/>
      <c r="CJ1018" s="33"/>
      <c r="CK1018" s="33"/>
      <c r="CL1018" s="33"/>
      <c r="CM1018" s="33"/>
      <c r="CN1018" s="33"/>
      <c r="CO1018" s="33"/>
      <c r="CP1018" s="33"/>
      <c r="CQ1018" s="33"/>
      <c r="CR1018" s="33"/>
      <c r="CS1018" s="33"/>
      <c r="CT1018" s="33"/>
      <c r="CU1018" s="33"/>
      <c r="CV1018" s="33"/>
      <c r="CW1018" s="33"/>
      <c r="CX1018" s="33"/>
      <c r="CY1018" s="33"/>
      <c r="CZ1018" s="33"/>
      <c r="DA1018" s="33"/>
      <c r="DB1018" s="33"/>
      <c r="DC1018" s="33"/>
      <c r="DD1018" s="33"/>
      <c r="DE1018" s="33"/>
      <c r="DF1018" s="33"/>
      <c r="DG1018" s="33"/>
      <c r="DH1018" s="33"/>
      <c r="DI1018" s="33"/>
      <c r="DJ1018" s="33"/>
      <c r="DK1018" s="33"/>
      <c r="DL1018" s="33"/>
      <c r="DM1018" s="33"/>
      <c r="DN1018" s="33"/>
      <c r="DO1018" s="33"/>
      <c r="DP1018" s="33"/>
      <c r="DQ1018" s="33"/>
      <c r="DR1018" s="33"/>
      <c r="DS1018" s="33"/>
      <c r="DT1018" s="33"/>
      <c r="DU1018" s="33"/>
      <c r="DV1018" s="33"/>
      <c r="DW1018" s="33"/>
      <c r="DX1018" s="33"/>
      <c r="DY1018" s="33"/>
      <c r="DZ1018" s="33"/>
      <c r="EA1018" s="33"/>
      <c r="EB1018" s="33"/>
      <c r="EC1018" s="33"/>
      <c r="ED1018" s="33"/>
      <c r="EE1018" s="33"/>
      <c r="EF1018" s="33"/>
      <c r="EG1018" s="33"/>
      <c r="EH1018" s="33"/>
      <c r="EI1018" s="33"/>
      <c r="EJ1018" s="33"/>
      <c r="EK1018" s="33"/>
      <c r="EL1018" s="33"/>
      <c r="EM1018" s="33"/>
      <c r="EN1018" s="33"/>
      <c r="EO1018" s="33"/>
      <c r="EP1018" s="33"/>
      <c r="EQ1018" s="33"/>
      <c r="ER1018" s="33"/>
      <c r="ES1018" s="33"/>
    </row>
    <row r="1019">
      <c r="A1019" s="33"/>
      <c r="B1019" s="33"/>
      <c r="C1019" s="33"/>
      <c r="D1019" s="33"/>
      <c r="E1019" s="33"/>
      <c r="F1019" s="33"/>
      <c r="G1019" s="85"/>
      <c r="H1019" s="85"/>
      <c r="I1019" s="33"/>
      <c r="J1019" s="33"/>
      <c r="K1019" s="33"/>
      <c r="L1019" s="33"/>
      <c r="M1019" s="33"/>
      <c r="N1019" s="33"/>
      <c r="O1019" s="33"/>
      <c r="P1019" s="33"/>
      <c r="Q1019" s="33"/>
      <c r="R1019" s="33"/>
      <c r="S1019" s="33"/>
      <c r="T1019" s="33"/>
      <c r="U1019" s="33"/>
      <c r="V1019" s="33"/>
      <c r="W1019" s="33"/>
      <c r="X1019" s="33"/>
      <c r="Y1019" s="33"/>
      <c r="Z1019" s="33"/>
      <c r="AA1019" s="33"/>
      <c r="AB1019" s="33"/>
      <c r="AC1019" s="33"/>
      <c r="AD1019" s="33"/>
      <c r="AE1019" s="33"/>
      <c r="AF1019" s="33"/>
      <c r="AG1019" s="33"/>
      <c r="AH1019" s="33"/>
      <c r="AI1019" s="33"/>
      <c r="AJ1019" s="33"/>
      <c r="AK1019" s="33"/>
      <c r="AL1019" s="33"/>
      <c r="AM1019" s="33"/>
      <c r="AN1019" s="33"/>
      <c r="AO1019" s="33"/>
      <c r="AP1019" s="33"/>
      <c r="AQ1019" s="33"/>
      <c r="AR1019" s="33"/>
      <c r="AS1019" s="33"/>
      <c r="AT1019" s="33"/>
      <c r="AU1019" s="33"/>
      <c r="AV1019" s="33"/>
      <c r="AW1019" s="33"/>
      <c r="AX1019" s="33"/>
      <c r="AY1019" s="33"/>
      <c r="AZ1019" s="33"/>
      <c r="BA1019" s="33"/>
      <c r="BB1019" s="33"/>
      <c r="BC1019" s="33"/>
      <c r="BD1019" s="33"/>
      <c r="BE1019" s="33"/>
      <c r="BF1019" s="33"/>
      <c r="BG1019" s="33"/>
      <c r="BH1019" s="33"/>
      <c r="BI1019" s="33"/>
      <c r="BJ1019" s="33"/>
      <c r="BK1019" s="33"/>
      <c r="BL1019" s="33"/>
      <c r="BM1019" s="33"/>
      <c r="BN1019" s="33"/>
      <c r="BO1019" s="33"/>
      <c r="BP1019" s="33"/>
      <c r="BQ1019" s="33"/>
      <c r="BR1019" s="33"/>
      <c r="BS1019" s="33"/>
      <c r="BT1019" s="33"/>
      <c r="BU1019" s="33"/>
      <c r="BV1019" s="33"/>
      <c r="BW1019" s="33"/>
      <c r="BX1019" s="33"/>
      <c r="BY1019" s="33"/>
      <c r="BZ1019" s="33"/>
      <c r="CA1019" s="33"/>
      <c r="CB1019" s="33"/>
      <c r="CC1019" s="33"/>
      <c r="CD1019" s="33"/>
      <c r="CE1019" s="33"/>
      <c r="CF1019" s="33"/>
      <c r="CG1019" s="33"/>
      <c r="CH1019" s="33"/>
      <c r="CI1019" s="33"/>
      <c r="CJ1019" s="33"/>
      <c r="CK1019" s="33"/>
      <c r="CL1019" s="33"/>
      <c r="CM1019" s="33"/>
      <c r="CN1019" s="33"/>
      <c r="CO1019" s="33"/>
      <c r="CP1019" s="33"/>
      <c r="CQ1019" s="33"/>
      <c r="CR1019" s="33"/>
      <c r="CS1019" s="33"/>
      <c r="CT1019" s="33"/>
      <c r="CU1019" s="33"/>
      <c r="CV1019" s="33"/>
      <c r="CW1019" s="33"/>
      <c r="CX1019" s="33"/>
      <c r="CY1019" s="33"/>
      <c r="CZ1019" s="33"/>
      <c r="DA1019" s="33"/>
      <c r="DB1019" s="33"/>
      <c r="DC1019" s="33"/>
      <c r="DD1019" s="33"/>
      <c r="DE1019" s="33"/>
      <c r="DF1019" s="33"/>
      <c r="DG1019" s="33"/>
      <c r="DH1019" s="33"/>
      <c r="DI1019" s="33"/>
      <c r="DJ1019" s="33"/>
      <c r="DK1019" s="33"/>
      <c r="DL1019" s="33"/>
      <c r="DM1019" s="33"/>
      <c r="DN1019" s="33"/>
      <c r="DO1019" s="33"/>
      <c r="DP1019" s="33"/>
      <c r="DQ1019" s="33"/>
      <c r="DR1019" s="33"/>
      <c r="DS1019" s="33"/>
      <c r="DT1019" s="33"/>
      <c r="DU1019" s="33"/>
      <c r="DV1019" s="33"/>
      <c r="DW1019" s="33"/>
      <c r="DX1019" s="33"/>
      <c r="DY1019" s="33"/>
      <c r="DZ1019" s="33"/>
      <c r="EA1019" s="33"/>
      <c r="EB1019" s="33"/>
      <c r="EC1019" s="33"/>
      <c r="ED1019" s="33"/>
      <c r="EE1019" s="33"/>
      <c r="EF1019" s="33"/>
      <c r="EG1019" s="33"/>
      <c r="EH1019" s="33"/>
      <c r="EI1019" s="33"/>
      <c r="EJ1019" s="33"/>
      <c r="EK1019" s="33"/>
      <c r="EL1019" s="33"/>
      <c r="EM1019" s="33"/>
      <c r="EN1019" s="33"/>
      <c r="EO1019" s="33"/>
      <c r="EP1019" s="33"/>
      <c r="EQ1019" s="33"/>
      <c r="ER1019" s="33"/>
      <c r="ES1019" s="33"/>
    </row>
    <row r="1020">
      <c r="A1020" s="33"/>
      <c r="B1020" s="33"/>
      <c r="C1020" s="33"/>
      <c r="D1020" s="33"/>
      <c r="E1020" s="33"/>
      <c r="F1020" s="33"/>
      <c r="G1020" s="85"/>
      <c r="H1020" s="85"/>
      <c r="I1020" s="33"/>
      <c r="J1020" s="33"/>
      <c r="K1020" s="33"/>
      <c r="L1020" s="33"/>
      <c r="M1020" s="33"/>
      <c r="N1020" s="33"/>
      <c r="O1020" s="33"/>
      <c r="P1020" s="33"/>
      <c r="Q1020" s="33"/>
      <c r="R1020" s="33"/>
      <c r="S1020" s="33"/>
      <c r="T1020" s="33"/>
      <c r="U1020" s="33"/>
      <c r="V1020" s="33"/>
      <c r="W1020" s="33"/>
      <c r="X1020" s="33"/>
      <c r="Y1020" s="33"/>
      <c r="Z1020" s="33"/>
      <c r="AA1020" s="33"/>
      <c r="AB1020" s="33"/>
      <c r="AC1020" s="33"/>
      <c r="AD1020" s="33"/>
      <c r="AE1020" s="33"/>
      <c r="AF1020" s="33"/>
      <c r="AG1020" s="33"/>
      <c r="AH1020" s="33"/>
      <c r="AI1020" s="33"/>
      <c r="AJ1020" s="33"/>
      <c r="AK1020" s="33"/>
      <c r="AL1020" s="33"/>
      <c r="AM1020" s="33"/>
      <c r="AN1020" s="33"/>
      <c r="AO1020" s="33"/>
      <c r="AP1020" s="33"/>
      <c r="AQ1020" s="33"/>
      <c r="AR1020" s="33"/>
      <c r="AS1020" s="33"/>
      <c r="AT1020" s="33"/>
      <c r="AU1020" s="33"/>
      <c r="AV1020" s="33"/>
      <c r="AW1020" s="33"/>
      <c r="AX1020" s="33"/>
      <c r="AY1020" s="33"/>
      <c r="AZ1020" s="33"/>
      <c r="BA1020" s="33"/>
      <c r="BB1020" s="33"/>
      <c r="BC1020" s="33"/>
      <c r="BD1020" s="33"/>
      <c r="BE1020" s="33"/>
      <c r="BF1020" s="33"/>
      <c r="BG1020" s="33"/>
      <c r="BH1020" s="33"/>
      <c r="BI1020" s="33"/>
      <c r="BJ1020" s="33"/>
      <c r="BK1020" s="33"/>
      <c r="BL1020" s="33"/>
      <c r="BM1020" s="33"/>
      <c r="BN1020" s="33"/>
      <c r="BO1020" s="33"/>
      <c r="BP1020" s="33"/>
      <c r="BQ1020" s="33"/>
      <c r="BR1020" s="33"/>
      <c r="BS1020" s="33"/>
      <c r="BT1020" s="33"/>
      <c r="BU1020" s="33"/>
      <c r="BV1020" s="33"/>
      <c r="BW1020" s="33"/>
      <c r="BX1020" s="33"/>
      <c r="BY1020" s="33"/>
      <c r="BZ1020" s="33"/>
      <c r="CA1020" s="33"/>
      <c r="CB1020" s="33"/>
      <c r="CC1020" s="33"/>
      <c r="CD1020" s="33"/>
      <c r="CE1020" s="33"/>
      <c r="CF1020" s="33"/>
      <c r="CG1020" s="33"/>
      <c r="CH1020" s="33"/>
      <c r="CI1020" s="33"/>
      <c r="CJ1020" s="33"/>
      <c r="CK1020" s="33"/>
      <c r="CL1020" s="33"/>
      <c r="CM1020" s="33"/>
      <c r="CN1020" s="33"/>
      <c r="CO1020" s="33"/>
      <c r="CP1020" s="33"/>
      <c r="CQ1020" s="33"/>
      <c r="CR1020" s="33"/>
      <c r="CS1020" s="33"/>
      <c r="CT1020" s="33"/>
      <c r="CU1020" s="33"/>
      <c r="CV1020" s="33"/>
      <c r="CW1020" s="33"/>
      <c r="CX1020" s="33"/>
      <c r="CY1020" s="33"/>
      <c r="CZ1020" s="33"/>
      <c r="DA1020" s="33"/>
      <c r="DB1020" s="33"/>
      <c r="DC1020" s="33"/>
      <c r="DD1020" s="33"/>
      <c r="DE1020" s="33"/>
      <c r="DF1020" s="33"/>
      <c r="DG1020" s="33"/>
      <c r="DH1020" s="33"/>
      <c r="DI1020" s="33"/>
      <c r="DJ1020" s="33"/>
      <c r="DK1020" s="33"/>
      <c r="DL1020" s="33"/>
      <c r="DM1020" s="33"/>
      <c r="DN1020" s="33"/>
      <c r="DO1020" s="33"/>
      <c r="DP1020" s="33"/>
      <c r="DQ1020" s="33"/>
      <c r="DR1020" s="33"/>
      <c r="DS1020" s="33"/>
      <c r="DT1020" s="33"/>
      <c r="DU1020" s="33"/>
      <c r="DV1020" s="33"/>
      <c r="DW1020" s="33"/>
      <c r="DX1020" s="33"/>
      <c r="DY1020" s="33"/>
      <c r="DZ1020" s="33"/>
      <c r="EA1020" s="33"/>
      <c r="EB1020" s="33"/>
      <c r="EC1020" s="33"/>
      <c r="ED1020" s="33"/>
      <c r="EE1020" s="33"/>
      <c r="EF1020" s="33"/>
      <c r="EG1020" s="33"/>
      <c r="EH1020" s="33"/>
      <c r="EI1020" s="33"/>
      <c r="EJ1020" s="33"/>
      <c r="EK1020" s="33"/>
      <c r="EL1020" s="33"/>
      <c r="EM1020" s="33"/>
      <c r="EN1020" s="33"/>
      <c r="EO1020" s="33"/>
      <c r="EP1020" s="33"/>
      <c r="EQ1020" s="33"/>
      <c r="ER1020" s="33"/>
      <c r="ES1020" s="33"/>
    </row>
    <row r="1021">
      <c r="A1021" s="33"/>
      <c r="B1021" s="33"/>
      <c r="C1021" s="33"/>
      <c r="D1021" s="33"/>
      <c r="E1021" s="33"/>
      <c r="F1021" s="33"/>
      <c r="G1021" s="85"/>
      <c r="H1021" s="85"/>
      <c r="I1021" s="33"/>
      <c r="J1021" s="33"/>
      <c r="K1021" s="33"/>
      <c r="L1021" s="33"/>
      <c r="M1021" s="33"/>
      <c r="N1021" s="33"/>
      <c r="O1021" s="33"/>
      <c r="P1021" s="33"/>
      <c r="Q1021" s="33"/>
      <c r="R1021" s="33"/>
      <c r="S1021" s="33"/>
      <c r="T1021" s="33"/>
      <c r="U1021" s="33"/>
      <c r="V1021" s="33"/>
      <c r="W1021" s="33"/>
      <c r="X1021" s="33"/>
      <c r="Y1021" s="33"/>
      <c r="Z1021" s="33"/>
      <c r="AA1021" s="33"/>
      <c r="AB1021" s="33"/>
      <c r="AC1021" s="33"/>
      <c r="AD1021" s="33"/>
      <c r="AE1021" s="33"/>
      <c r="AF1021" s="33"/>
      <c r="AG1021" s="33"/>
      <c r="AH1021" s="33"/>
      <c r="AI1021" s="33"/>
      <c r="AJ1021" s="33"/>
      <c r="AK1021" s="33"/>
      <c r="AL1021" s="33"/>
      <c r="AM1021" s="33"/>
      <c r="AN1021" s="33"/>
      <c r="AO1021" s="33"/>
      <c r="AP1021" s="33"/>
      <c r="AQ1021" s="33"/>
      <c r="AR1021" s="33"/>
      <c r="AS1021" s="33"/>
      <c r="AT1021" s="33"/>
      <c r="AU1021" s="33"/>
      <c r="AV1021" s="33"/>
      <c r="AW1021" s="33"/>
      <c r="AX1021" s="33"/>
      <c r="AY1021" s="33"/>
      <c r="AZ1021" s="33"/>
      <c r="BA1021" s="33"/>
      <c r="BB1021" s="33"/>
      <c r="BC1021" s="33"/>
      <c r="BD1021" s="33"/>
      <c r="BE1021" s="33"/>
      <c r="BF1021" s="33"/>
      <c r="BG1021" s="33"/>
      <c r="BH1021" s="33"/>
      <c r="BI1021" s="33"/>
      <c r="BJ1021" s="33"/>
      <c r="BK1021" s="33"/>
      <c r="BL1021" s="33"/>
      <c r="BM1021" s="33"/>
      <c r="BN1021" s="33"/>
      <c r="BO1021" s="33"/>
      <c r="BP1021" s="33"/>
      <c r="BQ1021" s="33"/>
      <c r="BR1021" s="33"/>
      <c r="BS1021" s="33"/>
      <c r="BT1021" s="33"/>
      <c r="BU1021" s="33"/>
      <c r="BV1021" s="33"/>
      <c r="BW1021" s="33"/>
      <c r="BX1021" s="33"/>
      <c r="BY1021" s="33"/>
      <c r="BZ1021" s="33"/>
      <c r="CA1021" s="33"/>
      <c r="CB1021" s="33"/>
      <c r="CC1021" s="33"/>
      <c r="CD1021" s="33"/>
      <c r="CE1021" s="33"/>
      <c r="CF1021" s="33"/>
      <c r="CG1021" s="33"/>
      <c r="CH1021" s="33"/>
      <c r="CI1021" s="33"/>
      <c r="CJ1021" s="33"/>
      <c r="CK1021" s="33"/>
      <c r="CL1021" s="33"/>
      <c r="CM1021" s="33"/>
      <c r="CN1021" s="33"/>
      <c r="CO1021" s="33"/>
      <c r="CP1021" s="33"/>
      <c r="CQ1021" s="33"/>
      <c r="CR1021" s="33"/>
      <c r="CS1021" s="33"/>
      <c r="CT1021" s="33"/>
      <c r="CU1021" s="33"/>
      <c r="CV1021" s="33"/>
      <c r="CW1021" s="33"/>
      <c r="CX1021" s="33"/>
      <c r="CY1021" s="33"/>
      <c r="CZ1021" s="33"/>
      <c r="DA1021" s="33"/>
      <c r="DB1021" s="33"/>
      <c r="DC1021" s="33"/>
      <c r="DD1021" s="33"/>
      <c r="DE1021" s="33"/>
      <c r="DF1021" s="33"/>
      <c r="DG1021" s="33"/>
      <c r="DH1021" s="33"/>
      <c r="DI1021" s="33"/>
      <c r="DJ1021" s="33"/>
      <c r="DK1021" s="33"/>
      <c r="DL1021" s="33"/>
      <c r="DM1021" s="33"/>
      <c r="DN1021" s="33"/>
      <c r="DO1021" s="33"/>
      <c r="DP1021" s="33"/>
      <c r="DQ1021" s="33"/>
      <c r="DR1021" s="33"/>
      <c r="DS1021" s="33"/>
      <c r="DT1021" s="33"/>
      <c r="DU1021" s="33"/>
      <c r="DV1021" s="33"/>
      <c r="DW1021" s="33"/>
      <c r="DX1021" s="33"/>
      <c r="DY1021" s="33"/>
      <c r="DZ1021" s="33"/>
      <c r="EA1021" s="33"/>
      <c r="EB1021" s="33"/>
      <c r="EC1021" s="33"/>
      <c r="ED1021" s="33"/>
      <c r="EE1021" s="33"/>
      <c r="EF1021" s="33"/>
      <c r="EG1021" s="33"/>
      <c r="EH1021" s="33"/>
      <c r="EI1021" s="33"/>
      <c r="EJ1021" s="33"/>
      <c r="EK1021" s="33"/>
      <c r="EL1021" s="33"/>
      <c r="EM1021" s="33"/>
      <c r="EN1021" s="33"/>
      <c r="EO1021" s="33"/>
      <c r="EP1021" s="33"/>
      <c r="EQ1021" s="33"/>
      <c r="ER1021" s="33"/>
      <c r="ES1021" s="33"/>
    </row>
    <row r="1022">
      <c r="A1022" s="33"/>
      <c r="B1022" s="33"/>
      <c r="C1022" s="33"/>
      <c r="D1022" s="33"/>
      <c r="E1022" s="33"/>
      <c r="F1022" s="33"/>
      <c r="G1022" s="85"/>
      <c r="H1022" s="85"/>
      <c r="I1022" s="33"/>
      <c r="J1022" s="33"/>
      <c r="K1022" s="33"/>
      <c r="L1022" s="33"/>
      <c r="M1022" s="33"/>
      <c r="N1022" s="33"/>
      <c r="O1022" s="33"/>
      <c r="P1022" s="33"/>
      <c r="Q1022" s="33"/>
      <c r="R1022" s="33"/>
      <c r="S1022" s="33"/>
      <c r="T1022" s="33"/>
      <c r="U1022" s="33"/>
      <c r="V1022" s="33"/>
      <c r="W1022" s="33"/>
      <c r="X1022" s="33"/>
      <c r="Y1022" s="33"/>
      <c r="Z1022" s="33"/>
      <c r="AA1022" s="33"/>
      <c r="AB1022" s="33"/>
      <c r="AC1022" s="33"/>
      <c r="AD1022" s="33"/>
      <c r="AE1022" s="33"/>
      <c r="AF1022" s="33"/>
      <c r="AG1022" s="33"/>
      <c r="AH1022" s="33"/>
      <c r="AI1022" s="33"/>
      <c r="AJ1022" s="33"/>
      <c r="AK1022" s="33"/>
      <c r="AL1022" s="33"/>
      <c r="AM1022" s="33"/>
      <c r="AN1022" s="33"/>
      <c r="AO1022" s="33"/>
      <c r="AP1022" s="33"/>
      <c r="AQ1022" s="33"/>
      <c r="AR1022" s="33"/>
      <c r="AS1022" s="33"/>
      <c r="AT1022" s="33"/>
      <c r="AU1022" s="33"/>
      <c r="AV1022" s="33"/>
      <c r="AW1022" s="33"/>
      <c r="AX1022" s="33"/>
      <c r="AY1022" s="33"/>
      <c r="AZ1022" s="33"/>
      <c r="BA1022" s="33"/>
      <c r="BB1022" s="33"/>
      <c r="BC1022" s="33"/>
      <c r="BD1022" s="33"/>
      <c r="BE1022" s="33"/>
      <c r="BF1022" s="33"/>
      <c r="BG1022" s="33"/>
      <c r="BH1022" s="33"/>
      <c r="BI1022" s="33"/>
      <c r="BJ1022" s="33"/>
      <c r="BK1022" s="33"/>
      <c r="BL1022" s="33"/>
      <c r="BM1022" s="33"/>
      <c r="BN1022" s="33"/>
      <c r="BO1022" s="33"/>
      <c r="BP1022" s="33"/>
      <c r="BQ1022" s="33"/>
      <c r="BR1022" s="33"/>
      <c r="BS1022" s="33"/>
      <c r="BT1022" s="33"/>
      <c r="BU1022" s="33"/>
      <c r="BV1022" s="33"/>
      <c r="BW1022" s="33"/>
      <c r="BX1022" s="33"/>
      <c r="BY1022" s="33"/>
      <c r="BZ1022" s="33"/>
      <c r="CA1022" s="33"/>
      <c r="CB1022" s="33"/>
      <c r="CC1022" s="33"/>
      <c r="CD1022" s="33"/>
      <c r="CE1022" s="33"/>
      <c r="CF1022" s="33"/>
      <c r="CG1022" s="33"/>
      <c r="CH1022" s="33"/>
      <c r="CI1022" s="33"/>
      <c r="CJ1022" s="33"/>
      <c r="CK1022" s="33"/>
      <c r="CL1022" s="33"/>
      <c r="CM1022" s="33"/>
      <c r="CN1022" s="33"/>
      <c r="CO1022" s="33"/>
      <c r="CP1022" s="33"/>
      <c r="CQ1022" s="33"/>
      <c r="CR1022" s="33"/>
      <c r="CS1022" s="33"/>
      <c r="CT1022" s="33"/>
      <c r="CU1022" s="33"/>
      <c r="CV1022" s="33"/>
      <c r="CW1022" s="33"/>
      <c r="CX1022" s="33"/>
      <c r="CY1022" s="33"/>
      <c r="CZ1022" s="33"/>
      <c r="DA1022" s="33"/>
      <c r="DB1022" s="33"/>
      <c r="DC1022" s="33"/>
      <c r="DD1022" s="33"/>
      <c r="DE1022" s="33"/>
      <c r="DF1022" s="33"/>
      <c r="DG1022" s="33"/>
      <c r="DH1022" s="33"/>
      <c r="DI1022" s="33"/>
      <c r="DJ1022" s="33"/>
      <c r="DK1022" s="33"/>
      <c r="DL1022" s="33"/>
      <c r="DM1022" s="33"/>
      <c r="DN1022" s="33"/>
      <c r="DO1022" s="33"/>
      <c r="DP1022" s="33"/>
      <c r="DQ1022" s="33"/>
      <c r="DR1022" s="33"/>
      <c r="DS1022" s="33"/>
      <c r="DT1022" s="33"/>
      <c r="DU1022" s="33"/>
      <c r="DV1022" s="33"/>
      <c r="DW1022" s="33"/>
      <c r="DX1022" s="33"/>
      <c r="DY1022" s="33"/>
      <c r="DZ1022" s="33"/>
      <c r="EA1022" s="33"/>
      <c r="EB1022" s="33"/>
      <c r="EC1022" s="33"/>
      <c r="ED1022" s="33"/>
      <c r="EE1022" s="33"/>
      <c r="EF1022" s="33"/>
      <c r="EG1022" s="33"/>
      <c r="EH1022" s="33"/>
      <c r="EI1022" s="33"/>
      <c r="EJ1022" s="33"/>
      <c r="EK1022" s="33"/>
      <c r="EL1022" s="33"/>
      <c r="EM1022" s="33"/>
      <c r="EN1022" s="33"/>
      <c r="EO1022" s="33"/>
      <c r="EP1022" s="33"/>
      <c r="EQ1022" s="33"/>
      <c r="ER1022" s="33"/>
      <c r="ES1022" s="33"/>
    </row>
    <row r="1023">
      <c r="A1023" s="33"/>
      <c r="B1023" s="33"/>
      <c r="C1023" s="33"/>
      <c r="D1023" s="33"/>
      <c r="E1023" s="33"/>
      <c r="F1023" s="33"/>
      <c r="G1023" s="85"/>
      <c r="H1023" s="85"/>
      <c r="I1023" s="33"/>
      <c r="J1023" s="33"/>
      <c r="K1023" s="33"/>
      <c r="L1023" s="33"/>
      <c r="M1023" s="33"/>
      <c r="N1023" s="33"/>
      <c r="O1023" s="33"/>
      <c r="P1023" s="33"/>
      <c r="Q1023" s="33"/>
      <c r="R1023" s="33"/>
      <c r="S1023" s="33"/>
      <c r="T1023" s="33"/>
      <c r="U1023" s="33"/>
      <c r="V1023" s="33"/>
      <c r="W1023" s="33"/>
      <c r="X1023" s="33"/>
      <c r="Y1023" s="33"/>
      <c r="Z1023" s="33"/>
      <c r="AA1023" s="33"/>
      <c r="AB1023" s="33"/>
      <c r="AC1023" s="33"/>
      <c r="AD1023" s="33"/>
      <c r="AE1023" s="33"/>
      <c r="AF1023" s="33"/>
      <c r="AG1023" s="33"/>
      <c r="AH1023" s="33"/>
      <c r="AI1023" s="33"/>
      <c r="AJ1023" s="33"/>
      <c r="AK1023" s="33"/>
      <c r="AL1023" s="33"/>
      <c r="AM1023" s="33"/>
      <c r="AN1023" s="33"/>
      <c r="AO1023" s="33"/>
      <c r="AP1023" s="33"/>
      <c r="AQ1023" s="33"/>
      <c r="AR1023" s="33"/>
      <c r="AS1023" s="33"/>
      <c r="AT1023" s="33"/>
      <c r="AU1023" s="33"/>
      <c r="AV1023" s="33"/>
      <c r="AW1023" s="33"/>
      <c r="AX1023" s="33"/>
      <c r="AY1023" s="33"/>
      <c r="AZ1023" s="33"/>
      <c r="BA1023" s="33"/>
      <c r="BB1023" s="33"/>
      <c r="BC1023" s="33"/>
      <c r="BD1023" s="33"/>
      <c r="BE1023" s="33"/>
      <c r="BF1023" s="33"/>
      <c r="BG1023" s="33"/>
      <c r="BH1023" s="33"/>
      <c r="BI1023" s="33"/>
      <c r="BJ1023" s="33"/>
      <c r="BK1023" s="33"/>
      <c r="BL1023" s="33"/>
      <c r="BM1023" s="33"/>
      <c r="BN1023" s="33"/>
      <c r="BO1023" s="33"/>
      <c r="BP1023" s="33"/>
      <c r="BQ1023" s="33"/>
      <c r="BR1023" s="33"/>
      <c r="BS1023" s="33"/>
      <c r="BT1023" s="33"/>
      <c r="BU1023" s="33"/>
      <c r="BV1023" s="33"/>
      <c r="BW1023" s="33"/>
      <c r="BX1023" s="33"/>
      <c r="BY1023" s="33"/>
      <c r="BZ1023" s="33"/>
      <c r="CA1023" s="33"/>
      <c r="CB1023" s="33"/>
      <c r="CC1023" s="33"/>
      <c r="CD1023" s="33"/>
      <c r="CE1023" s="33"/>
      <c r="CF1023" s="33"/>
      <c r="CG1023" s="33"/>
      <c r="CH1023" s="33"/>
      <c r="CI1023" s="33"/>
      <c r="CJ1023" s="33"/>
      <c r="CK1023" s="33"/>
      <c r="CL1023" s="33"/>
      <c r="CM1023" s="33"/>
      <c r="CN1023" s="33"/>
      <c r="CO1023" s="33"/>
      <c r="CP1023" s="33"/>
      <c r="CQ1023" s="33"/>
      <c r="CR1023" s="33"/>
      <c r="CS1023" s="33"/>
      <c r="CT1023" s="33"/>
      <c r="CU1023" s="33"/>
      <c r="CV1023" s="33"/>
      <c r="CW1023" s="33"/>
      <c r="CX1023" s="33"/>
      <c r="CY1023" s="33"/>
      <c r="CZ1023" s="33"/>
      <c r="DA1023" s="33"/>
      <c r="DB1023" s="33"/>
      <c r="DC1023" s="33"/>
      <c r="DD1023" s="33"/>
      <c r="DE1023" s="33"/>
      <c r="DF1023" s="33"/>
      <c r="DG1023" s="33"/>
      <c r="DH1023" s="33"/>
      <c r="DI1023" s="33"/>
      <c r="DJ1023" s="33"/>
      <c r="DK1023" s="33"/>
      <c r="DL1023" s="33"/>
      <c r="DM1023" s="33"/>
      <c r="DN1023" s="33"/>
      <c r="DO1023" s="33"/>
      <c r="DP1023" s="33"/>
      <c r="DQ1023" s="33"/>
      <c r="DR1023" s="33"/>
      <c r="DS1023" s="33"/>
      <c r="DT1023" s="33"/>
      <c r="DU1023" s="33"/>
      <c r="DV1023" s="33"/>
      <c r="DW1023" s="33"/>
      <c r="DX1023" s="33"/>
      <c r="DY1023" s="33"/>
      <c r="DZ1023" s="33"/>
      <c r="EA1023" s="33"/>
      <c r="EB1023" s="33"/>
      <c r="EC1023" s="33"/>
      <c r="ED1023" s="33"/>
      <c r="EE1023" s="33"/>
      <c r="EF1023" s="33"/>
      <c r="EG1023" s="33"/>
      <c r="EH1023" s="33"/>
      <c r="EI1023" s="33"/>
      <c r="EJ1023" s="33"/>
      <c r="EK1023" s="33"/>
      <c r="EL1023" s="33"/>
      <c r="EM1023" s="33"/>
      <c r="EN1023" s="33"/>
      <c r="EO1023" s="33"/>
      <c r="EP1023" s="33"/>
      <c r="EQ1023" s="33"/>
      <c r="ER1023" s="33"/>
      <c r="ES1023" s="33"/>
    </row>
    <row r="1024">
      <c r="A1024" s="33"/>
      <c r="B1024" s="33"/>
      <c r="C1024" s="33"/>
      <c r="D1024" s="33"/>
      <c r="E1024" s="33"/>
      <c r="F1024" s="33"/>
      <c r="G1024" s="85"/>
      <c r="H1024" s="85"/>
      <c r="I1024" s="33"/>
      <c r="J1024" s="33"/>
      <c r="K1024" s="33"/>
      <c r="L1024" s="33"/>
      <c r="M1024" s="33"/>
      <c r="N1024" s="33"/>
      <c r="O1024" s="33"/>
      <c r="P1024" s="33"/>
      <c r="Q1024" s="33"/>
      <c r="R1024" s="33"/>
      <c r="S1024" s="33"/>
      <c r="T1024" s="33"/>
      <c r="U1024" s="33"/>
      <c r="V1024" s="33"/>
      <c r="W1024" s="33"/>
      <c r="X1024" s="33"/>
      <c r="Y1024" s="33"/>
      <c r="Z1024" s="33"/>
      <c r="AA1024" s="33"/>
      <c r="AB1024" s="33"/>
      <c r="AC1024" s="33"/>
      <c r="AD1024" s="33"/>
      <c r="AE1024" s="33"/>
      <c r="AF1024" s="33"/>
      <c r="AG1024" s="33"/>
      <c r="AH1024" s="33"/>
      <c r="AI1024" s="33"/>
      <c r="AJ1024" s="33"/>
      <c r="AK1024" s="33"/>
      <c r="AL1024" s="33"/>
      <c r="AM1024" s="33"/>
      <c r="AN1024" s="33"/>
      <c r="AO1024" s="33"/>
      <c r="AP1024" s="33"/>
      <c r="AQ1024" s="33"/>
      <c r="AR1024" s="33"/>
      <c r="AS1024" s="33"/>
      <c r="AT1024" s="33"/>
      <c r="AU1024" s="33"/>
      <c r="AV1024" s="33"/>
      <c r="AW1024" s="33"/>
      <c r="AX1024" s="33"/>
      <c r="AY1024" s="33"/>
      <c r="AZ1024" s="33"/>
      <c r="BA1024" s="33"/>
      <c r="BB1024" s="33"/>
      <c r="BC1024" s="33"/>
      <c r="BD1024" s="33"/>
      <c r="BE1024" s="33"/>
      <c r="BF1024" s="33"/>
      <c r="BG1024" s="33"/>
      <c r="BH1024" s="33"/>
      <c r="BI1024" s="33"/>
      <c r="BJ1024" s="33"/>
      <c r="BK1024" s="33"/>
      <c r="BL1024" s="33"/>
      <c r="BM1024" s="33"/>
      <c r="BN1024" s="33"/>
      <c r="BO1024" s="33"/>
      <c r="BP1024" s="33"/>
      <c r="BQ1024" s="33"/>
      <c r="BR1024" s="33"/>
      <c r="BS1024" s="33"/>
      <c r="BT1024" s="33"/>
      <c r="BU1024" s="33"/>
      <c r="BV1024" s="33"/>
      <c r="BW1024" s="33"/>
      <c r="BX1024" s="33"/>
      <c r="BY1024" s="33"/>
      <c r="BZ1024" s="33"/>
      <c r="CA1024" s="33"/>
      <c r="CB1024" s="33"/>
      <c r="CC1024" s="33"/>
      <c r="CD1024" s="33"/>
      <c r="CE1024" s="33"/>
      <c r="CF1024" s="33"/>
      <c r="CG1024" s="33"/>
      <c r="CH1024" s="33"/>
      <c r="CI1024" s="33"/>
      <c r="CJ1024" s="33"/>
      <c r="CK1024" s="33"/>
      <c r="CL1024" s="33"/>
      <c r="CM1024" s="33"/>
      <c r="CN1024" s="33"/>
      <c r="CO1024" s="33"/>
      <c r="CP1024" s="33"/>
      <c r="CQ1024" s="33"/>
      <c r="CR1024" s="33"/>
      <c r="CS1024" s="33"/>
      <c r="CT1024" s="33"/>
      <c r="CU1024" s="33"/>
      <c r="CV1024" s="33"/>
      <c r="CW1024" s="33"/>
      <c r="CX1024" s="33"/>
      <c r="CY1024" s="33"/>
      <c r="CZ1024" s="33"/>
      <c r="DA1024" s="33"/>
      <c r="DB1024" s="33"/>
      <c r="DC1024" s="33"/>
      <c r="DD1024" s="33"/>
      <c r="DE1024" s="33"/>
      <c r="DF1024" s="33"/>
      <c r="DG1024" s="33"/>
      <c r="DH1024" s="33"/>
      <c r="DI1024" s="33"/>
      <c r="DJ1024" s="33"/>
      <c r="DK1024" s="33"/>
      <c r="DL1024" s="33"/>
      <c r="DM1024" s="33"/>
      <c r="DN1024" s="33"/>
      <c r="DO1024" s="33"/>
      <c r="DP1024" s="33"/>
      <c r="DQ1024" s="33"/>
      <c r="DR1024" s="33"/>
      <c r="DS1024" s="33"/>
      <c r="DT1024" s="33"/>
      <c r="DU1024" s="33"/>
      <c r="DV1024" s="33"/>
      <c r="DW1024" s="33"/>
      <c r="DX1024" s="33"/>
      <c r="DY1024" s="33"/>
      <c r="DZ1024" s="33"/>
      <c r="EA1024" s="33"/>
      <c r="EB1024" s="33"/>
      <c r="EC1024" s="33"/>
      <c r="ED1024" s="33"/>
      <c r="EE1024" s="33"/>
      <c r="EF1024" s="33"/>
      <c r="EG1024" s="33"/>
      <c r="EH1024" s="33"/>
      <c r="EI1024" s="33"/>
      <c r="EJ1024" s="33"/>
      <c r="EK1024" s="33"/>
      <c r="EL1024" s="33"/>
      <c r="EM1024" s="33"/>
      <c r="EN1024" s="33"/>
      <c r="EO1024" s="33"/>
      <c r="EP1024" s="33"/>
      <c r="EQ1024" s="33"/>
      <c r="ER1024" s="33"/>
      <c r="ES1024" s="33"/>
    </row>
    <row r="1025">
      <c r="A1025" s="33"/>
      <c r="B1025" s="33"/>
      <c r="C1025" s="33"/>
      <c r="D1025" s="33"/>
      <c r="E1025" s="33"/>
      <c r="F1025" s="33"/>
      <c r="G1025" s="85"/>
      <c r="H1025" s="85"/>
      <c r="I1025" s="33"/>
      <c r="J1025" s="33"/>
      <c r="K1025" s="33"/>
      <c r="L1025" s="33"/>
      <c r="M1025" s="33"/>
      <c r="N1025" s="33"/>
      <c r="O1025" s="33"/>
      <c r="P1025" s="33"/>
      <c r="Q1025" s="33"/>
      <c r="R1025" s="33"/>
      <c r="S1025" s="33"/>
      <c r="T1025" s="33"/>
      <c r="U1025" s="33"/>
      <c r="V1025" s="33"/>
      <c r="W1025" s="33"/>
      <c r="X1025" s="33"/>
      <c r="Y1025" s="33"/>
      <c r="Z1025" s="33"/>
      <c r="AA1025" s="33"/>
      <c r="AB1025" s="33"/>
      <c r="AC1025" s="33"/>
      <c r="AD1025" s="33"/>
      <c r="AE1025" s="33"/>
      <c r="AF1025" s="33"/>
      <c r="AG1025" s="33"/>
      <c r="AH1025" s="33"/>
      <c r="AI1025" s="33"/>
      <c r="AJ1025" s="33"/>
      <c r="AK1025" s="33"/>
      <c r="AL1025" s="33"/>
      <c r="AM1025" s="33"/>
      <c r="AN1025" s="33"/>
      <c r="AO1025" s="33"/>
      <c r="AP1025" s="33"/>
      <c r="AQ1025" s="33"/>
      <c r="AR1025" s="33"/>
      <c r="AS1025" s="33"/>
      <c r="AT1025" s="33"/>
      <c r="AU1025" s="33"/>
      <c r="AV1025" s="33"/>
      <c r="AW1025" s="33"/>
      <c r="AX1025" s="33"/>
      <c r="AY1025" s="33"/>
      <c r="AZ1025" s="33"/>
      <c r="BA1025" s="33"/>
      <c r="BB1025" s="33"/>
      <c r="BC1025" s="33"/>
      <c r="BD1025" s="33"/>
      <c r="BE1025" s="33"/>
      <c r="BF1025" s="33"/>
      <c r="BG1025" s="33"/>
      <c r="BH1025" s="33"/>
      <c r="BI1025" s="33"/>
      <c r="BJ1025" s="33"/>
      <c r="BK1025" s="33"/>
      <c r="BL1025" s="33"/>
      <c r="BM1025" s="33"/>
      <c r="BN1025" s="33"/>
      <c r="BO1025" s="33"/>
      <c r="BP1025" s="33"/>
      <c r="BQ1025" s="33"/>
      <c r="BR1025" s="33"/>
      <c r="BS1025" s="33"/>
      <c r="BT1025" s="33"/>
      <c r="BU1025" s="33"/>
      <c r="BV1025" s="33"/>
      <c r="BW1025" s="33"/>
      <c r="BX1025" s="33"/>
      <c r="BY1025" s="33"/>
      <c r="BZ1025" s="33"/>
      <c r="CA1025" s="33"/>
      <c r="CB1025" s="33"/>
      <c r="CC1025" s="33"/>
      <c r="CD1025" s="33"/>
      <c r="CE1025" s="33"/>
      <c r="CF1025" s="33"/>
      <c r="CG1025" s="33"/>
      <c r="CH1025" s="33"/>
      <c r="CI1025" s="33"/>
      <c r="CJ1025" s="33"/>
      <c r="CK1025" s="33"/>
      <c r="CL1025" s="33"/>
      <c r="CM1025" s="33"/>
      <c r="CN1025" s="33"/>
      <c r="CO1025" s="33"/>
      <c r="CP1025" s="33"/>
      <c r="CQ1025" s="33"/>
      <c r="CR1025" s="33"/>
      <c r="CS1025" s="33"/>
      <c r="CT1025" s="33"/>
      <c r="CU1025" s="33"/>
      <c r="CV1025" s="33"/>
      <c r="CW1025" s="33"/>
      <c r="CX1025" s="33"/>
      <c r="CY1025" s="33"/>
      <c r="CZ1025" s="33"/>
      <c r="DA1025" s="33"/>
      <c r="DB1025" s="33"/>
      <c r="DC1025" s="33"/>
      <c r="DD1025" s="33"/>
      <c r="DE1025" s="33"/>
      <c r="DF1025" s="33"/>
      <c r="DG1025" s="33"/>
      <c r="DH1025" s="33"/>
      <c r="DI1025" s="33"/>
      <c r="DJ1025" s="33"/>
      <c r="DK1025" s="33"/>
      <c r="DL1025" s="33"/>
      <c r="DM1025" s="33"/>
      <c r="DN1025" s="33"/>
      <c r="DO1025" s="33"/>
      <c r="DP1025" s="33"/>
      <c r="DQ1025" s="33"/>
      <c r="DR1025" s="33"/>
      <c r="DS1025" s="33"/>
      <c r="DT1025" s="33"/>
      <c r="DU1025" s="33"/>
      <c r="DV1025" s="33"/>
      <c r="DW1025" s="33"/>
      <c r="DX1025" s="33"/>
      <c r="DY1025" s="33"/>
      <c r="DZ1025" s="33"/>
      <c r="EA1025" s="33"/>
      <c r="EB1025" s="33"/>
      <c r="EC1025" s="33"/>
      <c r="ED1025" s="33"/>
      <c r="EE1025" s="33"/>
      <c r="EF1025" s="33"/>
      <c r="EG1025" s="33"/>
      <c r="EH1025" s="33"/>
      <c r="EI1025" s="33"/>
      <c r="EJ1025" s="33"/>
      <c r="EK1025" s="33"/>
      <c r="EL1025" s="33"/>
      <c r="EM1025" s="33"/>
      <c r="EN1025" s="33"/>
      <c r="EO1025" s="33"/>
      <c r="EP1025" s="33"/>
      <c r="EQ1025" s="33"/>
      <c r="ER1025" s="33"/>
      <c r="ES1025" s="33"/>
    </row>
    <row r="1026">
      <c r="A1026" s="33"/>
      <c r="B1026" s="33"/>
      <c r="C1026" s="33"/>
      <c r="D1026" s="33"/>
      <c r="E1026" s="33"/>
      <c r="F1026" s="33"/>
      <c r="G1026" s="85"/>
      <c r="H1026" s="85"/>
      <c r="I1026" s="33"/>
      <c r="J1026" s="33"/>
      <c r="K1026" s="33"/>
      <c r="L1026" s="33"/>
      <c r="M1026" s="33"/>
      <c r="N1026" s="33"/>
      <c r="O1026" s="33"/>
      <c r="P1026" s="33"/>
      <c r="Q1026" s="33"/>
      <c r="R1026" s="33"/>
      <c r="S1026" s="33"/>
      <c r="T1026" s="33"/>
      <c r="U1026" s="33"/>
      <c r="V1026" s="33"/>
      <c r="W1026" s="33"/>
      <c r="X1026" s="33"/>
      <c r="Y1026" s="33"/>
      <c r="Z1026" s="33"/>
      <c r="AA1026" s="33"/>
      <c r="AB1026" s="33"/>
      <c r="AC1026" s="33"/>
      <c r="AD1026" s="33"/>
      <c r="AE1026" s="33"/>
      <c r="AF1026" s="33"/>
      <c r="AG1026" s="33"/>
      <c r="AH1026" s="33"/>
      <c r="AI1026" s="33"/>
      <c r="AJ1026" s="33"/>
      <c r="AK1026" s="33"/>
      <c r="AL1026" s="33"/>
      <c r="AM1026" s="33"/>
      <c r="AN1026" s="33"/>
      <c r="AO1026" s="33"/>
      <c r="AP1026" s="33"/>
      <c r="AQ1026" s="33"/>
      <c r="AR1026" s="33"/>
      <c r="AS1026" s="33"/>
      <c r="AT1026" s="33"/>
      <c r="AU1026" s="33"/>
      <c r="AV1026" s="33"/>
      <c r="AW1026" s="33"/>
      <c r="AX1026" s="33"/>
      <c r="AY1026" s="33"/>
      <c r="AZ1026" s="33"/>
      <c r="BA1026" s="33"/>
      <c r="BB1026" s="33"/>
      <c r="BC1026" s="33"/>
      <c r="BD1026" s="33"/>
      <c r="BE1026" s="33"/>
      <c r="BF1026" s="33"/>
      <c r="BG1026" s="33"/>
      <c r="BH1026" s="33"/>
      <c r="BI1026" s="33"/>
      <c r="BJ1026" s="33"/>
      <c r="BK1026" s="33"/>
      <c r="BL1026" s="33"/>
      <c r="BM1026" s="33"/>
      <c r="BN1026" s="33"/>
      <c r="BO1026" s="33"/>
      <c r="BP1026" s="33"/>
      <c r="BQ1026" s="33"/>
      <c r="BR1026" s="33"/>
      <c r="BS1026" s="33"/>
      <c r="BT1026" s="33"/>
      <c r="BU1026" s="33"/>
      <c r="BV1026" s="33"/>
      <c r="BW1026" s="33"/>
      <c r="BX1026" s="33"/>
      <c r="BY1026" s="33"/>
      <c r="BZ1026" s="33"/>
      <c r="CA1026" s="33"/>
      <c r="CB1026" s="33"/>
      <c r="CC1026" s="33"/>
      <c r="CD1026" s="33"/>
      <c r="CE1026" s="33"/>
      <c r="CF1026" s="33"/>
      <c r="CG1026" s="33"/>
      <c r="CH1026" s="33"/>
      <c r="CI1026" s="33"/>
      <c r="CJ1026" s="33"/>
      <c r="CK1026" s="33"/>
      <c r="CL1026" s="33"/>
      <c r="CM1026" s="33"/>
      <c r="CN1026" s="33"/>
      <c r="CO1026" s="33"/>
      <c r="CP1026" s="33"/>
      <c r="CQ1026" s="33"/>
      <c r="CR1026" s="33"/>
      <c r="CS1026" s="33"/>
      <c r="CT1026" s="33"/>
      <c r="CU1026" s="33"/>
      <c r="CV1026" s="33"/>
      <c r="CW1026" s="33"/>
      <c r="CX1026" s="33"/>
      <c r="CY1026" s="33"/>
      <c r="CZ1026" s="33"/>
      <c r="DA1026" s="33"/>
      <c r="DB1026" s="33"/>
      <c r="DC1026" s="33"/>
      <c r="DD1026" s="33"/>
      <c r="DE1026" s="33"/>
      <c r="DF1026" s="33"/>
      <c r="DG1026" s="33"/>
      <c r="DH1026" s="33"/>
      <c r="DI1026" s="33"/>
      <c r="DJ1026" s="33"/>
      <c r="DK1026" s="33"/>
      <c r="DL1026" s="33"/>
      <c r="DM1026" s="33"/>
      <c r="DN1026" s="33"/>
      <c r="DO1026" s="33"/>
      <c r="DP1026" s="33"/>
      <c r="DQ1026" s="33"/>
      <c r="DR1026" s="33"/>
      <c r="DS1026" s="33"/>
      <c r="DT1026" s="33"/>
      <c r="DU1026" s="33"/>
      <c r="DV1026" s="33"/>
      <c r="DW1026" s="33"/>
      <c r="DX1026" s="33"/>
      <c r="DY1026" s="33"/>
      <c r="DZ1026" s="33"/>
      <c r="EA1026" s="33"/>
      <c r="EB1026" s="33"/>
      <c r="EC1026" s="33"/>
      <c r="ED1026" s="33"/>
      <c r="EE1026" s="33"/>
      <c r="EF1026" s="33"/>
      <c r="EG1026" s="33"/>
      <c r="EH1026" s="33"/>
      <c r="EI1026" s="33"/>
      <c r="EJ1026" s="33"/>
      <c r="EK1026" s="33"/>
      <c r="EL1026" s="33"/>
      <c r="EM1026" s="33"/>
      <c r="EN1026" s="33"/>
      <c r="EO1026" s="33"/>
      <c r="EP1026" s="33"/>
      <c r="EQ1026" s="33"/>
      <c r="ER1026" s="33"/>
      <c r="ES1026" s="33"/>
    </row>
    <row r="1027">
      <c r="A1027" s="33"/>
      <c r="B1027" s="33"/>
      <c r="C1027" s="33"/>
      <c r="D1027" s="33"/>
      <c r="E1027" s="33"/>
      <c r="F1027" s="33"/>
      <c r="G1027" s="85"/>
      <c r="H1027" s="85"/>
      <c r="I1027" s="33"/>
      <c r="J1027" s="33"/>
      <c r="K1027" s="33"/>
      <c r="L1027" s="33"/>
      <c r="M1027" s="33"/>
      <c r="N1027" s="33"/>
      <c r="O1027" s="33"/>
      <c r="P1027" s="33"/>
      <c r="Q1027" s="33"/>
      <c r="R1027" s="33"/>
      <c r="S1027" s="33"/>
      <c r="T1027" s="33"/>
      <c r="U1027" s="33"/>
      <c r="V1027" s="33"/>
      <c r="W1027" s="33"/>
      <c r="X1027" s="33"/>
      <c r="Y1027" s="33"/>
      <c r="Z1027" s="33"/>
      <c r="AA1027" s="33"/>
      <c r="AB1027" s="33"/>
      <c r="AC1027" s="33"/>
      <c r="AD1027" s="33"/>
      <c r="AE1027" s="33"/>
      <c r="AF1027" s="33"/>
      <c r="AG1027" s="33"/>
      <c r="AH1027" s="33"/>
      <c r="AI1027" s="33"/>
      <c r="AJ1027" s="33"/>
      <c r="AK1027" s="33"/>
      <c r="AL1027" s="33"/>
      <c r="AM1027" s="33"/>
      <c r="AN1027" s="33"/>
      <c r="AO1027" s="33"/>
      <c r="AP1027" s="33"/>
      <c r="AQ1027" s="33"/>
      <c r="AR1027" s="33"/>
      <c r="AS1027" s="33"/>
      <c r="AT1027" s="33"/>
      <c r="AU1027" s="33"/>
      <c r="AV1027" s="33"/>
      <c r="AW1027" s="33"/>
      <c r="AX1027" s="33"/>
      <c r="AY1027" s="33"/>
      <c r="AZ1027" s="33"/>
      <c r="BA1027" s="33"/>
      <c r="BB1027" s="33"/>
      <c r="BC1027" s="33"/>
      <c r="BD1027" s="33"/>
      <c r="BE1027" s="33"/>
      <c r="BF1027" s="33"/>
      <c r="BG1027" s="33"/>
      <c r="BH1027" s="33"/>
      <c r="BI1027" s="33"/>
      <c r="BJ1027" s="33"/>
      <c r="BK1027" s="33"/>
      <c r="BL1027" s="33"/>
      <c r="BM1027" s="33"/>
      <c r="BN1027" s="33"/>
      <c r="BO1027" s="33"/>
      <c r="BP1027" s="33"/>
      <c r="BQ1027" s="33"/>
      <c r="BR1027" s="33"/>
      <c r="BS1027" s="33"/>
      <c r="BT1027" s="33"/>
      <c r="BU1027" s="33"/>
      <c r="BV1027" s="33"/>
      <c r="BW1027" s="33"/>
      <c r="BX1027" s="33"/>
      <c r="BY1027" s="33"/>
      <c r="BZ1027" s="33"/>
      <c r="CA1027" s="33"/>
      <c r="CB1027" s="33"/>
      <c r="CC1027" s="33"/>
      <c r="CD1027" s="33"/>
      <c r="CE1027" s="33"/>
      <c r="CF1027" s="33"/>
      <c r="CG1027" s="33"/>
      <c r="CH1027" s="33"/>
      <c r="CI1027" s="33"/>
      <c r="CJ1027" s="33"/>
      <c r="CK1027" s="33"/>
      <c r="CL1027" s="33"/>
      <c r="CM1027" s="33"/>
      <c r="CN1027" s="33"/>
      <c r="CO1027" s="33"/>
      <c r="CP1027" s="33"/>
      <c r="CQ1027" s="33"/>
      <c r="CR1027" s="33"/>
      <c r="CS1027" s="33"/>
      <c r="CT1027" s="33"/>
      <c r="CU1027" s="33"/>
      <c r="CV1027" s="33"/>
      <c r="CW1027" s="33"/>
      <c r="CX1027" s="33"/>
      <c r="CY1027" s="33"/>
      <c r="CZ1027" s="33"/>
      <c r="DA1027" s="33"/>
      <c r="DB1027" s="33"/>
      <c r="DC1027" s="33"/>
      <c r="DD1027" s="33"/>
      <c r="DE1027" s="33"/>
      <c r="DF1027" s="33"/>
      <c r="DG1027" s="33"/>
      <c r="DH1027" s="33"/>
      <c r="DI1027" s="33"/>
      <c r="DJ1027" s="33"/>
      <c r="DK1027" s="33"/>
      <c r="DL1027" s="33"/>
      <c r="DM1027" s="33"/>
      <c r="DN1027" s="33"/>
      <c r="DO1027" s="33"/>
      <c r="DP1027" s="33"/>
      <c r="DQ1027" s="33"/>
      <c r="DR1027" s="33"/>
      <c r="DS1027" s="33"/>
      <c r="DT1027" s="33"/>
      <c r="DU1027" s="33"/>
      <c r="DV1027" s="33"/>
      <c r="DW1027" s="33"/>
      <c r="DX1027" s="33"/>
      <c r="DY1027" s="33"/>
      <c r="DZ1027" s="33"/>
      <c r="EA1027" s="33"/>
      <c r="EB1027" s="33"/>
      <c r="EC1027" s="33"/>
      <c r="ED1027" s="33"/>
      <c r="EE1027" s="33"/>
      <c r="EF1027" s="33"/>
      <c r="EG1027" s="33"/>
      <c r="EH1027" s="33"/>
      <c r="EI1027" s="33"/>
      <c r="EJ1027" s="33"/>
      <c r="EK1027" s="33"/>
      <c r="EL1027" s="33"/>
      <c r="EM1027" s="33"/>
      <c r="EN1027" s="33"/>
      <c r="EO1027" s="33"/>
      <c r="EP1027" s="33"/>
      <c r="EQ1027" s="33"/>
      <c r="ER1027" s="33"/>
      <c r="ES1027" s="33"/>
    </row>
    <row r="1028">
      <c r="A1028" s="33"/>
      <c r="B1028" s="33"/>
      <c r="C1028" s="33"/>
      <c r="D1028" s="33"/>
      <c r="E1028" s="33"/>
      <c r="F1028" s="33"/>
      <c r="G1028" s="85"/>
      <c r="H1028" s="85"/>
      <c r="I1028" s="33"/>
      <c r="J1028" s="33"/>
      <c r="K1028" s="33"/>
      <c r="L1028" s="33"/>
      <c r="M1028" s="33"/>
      <c r="N1028" s="33"/>
      <c r="O1028" s="33"/>
      <c r="P1028" s="33"/>
      <c r="Q1028" s="33"/>
      <c r="R1028" s="33"/>
      <c r="S1028" s="33"/>
      <c r="T1028" s="33"/>
      <c r="U1028" s="33"/>
      <c r="V1028" s="33"/>
      <c r="W1028" s="33"/>
      <c r="X1028" s="33"/>
      <c r="Y1028" s="33"/>
      <c r="Z1028" s="33"/>
      <c r="AA1028" s="33"/>
      <c r="AB1028" s="33"/>
      <c r="AC1028" s="33"/>
      <c r="AD1028" s="33"/>
      <c r="AE1028" s="33"/>
      <c r="AF1028" s="33"/>
      <c r="AG1028" s="33"/>
      <c r="AH1028" s="33"/>
      <c r="AI1028" s="33"/>
      <c r="AJ1028" s="33"/>
      <c r="AK1028" s="33"/>
      <c r="AL1028" s="33"/>
      <c r="AM1028" s="33"/>
      <c r="AN1028" s="33"/>
      <c r="AO1028" s="33"/>
      <c r="AP1028" s="33"/>
      <c r="AQ1028" s="33"/>
      <c r="AR1028" s="33"/>
      <c r="AS1028" s="33"/>
      <c r="AT1028" s="33"/>
      <c r="AU1028" s="33"/>
      <c r="AV1028" s="33"/>
      <c r="AW1028" s="33"/>
      <c r="AX1028" s="33"/>
      <c r="AY1028" s="33"/>
      <c r="AZ1028" s="33"/>
      <c r="BA1028" s="33"/>
      <c r="BB1028" s="33"/>
      <c r="BC1028" s="33"/>
      <c r="BD1028" s="33"/>
      <c r="BE1028" s="33"/>
      <c r="BF1028" s="33"/>
      <c r="BG1028" s="33"/>
      <c r="BH1028" s="33"/>
      <c r="BI1028" s="33"/>
      <c r="BJ1028" s="33"/>
      <c r="BK1028" s="33"/>
      <c r="BL1028" s="33"/>
      <c r="BM1028" s="33"/>
      <c r="BN1028" s="33"/>
      <c r="BO1028" s="33"/>
      <c r="BP1028" s="33"/>
      <c r="BQ1028" s="33"/>
      <c r="BR1028" s="33"/>
      <c r="BS1028" s="33"/>
      <c r="BT1028" s="33"/>
      <c r="BU1028" s="33"/>
      <c r="BV1028" s="33"/>
      <c r="BW1028" s="33"/>
      <c r="BX1028" s="33"/>
      <c r="BY1028" s="33"/>
      <c r="BZ1028" s="33"/>
      <c r="CA1028" s="33"/>
      <c r="CB1028" s="33"/>
      <c r="CC1028" s="33"/>
      <c r="CD1028" s="33"/>
      <c r="CE1028" s="33"/>
      <c r="CF1028" s="33"/>
      <c r="CG1028" s="33"/>
      <c r="CH1028" s="33"/>
      <c r="CI1028" s="33"/>
      <c r="CJ1028" s="33"/>
      <c r="CK1028" s="33"/>
      <c r="CL1028" s="33"/>
      <c r="CM1028" s="33"/>
      <c r="CN1028" s="33"/>
      <c r="CO1028" s="33"/>
      <c r="CP1028" s="33"/>
      <c r="CQ1028" s="33"/>
      <c r="CR1028" s="33"/>
      <c r="CS1028" s="33"/>
      <c r="CT1028" s="33"/>
      <c r="CU1028" s="33"/>
      <c r="CV1028" s="33"/>
      <c r="CW1028" s="33"/>
      <c r="CX1028" s="33"/>
      <c r="CY1028" s="33"/>
      <c r="CZ1028" s="33"/>
      <c r="DA1028" s="33"/>
      <c r="DB1028" s="33"/>
      <c r="DC1028" s="33"/>
      <c r="DD1028" s="33"/>
      <c r="DE1028" s="33"/>
      <c r="DF1028" s="33"/>
      <c r="DG1028" s="33"/>
      <c r="DH1028" s="33"/>
      <c r="DI1028" s="33"/>
      <c r="DJ1028" s="33"/>
      <c r="DK1028" s="33"/>
      <c r="DL1028" s="33"/>
      <c r="DM1028" s="33"/>
      <c r="DN1028" s="33"/>
      <c r="DO1028" s="33"/>
      <c r="DP1028" s="33"/>
      <c r="DQ1028" s="33"/>
      <c r="DR1028" s="33"/>
      <c r="DS1028" s="33"/>
      <c r="DT1028" s="33"/>
      <c r="DU1028" s="33"/>
      <c r="DV1028" s="33"/>
      <c r="DW1028" s="33"/>
      <c r="DX1028" s="33"/>
      <c r="DY1028" s="33"/>
      <c r="DZ1028" s="33"/>
      <c r="EA1028" s="33"/>
      <c r="EB1028" s="33"/>
      <c r="EC1028" s="33"/>
      <c r="ED1028" s="33"/>
      <c r="EE1028" s="33"/>
      <c r="EF1028" s="33"/>
      <c r="EG1028" s="33"/>
      <c r="EH1028" s="33"/>
      <c r="EI1028" s="33"/>
      <c r="EJ1028" s="33"/>
      <c r="EK1028" s="33"/>
      <c r="EL1028" s="33"/>
      <c r="EM1028" s="33"/>
      <c r="EN1028" s="33"/>
      <c r="EO1028" s="33"/>
      <c r="EP1028" s="33"/>
      <c r="EQ1028" s="33"/>
      <c r="ER1028" s="33"/>
      <c r="ES1028" s="33"/>
    </row>
    <row r="1029">
      <c r="A1029" s="33"/>
      <c r="B1029" s="33"/>
      <c r="C1029" s="33"/>
      <c r="D1029" s="33"/>
      <c r="E1029" s="33"/>
      <c r="F1029" s="33"/>
      <c r="G1029" s="85"/>
      <c r="H1029" s="85"/>
      <c r="I1029" s="33"/>
      <c r="J1029" s="33"/>
      <c r="K1029" s="33"/>
      <c r="L1029" s="33"/>
      <c r="M1029" s="33"/>
      <c r="N1029" s="33"/>
      <c r="O1029" s="33"/>
      <c r="P1029" s="33"/>
      <c r="Q1029" s="33"/>
      <c r="R1029" s="33"/>
      <c r="S1029" s="33"/>
      <c r="T1029" s="33"/>
      <c r="U1029" s="33"/>
      <c r="V1029" s="33"/>
      <c r="W1029" s="33"/>
      <c r="X1029" s="33"/>
      <c r="Y1029" s="33"/>
      <c r="Z1029" s="33"/>
      <c r="AA1029" s="33"/>
      <c r="AB1029" s="33"/>
      <c r="AC1029" s="33"/>
      <c r="AD1029" s="33"/>
      <c r="AE1029" s="33"/>
      <c r="AF1029" s="33"/>
      <c r="AG1029" s="33"/>
      <c r="AH1029" s="33"/>
      <c r="AI1029" s="33"/>
      <c r="AJ1029" s="33"/>
      <c r="AK1029" s="33"/>
      <c r="AL1029" s="33"/>
      <c r="AM1029" s="33"/>
      <c r="AN1029" s="33"/>
      <c r="AO1029" s="33"/>
      <c r="AP1029" s="33"/>
      <c r="AQ1029" s="33"/>
      <c r="AR1029" s="33"/>
      <c r="AS1029" s="33"/>
      <c r="AT1029" s="33"/>
      <c r="AU1029" s="33"/>
      <c r="AV1029" s="33"/>
      <c r="AW1029" s="33"/>
      <c r="AX1029" s="33"/>
      <c r="AY1029" s="33"/>
      <c r="AZ1029" s="33"/>
      <c r="BA1029" s="33"/>
      <c r="BB1029" s="33"/>
      <c r="BC1029" s="33"/>
      <c r="BD1029" s="33"/>
      <c r="BE1029" s="33"/>
      <c r="BF1029" s="33"/>
      <c r="BG1029" s="33"/>
      <c r="BH1029" s="33"/>
      <c r="BI1029" s="33"/>
      <c r="BJ1029" s="33"/>
      <c r="BK1029" s="33"/>
      <c r="BL1029" s="33"/>
      <c r="BM1029" s="33"/>
      <c r="BN1029" s="33"/>
      <c r="BO1029" s="33"/>
      <c r="BP1029" s="33"/>
      <c r="BQ1029" s="33"/>
      <c r="BR1029" s="33"/>
      <c r="BS1029" s="33"/>
      <c r="BT1029" s="33"/>
      <c r="BU1029" s="33"/>
      <c r="BV1029" s="33"/>
      <c r="BW1029" s="33"/>
      <c r="BX1029" s="33"/>
      <c r="BY1029" s="33"/>
      <c r="BZ1029" s="33"/>
      <c r="CA1029" s="33"/>
      <c r="CB1029" s="33"/>
      <c r="CC1029" s="33"/>
      <c r="CD1029" s="33"/>
      <c r="CE1029" s="33"/>
      <c r="CF1029" s="33"/>
      <c r="CG1029" s="33"/>
      <c r="CH1029" s="33"/>
      <c r="CI1029" s="33"/>
      <c r="CJ1029" s="33"/>
      <c r="CK1029" s="33"/>
      <c r="CL1029" s="33"/>
      <c r="CM1029" s="33"/>
      <c r="CN1029" s="33"/>
      <c r="CO1029" s="33"/>
      <c r="CP1029" s="33"/>
      <c r="CQ1029" s="33"/>
      <c r="CR1029" s="33"/>
      <c r="CS1029" s="33"/>
      <c r="CT1029" s="33"/>
      <c r="CU1029" s="33"/>
      <c r="CV1029" s="33"/>
      <c r="CW1029" s="33"/>
      <c r="CX1029" s="33"/>
      <c r="CY1029" s="33"/>
      <c r="CZ1029" s="33"/>
      <c r="DA1029" s="33"/>
      <c r="DB1029" s="33"/>
      <c r="DC1029" s="33"/>
      <c r="DD1029" s="33"/>
      <c r="DE1029" s="33"/>
      <c r="DF1029" s="33"/>
      <c r="DG1029" s="33"/>
      <c r="DH1029" s="33"/>
      <c r="DI1029" s="33"/>
      <c r="DJ1029" s="33"/>
      <c r="DK1029" s="33"/>
      <c r="DL1029" s="33"/>
      <c r="DM1029" s="33"/>
      <c r="DN1029" s="33"/>
      <c r="DO1029" s="33"/>
      <c r="DP1029" s="33"/>
      <c r="DQ1029" s="33"/>
      <c r="DR1029" s="33"/>
      <c r="DS1029" s="33"/>
      <c r="DT1029" s="33"/>
      <c r="DU1029" s="33"/>
      <c r="DV1029" s="33"/>
      <c r="DW1029" s="33"/>
      <c r="DX1029" s="33"/>
      <c r="DY1029" s="33"/>
      <c r="DZ1029" s="33"/>
      <c r="EA1029" s="33"/>
      <c r="EB1029" s="33"/>
      <c r="EC1029" s="33"/>
      <c r="ED1029" s="33"/>
      <c r="EE1029" s="33"/>
      <c r="EF1029" s="33"/>
      <c r="EG1029" s="33"/>
      <c r="EH1029" s="33"/>
      <c r="EI1029" s="33"/>
      <c r="EJ1029" s="33"/>
      <c r="EK1029" s="33"/>
      <c r="EL1029" s="33"/>
      <c r="EM1029" s="33"/>
      <c r="EN1029" s="33"/>
      <c r="EO1029" s="33"/>
      <c r="EP1029" s="33"/>
      <c r="EQ1029" s="33"/>
      <c r="ER1029" s="33"/>
      <c r="ES1029" s="33"/>
    </row>
    <row r="1030">
      <c r="A1030" s="33"/>
      <c r="B1030" s="33"/>
      <c r="C1030" s="33"/>
      <c r="D1030" s="33"/>
      <c r="E1030" s="33"/>
      <c r="F1030" s="33"/>
      <c r="G1030" s="85"/>
      <c r="H1030" s="85"/>
      <c r="I1030" s="33"/>
      <c r="J1030" s="33"/>
      <c r="K1030" s="33"/>
      <c r="L1030" s="33"/>
      <c r="M1030" s="33"/>
      <c r="N1030" s="33"/>
      <c r="O1030" s="33"/>
      <c r="P1030" s="33"/>
      <c r="Q1030" s="33"/>
      <c r="R1030" s="33"/>
      <c r="S1030" s="33"/>
      <c r="T1030" s="33"/>
      <c r="U1030" s="33"/>
      <c r="V1030" s="33"/>
      <c r="W1030" s="33"/>
      <c r="X1030" s="33"/>
      <c r="Y1030" s="33"/>
      <c r="Z1030" s="33"/>
      <c r="AA1030" s="33"/>
      <c r="AB1030" s="33"/>
      <c r="AC1030" s="33"/>
      <c r="AD1030" s="33"/>
      <c r="AE1030" s="33"/>
      <c r="AF1030" s="33"/>
      <c r="AG1030" s="33"/>
      <c r="AH1030" s="33"/>
      <c r="AI1030" s="33"/>
      <c r="AJ1030" s="33"/>
      <c r="AK1030" s="33"/>
      <c r="AL1030" s="33"/>
      <c r="AM1030" s="33"/>
      <c r="AN1030" s="33"/>
      <c r="AO1030" s="33"/>
      <c r="AP1030" s="33"/>
      <c r="AQ1030" s="33"/>
      <c r="AR1030" s="33"/>
      <c r="AS1030" s="33"/>
      <c r="AT1030" s="33"/>
      <c r="AU1030" s="33"/>
      <c r="AV1030" s="33"/>
      <c r="AW1030" s="33"/>
      <c r="AX1030" s="33"/>
      <c r="AY1030" s="33"/>
      <c r="AZ1030" s="33"/>
      <c r="BA1030" s="33"/>
      <c r="BB1030" s="33"/>
      <c r="BC1030" s="33"/>
      <c r="BD1030" s="33"/>
      <c r="BE1030" s="33"/>
      <c r="BF1030" s="33"/>
      <c r="BG1030" s="33"/>
      <c r="BH1030" s="33"/>
      <c r="BI1030" s="33"/>
      <c r="BJ1030" s="33"/>
      <c r="BK1030" s="33"/>
      <c r="BL1030" s="33"/>
      <c r="BM1030" s="33"/>
      <c r="BN1030" s="33"/>
      <c r="BO1030" s="33"/>
      <c r="BP1030" s="33"/>
      <c r="BQ1030" s="33"/>
      <c r="BR1030" s="33"/>
      <c r="BS1030" s="33"/>
      <c r="BT1030" s="33"/>
      <c r="BU1030" s="33"/>
      <c r="BV1030" s="33"/>
      <c r="BW1030" s="33"/>
      <c r="BX1030" s="33"/>
      <c r="BY1030" s="33"/>
      <c r="BZ1030" s="33"/>
      <c r="CA1030" s="33"/>
      <c r="CB1030" s="33"/>
      <c r="CC1030" s="33"/>
      <c r="CD1030" s="33"/>
      <c r="CE1030" s="33"/>
      <c r="CF1030" s="33"/>
      <c r="CG1030" s="33"/>
      <c r="CH1030" s="33"/>
      <c r="CI1030" s="33"/>
      <c r="CJ1030" s="33"/>
      <c r="CK1030" s="33"/>
      <c r="CL1030" s="33"/>
      <c r="CM1030" s="33"/>
      <c r="CN1030" s="33"/>
      <c r="CO1030" s="33"/>
      <c r="CP1030" s="33"/>
      <c r="CQ1030" s="33"/>
      <c r="CR1030" s="33"/>
      <c r="CS1030" s="33"/>
      <c r="CT1030" s="33"/>
      <c r="CU1030" s="33"/>
      <c r="CV1030" s="33"/>
      <c r="CW1030" s="33"/>
      <c r="CX1030" s="33"/>
      <c r="CY1030" s="33"/>
      <c r="CZ1030" s="33"/>
      <c r="DA1030" s="33"/>
      <c r="DB1030" s="33"/>
      <c r="DC1030" s="33"/>
      <c r="DD1030" s="33"/>
      <c r="DE1030" s="33"/>
      <c r="DF1030" s="33"/>
      <c r="DG1030" s="33"/>
      <c r="DH1030" s="33"/>
      <c r="DI1030" s="33"/>
      <c r="DJ1030" s="33"/>
      <c r="DK1030" s="33"/>
      <c r="DL1030" s="33"/>
      <c r="DM1030" s="33"/>
      <c r="DN1030" s="33"/>
      <c r="DO1030" s="33"/>
      <c r="DP1030" s="33"/>
      <c r="DQ1030" s="33"/>
      <c r="DR1030" s="33"/>
      <c r="DS1030" s="33"/>
      <c r="DT1030" s="33"/>
      <c r="DU1030" s="33"/>
      <c r="DV1030" s="33"/>
      <c r="DW1030" s="33"/>
      <c r="DX1030" s="33"/>
      <c r="DY1030" s="33"/>
      <c r="DZ1030" s="33"/>
      <c r="EA1030" s="33"/>
      <c r="EB1030" s="33"/>
      <c r="EC1030" s="33"/>
      <c r="ED1030" s="33"/>
      <c r="EE1030" s="33"/>
      <c r="EF1030" s="33"/>
      <c r="EG1030" s="33"/>
      <c r="EH1030" s="33"/>
      <c r="EI1030" s="33"/>
      <c r="EJ1030" s="33"/>
      <c r="EK1030" s="33"/>
      <c r="EL1030" s="33"/>
      <c r="EM1030" s="33"/>
      <c r="EN1030" s="33"/>
      <c r="EO1030" s="33"/>
      <c r="EP1030" s="33"/>
      <c r="EQ1030" s="33"/>
      <c r="ER1030" s="33"/>
      <c r="ES1030" s="33"/>
    </row>
    <row r="1031">
      <c r="A1031" s="33"/>
      <c r="B1031" s="33"/>
      <c r="C1031" s="33"/>
      <c r="D1031" s="33"/>
      <c r="E1031" s="33"/>
      <c r="F1031" s="33"/>
      <c r="G1031" s="85"/>
      <c r="H1031" s="85"/>
      <c r="I1031" s="33"/>
      <c r="J1031" s="33"/>
      <c r="K1031" s="33"/>
      <c r="L1031" s="33"/>
      <c r="M1031" s="33"/>
      <c r="N1031" s="33"/>
      <c r="O1031" s="33"/>
      <c r="P1031" s="33"/>
      <c r="Q1031" s="33"/>
      <c r="R1031" s="33"/>
      <c r="S1031" s="33"/>
      <c r="T1031" s="33"/>
      <c r="U1031" s="33"/>
      <c r="V1031" s="33"/>
      <c r="W1031" s="33"/>
      <c r="X1031" s="33"/>
      <c r="Y1031" s="33"/>
      <c r="Z1031" s="33"/>
      <c r="AA1031" s="33"/>
      <c r="AB1031" s="33"/>
      <c r="AC1031" s="33"/>
      <c r="AD1031" s="33"/>
      <c r="AE1031" s="33"/>
      <c r="AF1031" s="33"/>
      <c r="AG1031" s="33"/>
      <c r="AH1031" s="33"/>
      <c r="AI1031" s="33"/>
      <c r="AJ1031" s="33"/>
      <c r="AK1031" s="33"/>
      <c r="AL1031" s="33"/>
      <c r="AM1031" s="33"/>
      <c r="AN1031" s="33"/>
      <c r="AO1031" s="33"/>
      <c r="AP1031" s="33"/>
      <c r="AQ1031" s="33"/>
      <c r="AR1031" s="33"/>
      <c r="AS1031" s="33"/>
      <c r="AT1031" s="33"/>
      <c r="AU1031" s="33"/>
      <c r="AV1031" s="33"/>
      <c r="AW1031" s="33"/>
      <c r="AX1031" s="33"/>
      <c r="AY1031" s="33"/>
      <c r="AZ1031" s="33"/>
      <c r="BA1031" s="33"/>
      <c r="BB1031" s="33"/>
      <c r="BC1031" s="33"/>
      <c r="BD1031" s="33"/>
      <c r="BE1031" s="33"/>
      <c r="BF1031" s="33"/>
      <c r="BG1031" s="33"/>
      <c r="BH1031" s="33"/>
      <c r="BI1031" s="33"/>
      <c r="BJ1031" s="33"/>
      <c r="BK1031" s="33"/>
      <c r="BL1031" s="33"/>
      <c r="BM1031" s="33"/>
      <c r="BN1031" s="33"/>
      <c r="BO1031" s="33"/>
      <c r="BP1031" s="33"/>
      <c r="BQ1031" s="33"/>
      <c r="BR1031" s="33"/>
      <c r="BS1031" s="33"/>
      <c r="BT1031" s="33"/>
      <c r="BU1031" s="33"/>
      <c r="BV1031" s="33"/>
      <c r="BW1031" s="33"/>
      <c r="BX1031" s="33"/>
      <c r="BY1031" s="33"/>
      <c r="BZ1031" s="33"/>
      <c r="CA1031" s="33"/>
      <c r="CB1031" s="33"/>
      <c r="CC1031" s="33"/>
      <c r="CD1031" s="33"/>
      <c r="CE1031" s="33"/>
      <c r="CF1031" s="33"/>
      <c r="CG1031" s="33"/>
      <c r="CH1031" s="33"/>
      <c r="CI1031" s="33"/>
      <c r="CJ1031" s="33"/>
      <c r="CK1031" s="33"/>
      <c r="CL1031" s="33"/>
      <c r="CM1031" s="33"/>
      <c r="CN1031" s="33"/>
      <c r="CO1031" s="33"/>
      <c r="CP1031" s="33"/>
      <c r="CQ1031" s="33"/>
      <c r="CR1031" s="33"/>
      <c r="CS1031" s="33"/>
      <c r="CT1031" s="33"/>
      <c r="CU1031" s="33"/>
      <c r="CV1031" s="33"/>
      <c r="CW1031" s="33"/>
      <c r="CX1031" s="33"/>
      <c r="CY1031" s="33"/>
      <c r="CZ1031" s="33"/>
      <c r="DA1031" s="33"/>
      <c r="DB1031" s="33"/>
      <c r="DC1031" s="33"/>
      <c r="DD1031" s="33"/>
      <c r="DE1031" s="33"/>
      <c r="DF1031" s="33"/>
      <c r="DG1031" s="33"/>
      <c r="DH1031" s="33"/>
      <c r="DI1031" s="33"/>
      <c r="DJ1031" s="33"/>
      <c r="DK1031" s="33"/>
      <c r="DL1031" s="33"/>
      <c r="DM1031" s="33"/>
      <c r="DN1031" s="33"/>
      <c r="DO1031" s="33"/>
      <c r="DP1031" s="33"/>
      <c r="DQ1031" s="33"/>
      <c r="DR1031" s="33"/>
      <c r="DS1031" s="33"/>
      <c r="DT1031" s="33"/>
      <c r="DU1031" s="33"/>
      <c r="DV1031" s="33"/>
      <c r="DW1031" s="33"/>
      <c r="DX1031" s="33"/>
      <c r="DY1031" s="33"/>
      <c r="DZ1031" s="33"/>
      <c r="EA1031" s="33"/>
      <c r="EB1031" s="33"/>
      <c r="EC1031" s="33"/>
      <c r="ED1031" s="33"/>
      <c r="EE1031" s="33"/>
      <c r="EF1031" s="33"/>
      <c r="EG1031" s="33"/>
      <c r="EH1031" s="33"/>
      <c r="EI1031" s="33"/>
      <c r="EJ1031" s="33"/>
      <c r="EK1031" s="33"/>
      <c r="EL1031" s="33"/>
      <c r="EM1031" s="33"/>
      <c r="EN1031" s="33"/>
      <c r="EO1031" s="33"/>
      <c r="EP1031" s="33"/>
      <c r="EQ1031" s="33"/>
      <c r="ER1031" s="33"/>
      <c r="ES1031" s="33"/>
    </row>
    <row r="1032">
      <c r="A1032" s="33"/>
      <c r="B1032" s="33"/>
      <c r="C1032" s="33"/>
      <c r="D1032" s="33"/>
      <c r="E1032" s="33"/>
      <c r="F1032" s="33"/>
      <c r="G1032" s="85"/>
      <c r="H1032" s="85"/>
      <c r="I1032" s="33"/>
      <c r="J1032" s="33"/>
      <c r="K1032" s="33"/>
      <c r="L1032" s="33"/>
      <c r="M1032" s="33"/>
      <c r="N1032" s="33"/>
      <c r="O1032" s="33"/>
      <c r="P1032" s="33"/>
      <c r="Q1032" s="33"/>
      <c r="R1032" s="33"/>
      <c r="S1032" s="33"/>
      <c r="T1032" s="33"/>
      <c r="U1032" s="33"/>
      <c r="V1032" s="33"/>
      <c r="W1032" s="33"/>
      <c r="X1032" s="33"/>
      <c r="Y1032" s="33"/>
      <c r="Z1032" s="33"/>
      <c r="AA1032" s="33"/>
      <c r="AB1032" s="33"/>
      <c r="AC1032" s="33"/>
      <c r="AD1032" s="33"/>
      <c r="AE1032" s="33"/>
      <c r="AF1032" s="33"/>
      <c r="AG1032" s="33"/>
      <c r="AH1032" s="33"/>
      <c r="AI1032" s="33"/>
      <c r="AJ1032" s="33"/>
      <c r="AK1032" s="33"/>
      <c r="AL1032" s="33"/>
      <c r="AM1032" s="33"/>
      <c r="AN1032" s="33"/>
      <c r="AO1032" s="33"/>
      <c r="AP1032" s="33"/>
      <c r="AQ1032" s="33"/>
      <c r="AR1032" s="33"/>
      <c r="AS1032" s="33"/>
      <c r="AT1032" s="33"/>
      <c r="AU1032" s="33"/>
      <c r="AV1032" s="33"/>
      <c r="AW1032" s="33"/>
      <c r="AX1032" s="33"/>
      <c r="AY1032" s="33"/>
      <c r="AZ1032" s="33"/>
      <c r="BA1032" s="33"/>
      <c r="BB1032" s="33"/>
      <c r="BC1032" s="33"/>
      <c r="BD1032" s="33"/>
      <c r="BE1032" s="33"/>
      <c r="BF1032" s="33"/>
      <c r="BG1032" s="33"/>
      <c r="BH1032" s="33"/>
      <c r="BI1032" s="33"/>
      <c r="BJ1032" s="33"/>
      <c r="BK1032" s="33"/>
      <c r="BL1032" s="33"/>
      <c r="BM1032" s="33"/>
      <c r="BN1032" s="33"/>
      <c r="BO1032" s="33"/>
      <c r="BP1032" s="33"/>
      <c r="BQ1032" s="33"/>
      <c r="BR1032" s="33"/>
      <c r="BS1032" s="33"/>
      <c r="BT1032" s="33"/>
      <c r="BU1032" s="33"/>
      <c r="BV1032" s="33"/>
      <c r="BW1032" s="33"/>
      <c r="BX1032" s="33"/>
      <c r="BY1032" s="33"/>
      <c r="BZ1032" s="33"/>
      <c r="CA1032" s="33"/>
      <c r="CB1032" s="33"/>
      <c r="CC1032" s="33"/>
      <c r="CD1032" s="33"/>
      <c r="CE1032" s="33"/>
      <c r="CF1032" s="33"/>
      <c r="CG1032" s="33"/>
      <c r="CH1032" s="33"/>
      <c r="CI1032" s="33"/>
      <c r="CJ1032" s="33"/>
      <c r="CK1032" s="33"/>
      <c r="CL1032" s="33"/>
      <c r="CM1032" s="33"/>
      <c r="CN1032" s="33"/>
      <c r="CO1032" s="33"/>
      <c r="CP1032" s="33"/>
      <c r="CQ1032" s="33"/>
      <c r="CR1032" s="33"/>
      <c r="CS1032" s="33"/>
      <c r="CT1032" s="33"/>
      <c r="CU1032" s="33"/>
      <c r="CV1032" s="33"/>
      <c r="CW1032" s="33"/>
      <c r="CX1032" s="33"/>
      <c r="CY1032" s="33"/>
      <c r="CZ1032" s="33"/>
      <c r="DA1032" s="33"/>
      <c r="DB1032" s="33"/>
      <c r="DC1032" s="33"/>
      <c r="DD1032" s="33"/>
      <c r="DE1032" s="33"/>
      <c r="DF1032" s="33"/>
      <c r="DG1032" s="33"/>
      <c r="DH1032" s="33"/>
      <c r="DI1032" s="33"/>
      <c r="DJ1032" s="33"/>
      <c r="DK1032" s="33"/>
      <c r="DL1032" s="33"/>
      <c r="DM1032" s="33"/>
      <c r="DN1032" s="33"/>
      <c r="DO1032" s="33"/>
      <c r="DP1032" s="33"/>
      <c r="DQ1032" s="33"/>
      <c r="DR1032" s="33"/>
      <c r="DS1032" s="33"/>
      <c r="DT1032" s="33"/>
      <c r="DU1032" s="33"/>
      <c r="DV1032" s="33"/>
      <c r="DW1032" s="33"/>
      <c r="DX1032" s="33"/>
      <c r="DY1032" s="33"/>
      <c r="DZ1032" s="33"/>
      <c r="EA1032" s="33"/>
      <c r="EB1032" s="33"/>
      <c r="EC1032" s="33"/>
      <c r="ED1032" s="33"/>
      <c r="EE1032" s="33"/>
      <c r="EF1032" s="33"/>
      <c r="EG1032" s="33"/>
      <c r="EH1032" s="33"/>
      <c r="EI1032" s="33"/>
      <c r="EJ1032" s="33"/>
      <c r="EK1032" s="33"/>
      <c r="EL1032" s="33"/>
      <c r="EM1032" s="33"/>
      <c r="EN1032" s="33"/>
      <c r="EO1032" s="33"/>
      <c r="EP1032" s="33"/>
      <c r="EQ1032" s="33"/>
      <c r="ER1032" s="33"/>
      <c r="ES1032" s="33"/>
    </row>
    <row r="1033">
      <c r="A1033" s="33"/>
      <c r="B1033" s="33"/>
      <c r="C1033" s="33"/>
      <c r="D1033" s="33"/>
      <c r="E1033" s="33"/>
      <c r="F1033" s="33"/>
      <c r="G1033" s="85"/>
      <c r="H1033" s="85"/>
      <c r="I1033" s="33"/>
      <c r="J1033" s="33"/>
      <c r="K1033" s="33"/>
      <c r="L1033" s="33"/>
      <c r="M1033" s="33"/>
      <c r="N1033" s="33"/>
      <c r="O1033" s="33"/>
      <c r="P1033" s="33"/>
      <c r="Q1033" s="33"/>
      <c r="R1033" s="33"/>
      <c r="S1033" s="33"/>
      <c r="T1033" s="33"/>
      <c r="U1033" s="33"/>
      <c r="V1033" s="33"/>
      <c r="W1033" s="33"/>
      <c r="X1033" s="33"/>
      <c r="Y1033" s="33"/>
      <c r="Z1033" s="33"/>
      <c r="AA1033" s="33"/>
      <c r="AB1033" s="33"/>
      <c r="AC1033" s="33"/>
      <c r="AD1033" s="33"/>
      <c r="AE1033" s="33"/>
      <c r="AF1033" s="33"/>
      <c r="AG1033" s="33"/>
      <c r="AH1033" s="33"/>
      <c r="AI1033" s="33"/>
      <c r="AJ1033" s="33"/>
      <c r="AK1033" s="33"/>
      <c r="AL1033" s="33"/>
      <c r="AM1033" s="33"/>
      <c r="AN1033" s="33"/>
      <c r="AO1033" s="33"/>
      <c r="AP1033" s="33"/>
      <c r="AQ1033" s="33"/>
      <c r="AR1033" s="33"/>
      <c r="AS1033" s="33"/>
      <c r="AT1033" s="33"/>
      <c r="AU1033" s="33"/>
      <c r="AV1033" s="33"/>
      <c r="AW1033" s="33"/>
      <c r="AX1033" s="33"/>
      <c r="AY1033" s="33"/>
      <c r="AZ1033" s="33"/>
      <c r="BA1033" s="33"/>
      <c r="BB1033" s="33"/>
      <c r="BC1033" s="33"/>
      <c r="BD1033" s="33"/>
      <c r="BE1033" s="33"/>
      <c r="BF1033" s="33"/>
      <c r="BG1033" s="33"/>
      <c r="BH1033" s="33"/>
      <c r="BI1033" s="33"/>
      <c r="BJ1033" s="33"/>
      <c r="BK1033" s="33"/>
      <c r="BL1033" s="33"/>
      <c r="BM1033" s="33"/>
      <c r="BN1033" s="33"/>
      <c r="BO1033" s="33"/>
      <c r="BP1033" s="33"/>
      <c r="BQ1033" s="33"/>
      <c r="BR1033" s="33"/>
      <c r="BS1033" s="33"/>
      <c r="BT1033" s="33"/>
      <c r="BU1033" s="33"/>
      <c r="BV1033" s="33"/>
      <c r="BW1033" s="33"/>
      <c r="BX1033" s="33"/>
      <c r="BY1033" s="33"/>
      <c r="BZ1033" s="33"/>
      <c r="CA1033" s="33"/>
      <c r="CB1033" s="33"/>
      <c r="CC1033" s="33"/>
      <c r="CD1033" s="33"/>
      <c r="CE1033" s="33"/>
      <c r="CF1033" s="33"/>
      <c r="CG1033" s="33"/>
      <c r="CH1033" s="33"/>
      <c r="CI1033" s="33"/>
      <c r="CJ1033" s="33"/>
      <c r="CK1033" s="33"/>
      <c r="CL1033" s="33"/>
      <c r="CM1033" s="33"/>
      <c r="CN1033" s="33"/>
      <c r="CO1033" s="33"/>
      <c r="CP1033" s="33"/>
      <c r="CQ1033" s="33"/>
      <c r="CR1033" s="33"/>
      <c r="CS1033" s="33"/>
      <c r="CT1033" s="33"/>
      <c r="CU1033" s="33"/>
      <c r="CV1033" s="33"/>
      <c r="CW1033" s="33"/>
      <c r="CX1033" s="33"/>
      <c r="CY1033" s="33"/>
      <c r="CZ1033" s="33"/>
      <c r="DA1033" s="33"/>
      <c r="DB1033" s="33"/>
      <c r="DC1033" s="33"/>
      <c r="DD1033" s="33"/>
      <c r="DE1033" s="33"/>
      <c r="DF1033" s="33"/>
      <c r="DG1033" s="33"/>
      <c r="DH1033" s="33"/>
      <c r="DI1033" s="33"/>
      <c r="DJ1033" s="33"/>
      <c r="DK1033" s="33"/>
      <c r="DL1033" s="33"/>
      <c r="DM1033" s="33"/>
      <c r="DN1033" s="33"/>
      <c r="DO1033" s="33"/>
      <c r="DP1033" s="33"/>
      <c r="DQ1033" s="33"/>
      <c r="DR1033" s="33"/>
      <c r="DS1033" s="33"/>
      <c r="DT1033" s="33"/>
      <c r="DU1033" s="33"/>
      <c r="DV1033" s="33"/>
      <c r="DW1033" s="33"/>
      <c r="DX1033" s="33"/>
      <c r="DY1033" s="33"/>
      <c r="DZ1033" s="33"/>
      <c r="EA1033" s="33"/>
      <c r="EB1033" s="33"/>
      <c r="EC1033" s="33"/>
      <c r="ED1033" s="33"/>
      <c r="EE1033" s="33"/>
      <c r="EF1033" s="33"/>
      <c r="EG1033" s="33"/>
      <c r="EH1033" s="33"/>
      <c r="EI1033" s="33"/>
      <c r="EJ1033" s="33"/>
      <c r="EK1033" s="33"/>
      <c r="EL1033" s="33"/>
      <c r="EM1033" s="33"/>
      <c r="EN1033" s="33"/>
      <c r="EO1033" s="33"/>
      <c r="EP1033" s="33"/>
      <c r="EQ1033" s="33"/>
      <c r="ER1033" s="33"/>
      <c r="ES1033" s="33"/>
    </row>
    <row r="1034">
      <c r="A1034" s="33"/>
      <c r="B1034" s="33"/>
      <c r="C1034" s="33"/>
      <c r="D1034" s="33"/>
      <c r="E1034" s="33"/>
      <c r="F1034" s="33"/>
      <c r="G1034" s="85"/>
      <c r="H1034" s="85"/>
      <c r="I1034" s="33"/>
      <c r="J1034" s="33"/>
      <c r="K1034" s="33"/>
      <c r="L1034" s="33"/>
      <c r="M1034" s="33"/>
      <c r="N1034" s="33"/>
      <c r="O1034" s="33"/>
      <c r="P1034" s="33"/>
      <c r="Q1034" s="33"/>
      <c r="R1034" s="33"/>
      <c r="S1034" s="33"/>
      <c r="T1034" s="33"/>
      <c r="U1034" s="33"/>
      <c r="V1034" s="33"/>
      <c r="W1034" s="33"/>
      <c r="X1034" s="33"/>
      <c r="Y1034" s="33"/>
      <c r="Z1034" s="33"/>
      <c r="AA1034" s="33"/>
      <c r="AB1034" s="33"/>
      <c r="AC1034" s="33"/>
      <c r="AD1034" s="33"/>
      <c r="AE1034" s="33"/>
      <c r="AF1034" s="33"/>
      <c r="AG1034" s="33"/>
      <c r="AH1034" s="33"/>
      <c r="AI1034" s="33"/>
      <c r="AJ1034" s="33"/>
      <c r="AK1034" s="33"/>
      <c r="AL1034" s="33"/>
      <c r="AM1034" s="33"/>
      <c r="AN1034" s="33"/>
      <c r="AO1034" s="33"/>
      <c r="AP1034" s="33"/>
      <c r="AQ1034" s="33"/>
      <c r="AR1034" s="33"/>
      <c r="AS1034" s="33"/>
      <c r="AT1034" s="33"/>
      <c r="AU1034" s="33"/>
      <c r="AV1034" s="33"/>
      <c r="AW1034" s="33"/>
      <c r="AX1034" s="33"/>
      <c r="AY1034" s="33"/>
      <c r="AZ1034" s="33"/>
      <c r="BA1034" s="33"/>
      <c r="BB1034" s="33"/>
      <c r="BC1034" s="33"/>
      <c r="BD1034" s="33"/>
      <c r="BE1034" s="33"/>
      <c r="BF1034" s="33"/>
      <c r="BG1034" s="33"/>
      <c r="BH1034" s="33"/>
      <c r="BI1034" s="33"/>
      <c r="BJ1034" s="33"/>
      <c r="BK1034" s="33"/>
      <c r="BL1034" s="33"/>
      <c r="BM1034" s="33"/>
      <c r="BN1034" s="33"/>
      <c r="BO1034" s="33"/>
      <c r="BP1034" s="33"/>
      <c r="BQ1034" s="33"/>
      <c r="BR1034" s="33"/>
      <c r="BS1034" s="33"/>
      <c r="BT1034" s="33"/>
      <c r="BU1034" s="33"/>
      <c r="BV1034" s="33"/>
      <c r="BW1034" s="33"/>
      <c r="BX1034" s="33"/>
      <c r="BY1034" s="33"/>
      <c r="BZ1034" s="33"/>
      <c r="CA1034" s="33"/>
      <c r="CB1034" s="33"/>
      <c r="CC1034" s="33"/>
      <c r="CD1034" s="33"/>
      <c r="CE1034" s="33"/>
      <c r="CF1034" s="33"/>
      <c r="CG1034" s="33"/>
      <c r="CH1034" s="33"/>
      <c r="CI1034" s="33"/>
      <c r="CJ1034" s="33"/>
      <c r="CK1034" s="33"/>
      <c r="CL1034" s="33"/>
      <c r="CM1034" s="33"/>
      <c r="CN1034" s="33"/>
      <c r="CO1034" s="33"/>
      <c r="CP1034" s="33"/>
      <c r="CQ1034" s="33"/>
      <c r="CR1034" s="33"/>
      <c r="CS1034" s="33"/>
      <c r="CT1034" s="33"/>
      <c r="CU1034" s="33"/>
      <c r="CV1034" s="33"/>
      <c r="CW1034" s="33"/>
      <c r="CX1034" s="33"/>
      <c r="CY1034" s="33"/>
      <c r="CZ1034" s="33"/>
      <c r="DA1034" s="33"/>
      <c r="DB1034" s="33"/>
      <c r="DC1034" s="33"/>
      <c r="DD1034" s="33"/>
      <c r="DE1034" s="33"/>
      <c r="DF1034" s="33"/>
      <c r="DG1034" s="33"/>
      <c r="DH1034" s="33"/>
      <c r="DI1034" s="33"/>
      <c r="DJ1034" s="33"/>
      <c r="DK1034" s="33"/>
      <c r="DL1034" s="33"/>
      <c r="DM1034" s="33"/>
      <c r="DN1034" s="33"/>
      <c r="DO1034" s="33"/>
      <c r="DP1034" s="33"/>
      <c r="DQ1034" s="33"/>
      <c r="DR1034" s="33"/>
      <c r="DS1034" s="33"/>
      <c r="DT1034" s="33"/>
      <c r="DU1034" s="33"/>
      <c r="DV1034" s="33"/>
      <c r="DW1034" s="33"/>
      <c r="DX1034" s="33"/>
      <c r="DY1034" s="33"/>
      <c r="DZ1034" s="33"/>
      <c r="EA1034" s="33"/>
      <c r="EB1034" s="33"/>
      <c r="EC1034" s="33"/>
      <c r="ED1034" s="33"/>
      <c r="EE1034" s="33"/>
      <c r="EF1034" s="33"/>
      <c r="EG1034" s="33"/>
      <c r="EH1034" s="33"/>
      <c r="EI1034" s="33"/>
      <c r="EJ1034" s="33"/>
      <c r="EK1034" s="33"/>
      <c r="EL1034" s="33"/>
      <c r="EM1034" s="33"/>
      <c r="EN1034" s="33"/>
      <c r="EO1034" s="33"/>
      <c r="EP1034" s="33"/>
      <c r="EQ1034" s="33"/>
      <c r="ER1034" s="33"/>
      <c r="ES1034" s="33"/>
    </row>
    <row r="1035">
      <c r="A1035" s="33"/>
      <c r="B1035" s="33"/>
      <c r="C1035" s="33"/>
      <c r="D1035" s="33"/>
      <c r="E1035" s="33"/>
      <c r="F1035" s="33"/>
      <c r="G1035" s="85"/>
      <c r="H1035" s="85"/>
      <c r="I1035" s="33"/>
      <c r="J1035" s="33"/>
      <c r="K1035" s="33"/>
      <c r="L1035" s="33"/>
      <c r="M1035" s="33"/>
      <c r="N1035" s="33"/>
      <c r="O1035" s="33"/>
      <c r="P1035" s="33"/>
      <c r="Q1035" s="33"/>
      <c r="R1035" s="33"/>
      <c r="S1035" s="33"/>
      <c r="T1035" s="33"/>
      <c r="U1035" s="33"/>
      <c r="V1035" s="33"/>
      <c r="W1035" s="33"/>
      <c r="X1035" s="33"/>
      <c r="Y1035" s="33"/>
      <c r="Z1035" s="33"/>
      <c r="AA1035" s="33"/>
      <c r="AB1035" s="33"/>
      <c r="AC1035" s="33"/>
      <c r="AD1035" s="33"/>
      <c r="AE1035" s="33"/>
      <c r="AF1035" s="33"/>
      <c r="AG1035" s="33"/>
      <c r="AH1035" s="33"/>
      <c r="AI1035" s="33"/>
      <c r="AJ1035" s="33"/>
      <c r="AK1035" s="33"/>
      <c r="AL1035" s="33"/>
      <c r="AM1035" s="33"/>
      <c r="AN1035" s="33"/>
      <c r="AO1035" s="33"/>
      <c r="AP1035" s="33"/>
      <c r="AQ1035" s="33"/>
      <c r="AR1035" s="33"/>
      <c r="AS1035" s="33"/>
      <c r="AT1035" s="33"/>
      <c r="AU1035" s="33"/>
      <c r="AV1035" s="33"/>
      <c r="AW1035" s="33"/>
      <c r="AX1035" s="33"/>
      <c r="AY1035" s="33"/>
      <c r="AZ1035" s="33"/>
      <c r="BA1035" s="33"/>
      <c r="BB1035" s="33"/>
      <c r="BC1035" s="33"/>
      <c r="BD1035" s="33"/>
      <c r="BE1035" s="33"/>
      <c r="BF1035" s="33"/>
      <c r="BG1035" s="33"/>
      <c r="BH1035" s="33"/>
      <c r="BI1035" s="33"/>
      <c r="BJ1035" s="33"/>
      <c r="BK1035" s="33"/>
      <c r="BL1035" s="33"/>
      <c r="BM1035" s="33"/>
      <c r="BN1035" s="33"/>
      <c r="BO1035" s="33"/>
      <c r="BP1035" s="33"/>
      <c r="BQ1035" s="33"/>
      <c r="BR1035" s="33"/>
      <c r="BS1035" s="33"/>
      <c r="BT1035" s="33"/>
      <c r="BU1035" s="33"/>
      <c r="BV1035" s="33"/>
      <c r="BW1035" s="33"/>
      <c r="BX1035" s="33"/>
      <c r="BY1035" s="33"/>
      <c r="BZ1035" s="33"/>
      <c r="CA1035" s="33"/>
      <c r="CB1035" s="33"/>
      <c r="CC1035" s="33"/>
      <c r="CD1035" s="33"/>
      <c r="CE1035" s="33"/>
      <c r="CF1035" s="33"/>
      <c r="CG1035" s="33"/>
      <c r="CH1035" s="33"/>
      <c r="CI1035" s="33"/>
      <c r="CJ1035" s="33"/>
      <c r="CK1035" s="33"/>
      <c r="CL1035" s="33"/>
      <c r="CM1035" s="33"/>
      <c r="CN1035" s="33"/>
      <c r="CO1035" s="33"/>
      <c r="CP1035" s="33"/>
      <c r="CQ1035" s="33"/>
      <c r="CR1035" s="33"/>
      <c r="CS1035" s="33"/>
      <c r="CT1035" s="33"/>
      <c r="CU1035" s="33"/>
      <c r="CV1035" s="33"/>
      <c r="CW1035" s="33"/>
      <c r="CX1035" s="33"/>
      <c r="CY1035" s="33"/>
      <c r="CZ1035" s="33"/>
      <c r="DA1035" s="33"/>
      <c r="DB1035" s="33"/>
      <c r="DC1035" s="33"/>
      <c r="DD1035" s="33"/>
      <c r="DE1035" s="33"/>
      <c r="DF1035" s="33"/>
      <c r="DG1035" s="33"/>
      <c r="DH1035" s="33"/>
      <c r="DI1035" s="33"/>
      <c r="DJ1035" s="33"/>
      <c r="DK1035" s="33"/>
      <c r="DL1035" s="33"/>
      <c r="DM1035" s="33"/>
      <c r="DN1035" s="33"/>
      <c r="DO1035" s="33"/>
      <c r="DP1035" s="33"/>
      <c r="DQ1035" s="33"/>
      <c r="DR1035" s="33"/>
      <c r="DS1035" s="33"/>
      <c r="DT1035" s="33"/>
      <c r="DU1035" s="33"/>
      <c r="DV1035" s="33"/>
      <c r="DW1035" s="33"/>
      <c r="DX1035" s="33"/>
      <c r="DY1035" s="33"/>
      <c r="DZ1035" s="33"/>
      <c r="EA1035" s="33"/>
      <c r="EB1035" s="33"/>
      <c r="EC1035" s="33"/>
      <c r="ED1035" s="33"/>
      <c r="EE1035" s="33"/>
      <c r="EF1035" s="33"/>
      <c r="EG1035" s="33"/>
      <c r="EH1035" s="33"/>
      <c r="EI1035" s="33"/>
      <c r="EJ1035" s="33"/>
      <c r="EK1035" s="33"/>
      <c r="EL1035" s="33"/>
      <c r="EM1035" s="33"/>
      <c r="EN1035" s="33"/>
      <c r="EO1035" s="33"/>
      <c r="EP1035" s="33"/>
      <c r="EQ1035" s="33"/>
      <c r="ER1035" s="33"/>
      <c r="ES1035" s="33"/>
    </row>
    <row r="1036">
      <c r="A1036" s="33"/>
      <c r="B1036" s="33"/>
      <c r="C1036" s="33"/>
      <c r="D1036" s="33"/>
      <c r="E1036" s="33"/>
      <c r="F1036" s="33"/>
      <c r="G1036" s="85"/>
      <c r="H1036" s="85"/>
      <c r="I1036" s="33"/>
      <c r="J1036" s="33"/>
      <c r="K1036" s="33"/>
      <c r="L1036" s="33"/>
      <c r="M1036" s="33"/>
      <c r="N1036" s="33"/>
      <c r="O1036" s="33"/>
      <c r="P1036" s="33"/>
      <c r="Q1036" s="33"/>
      <c r="R1036" s="33"/>
      <c r="S1036" s="33"/>
      <c r="T1036" s="33"/>
      <c r="U1036" s="33"/>
      <c r="V1036" s="33"/>
      <c r="W1036" s="33"/>
      <c r="X1036" s="33"/>
      <c r="Y1036" s="33"/>
      <c r="Z1036" s="33"/>
      <c r="AA1036" s="33"/>
      <c r="AB1036" s="33"/>
      <c r="AC1036" s="33"/>
      <c r="AD1036" s="33"/>
      <c r="AE1036" s="33"/>
      <c r="AF1036" s="33"/>
      <c r="AG1036" s="33"/>
      <c r="AH1036" s="33"/>
      <c r="AI1036" s="33"/>
      <c r="AJ1036" s="33"/>
      <c r="AK1036" s="33"/>
      <c r="AL1036" s="33"/>
      <c r="AM1036" s="33"/>
      <c r="AN1036" s="33"/>
      <c r="AO1036" s="33"/>
      <c r="AP1036" s="33"/>
      <c r="AQ1036" s="33"/>
      <c r="AR1036" s="33"/>
      <c r="AS1036" s="33"/>
      <c r="AT1036" s="33"/>
      <c r="AU1036" s="33"/>
      <c r="AV1036" s="33"/>
      <c r="AW1036" s="33"/>
      <c r="AX1036" s="33"/>
      <c r="AY1036" s="33"/>
      <c r="AZ1036" s="33"/>
      <c r="BA1036" s="33"/>
      <c r="BB1036" s="33"/>
      <c r="BC1036" s="33"/>
      <c r="BD1036" s="33"/>
      <c r="BE1036" s="33"/>
      <c r="BF1036" s="33"/>
      <c r="BG1036" s="33"/>
      <c r="BH1036" s="33"/>
      <c r="BI1036" s="33"/>
      <c r="BJ1036" s="33"/>
      <c r="BK1036" s="33"/>
      <c r="BL1036" s="33"/>
      <c r="BM1036" s="33"/>
      <c r="BN1036" s="33"/>
      <c r="BO1036" s="33"/>
      <c r="BP1036" s="33"/>
      <c r="BQ1036" s="33"/>
      <c r="BR1036" s="33"/>
      <c r="BS1036" s="33"/>
      <c r="BT1036" s="33"/>
      <c r="BU1036" s="33"/>
      <c r="BV1036" s="33"/>
      <c r="BW1036" s="33"/>
      <c r="BX1036" s="33"/>
      <c r="BY1036" s="33"/>
      <c r="BZ1036" s="33"/>
      <c r="CA1036" s="33"/>
      <c r="CB1036" s="33"/>
      <c r="CC1036" s="33"/>
      <c r="CD1036" s="33"/>
      <c r="CE1036" s="33"/>
      <c r="CF1036" s="33"/>
      <c r="CG1036" s="33"/>
      <c r="CH1036" s="33"/>
      <c r="CI1036" s="33"/>
      <c r="CJ1036" s="33"/>
      <c r="CK1036" s="33"/>
      <c r="CL1036" s="33"/>
      <c r="CM1036" s="33"/>
      <c r="CN1036" s="33"/>
      <c r="CO1036" s="33"/>
      <c r="CP1036" s="33"/>
      <c r="CQ1036" s="33"/>
      <c r="CR1036" s="33"/>
      <c r="CS1036" s="33"/>
      <c r="CT1036" s="33"/>
      <c r="CU1036" s="33"/>
      <c r="CV1036" s="33"/>
      <c r="CW1036" s="33"/>
      <c r="CX1036" s="33"/>
      <c r="CY1036" s="33"/>
      <c r="CZ1036" s="33"/>
      <c r="DA1036" s="33"/>
      <c r="DB1036" s="33"/>
      <c r="DC1036" s="33"/>
      <c r="DD1036" s="33"/>
      <c r="DE1036" s="33"/>
      <c r="DF1036" s="33"/>
      <c r="DG1036" s="33"/>
      <c r="DH1036" s="33"/>
      <c r="DI1036" s="33"/>
      <c r="DJ1036" s="33"/>
      <c r="DK1036" s="33"/>
      <c r="DL1036" s="33"/>
      <c r="DM1036" s="33"/>
      <c r="DN1036" s="33"/>
      <c r="DO1036" s="33"/>
      <c r="DP1036" s="33"/>
      <c r="DQ1036" s="33"/>
      <c r="DR1036" s="33"/>
      <c r="DS1036" s="33"/>
      <c r="DT1036" s="33"/>
      <c r="DU1036" s="33"/>
      <c r="DV1036" s="33"/>
      <c r="DW1036" s="33"/>
      <c r="DX1036" s="33"/>
      <c r="DY1036" s="33"/>
      <c r="DZ1036" s="33"/>
      <c r="EA1036" s="33"/>
      <c r="EB1036" s="33"/>
      <c r="EC1036" s="33"/>
      <c r="ED1036" s="33"/>
      <c r="EE1036" s="33"/>
      <c r="EF1036" s="33"/>
      <c r="EG1036" s="33"/>
      <c r="EH1036" s="33"/>
      <c r="EI1036" s="33"/>
      <c r="EJ1036" s="33"/>
      <c r="EK1036" s="33"/>
      <c r="EL1036" s="33"/>
      <c r="EM1036" s="33"/>
      <c r="EN1036" s="33"/>
      <c r="EO1036" s="33"/>
      <c r="EP1036" s="33"/>
      <c r="EQ1036" s="33"/>
      <c r="ER1036" s="33"/>
      <c r="ES1036" s="33"/>
    </row>
    <row r="1037">
      <c r="A1037" s="33"/>
      <c r="B1037" s="33"/>
      <c r="C1037" s="33"/>
      <c r="D1037" s="33"/>
      <c r="E1037" s="33"/>
      <c r="F1037" s="33"/>
      <c r="G1037" s="85"/>
      <c r="H1037" s="85"/>
      <c r="I1037" s="33"/>
      <c r="J1037" s="33"/>
      <c r="K1037" s="33"/>
      <c r="L1037" s="33"/>
      <c r="M1037" s="33"/>
      <c r="N1037" s="33"/>
      <c r="O1037" s="33"/>
      <c r="P1037" s="33"/>
      <c r="Q1037" s="33"/>
      <c r="R1037" s="33"/>
      <c r="S1037" s="33"/>
      <c r="T1037" s="33"/>
      <c r="U1037" s="33"/>
      <c r="V1037" s="33"/>
      <c r="W1037" s="33"/>
      <c r="X1037" s="33"/>
      <c r="Y1037" s="33"/>
      <c r="Z1037" s="33"/>
      <c r="AA1037" s="33"/>
      <c r="AB1037" s="33"/>
      <c r="AC1037" s="33"/>
      <c r="AD1037" s="33"/>
      <c r="AE1037" s="33"/>
      <c r="AF1037" s="33"/>
      <c r="AG1037" s="33"/>
      <c r="AH1037" s="33"/>
      <c r="AI1037" s="33"/>
      <c r="AJ1037" s="33"/>
      <c r="AK1037" s="33"/>
      <c r="AL1037" s="33"/>
      <c r="AM1037" s="33"/>
      <c r="AN1037" s="33"/>
      <c r="AO1037" s="33"/>
      <c r="AP1037" s="33"/>
      <c r="AQ1037" s="33"/>
      <c r="AR1037" s="33"/>
      <c r="AS1037" s="33"/>
      <c r="AT1037" s="33"/>
      <c r="AU1037" s="33"/>
      <c r="AV1037" s="33"/>
      <c r="AW1037" s="33"/>
      <c r="AX1037" s="33"/>
      <c r="AY1037" s="33"/>
      <c r="AZ1037" s="33"/>
      <c r="BA1037" s="33"/>
      <c r="BB1037" s="33"/>
      <c r="BC1037" s="33"/>
      <c r="BD1037" s="33"/>
      <c r="BE1037" s="33"/>
      <c r="BF1037" s="33"/>
      <c r="BG1037" s="33"/>
      <c r="BH1037" s="33"/>
      <c r="BI1037" s="33"/>
      <c r="BJ1037" s="33"/>
      <c r="BK1037" s="33"/>
      <c r="BL1037" s="33"/>
      <c r="BM1037" s="33"/>
      <c r="BN1037" s="33"/>
      <c r="BO1037" s="33"/>
      <c r="BP1037" s="33"/>
      <c r="BQ1037" s="33"/>
      <c r="BR1037" s="33"/>
      <c r="BS1037" s="33"/>
      <c r="BT1037" s="33"/>
      <c r="BU1037" s="33"/>
      <c r="BV1037" s="33"/>
      <c r="BW1037" s="33"/>
      <c r="BX1037" s="33"/>
      <c r="BY1037" s="33"/>
      <c r="BZ1037" s="33"/>
      <c r="CA1037" s="33"/>
      <c r="CB1037" s="33"/>
      <c r="CC1037" s="33"/>
      <c r="CD1037" s="33"/>
      <c r="CE1037" s="33"/>
      <c r="CF1037" s="33"/>
      <c r="CG1037" s="33"/>
      <c r="CH1037" s="33"/>
      <c r="CI1037" s="33"/>
      <c r="CJ1037" s="33"/>
      <c r="CK1037" s="33"/>
      <c r="CL1037" s="33"/>
      <c r="CM1037" s="33"/>
      <c r="CN1037" s="33"/>
      <c r="CO1037" s="33"/>
      <c r="CP1037" s="33"/>
      <c r="CQ1037" s="33"/>
      <c r="CR1037" s="33"/>
      <c r="CS1037" s="33"/>
      <c r="CT1037" s="33"/>
      <c r="CU1037" s="33"/>
      <c r="CV1037" s="33"/>
      <c r="CW1037" s="33"/>
      <c r="CX1037" s="33"/>
      <c r="CY1037" s="33"/>
      <c r="CZ1037" s="33"/>
      <c r="DA1037" s="33"/>
      <c r="DB1037" s="33"/>
      <c r="DC1037" s="33"/>
      <c r="DD1037" s="33"/>
      <c r="DE1037" s="33"/>
      <c r="DF1037" s="33"/>
      <c r="DG1037" s="33"/>
      <c r="DH1037" s="33"/>
      <c r="DI1037" s="33"/>
      <c r="DJ1037" s="33"/>
      <c r="DK1037" s="33"/>
      <c r="DL1037" s="33"/>
      <c r="DM1037" s="33"/>
      <c r="DN1037" s="33"/>
      <c r="DO1037" s="33"/>
      <c r="DP1037" s="33"/>
      <c r="DQ1037" s="33"/>
      <c r="DR1037" s="33"/>
      <c r="DS1037" s="33"/>
      <c r="DT1037" s="33"/>
      <c r="DU1037" s="33"/>
      <c r="DV1037" s="33"/>
      <c r="DW1037" s="33"/>
      <c r="DX1037" s="33"/>
      <c r="DY1037" s="33"/>
      <c r="DZ1037" s="33"/>
      <c r="EA1037" s="33"/>
      <c r="EB1037" s="33"/>
      <c r="EC1037" s="33"/>
      <c r="ED1037" s="33"/>
      <c r="EE1037" s="33"/>
      <c r="EF1037" s="33"/>
      <c r="EG1037" s="33"/>
      <c r="EH1037" s="33"/>
      <c r="EI1037" s="33"/>
      <c r="EJ1037" s="33"/>
      <c r="EK1037" s="33"/>
      <c r="EL1037" s="33"/>
      <c r="EM1037" s="33"/>
      <c r="EN1037" s="33"/>
      <c r="EO1037" s="33"/>
      <c r="EP1037" s="33"/>
      <c r="EQ1037" s="33"/>
      <c r="ER1037" s="33"/>
      <c r="ES1037" s="33"/>
    </row>
    <row r="1038">
      <c r="A1038" s="33"/>
      <c r="B1038" s="33"/>
      <c r="C1038" s="33"/>
      <c r="D1038" s="33"/>
      <c r="E1038" s="33"/>
      <c r="F1038" s="33"/>
      <c r="G1038" s="85"/>
      <c r="H1038" s="85"/>
      <c r="I1038" s="33"/>
      <c r="J1038" s="33"/>
      <c r="K1038" s="33"/>
      <c r="L1038" s="33"/>
      <c r="M1038" s="33"/>
      <c r="N1038" s="33"/>
      <c r="O1038" s="33"/>
      <c r="P1038" s="33"/>
      <c r="Q1038" s="33"/>
      <c r="R1038" s="33"/>
      <c r="S1038" s="33"/>
      <c r="T1038" s="33"/>
      <c r="U1038" s="33"/>
      <c r="V1038" s="33"/>
      <c r="W1038" s="33"/>
      <c r="X1038" s="33"/>
      <c r="Y1038" s="33"/>
      <c r="Z1038" s="33"/>
      <c r="AA1038" s="33"/>
      <c r="AB1038" s="33"/>
      <c r="AC1038" s="33"/>
      <c r="AD1038" s="33"/>
      <c r="AE1038" s="33"/>
      <c r="AF1038" s="33"/>
      <c r="AG1038" s="33"/>
      <c r="AH1038" s="33"/>
      <c r="AI1038" s="33"/>
      <c r="AJ1038" s="33"/>
      <c r="AK1038" s="33"/>
      <c r="AL1038" s="33"/>
      <c r="AM1038" s="33"/>
      <c r="AN1038" s="33"/>
      <c r="AO1038" s="33"/>
      <c r="AP1038" s="33"/>
      <c r="AQ1038" s="33"/>
      <c r="AR1038" s="33"/>
      <c r="AS1038" s="33"/>
      <c r="AT1038" s="33"/>
      <c r="AU1038" s="33"/>
      <c r="AV1038" s="33"/>
      <c r="AW1038" s="33"/>
      <c r="AX1038" s="33"/>
      <c r="AY1038" s="33"/>
      <c r="AZ1038" s="33"/>
      <c r="BA1038" s="33"/>
      <c r="BB1038" s="33"/>
      <c r="BC1038" s="33"/>
      <c r="BD1038" s="33"/>
      <c r="BE1038" s="33"/>
      <c r="BF1038" s="33"/>
      <c r="BG1038" s="33"/>
      <c r="BH1038" s="33"/>
      <c r="BI1038" s="33"/>
      <c r="BJ1038" s="33"/>
      <c r="BK1038" s="33"/>
      <c r="BL1038" s="33"/>
      <c r="BM1038" s="33"/>
      <c r="BN1038" s="33"/>
      <c r="BO1038" s="33"/>
      <c r="BP1038" s="33"/>
      <c r="BQ1038" s="33"/>
      <c r="BR1038" s="33"/>
      <c r="BS1038" s="33"/>
      <c r="BT1038" s="33"/>
      <c r="BU1038" s="33"/>
      <c r="BV1038" s="33"/>
      <c r="BW1038" s="33"/>
      <c r="BX1038" s="33"/>
      <c r="BY1038" s="33"/>
      <c r="BZ1038" s="33"/>
      <c r="CA1038" s="33"/>
      <c r="CB1038" s="33"/>
      <c r="CC1038" s="33"/>
      <c r="CD1038" s="33"/>
      <c r="CE1038" s="33"/>
      <c r="CF1038" s="33"/>
      <c r="CG1038" s="33"/>
      <c r="CH1038" s="33"/>
      <c r="CI1038" s="33"/>
      <c r="CJ1038" s="33"/>
      <c r="CK1038" s="33"/>
      <c r="CL1038" s="33"/>
      <c r="CM1038" s="33"/>
      <c r="CN1038" s="33"/>
      <c r="CO1038" s="33"/>
      <c r="CP1038" s="33"/>
      <c r="CQ1038" s="33"/>
      <c r="CR1038" s="33"/>
      <c r="CS1038" s="33"/>
      <c r="CT1038" s="33"/>
      <c r="CU1038" s="33"/>
      <c r="CV1038" s="33"/>
      <c r="CW1038" s="33"/>
      <c r="CX1038" s="33"/>
      <c r="CY1038" s="33"/>
      <c r="CZ1038" s="33"/>
      <c r="DA1038" s="33"/>
      <c r="DB1038" s="33"/>
      <c r="DC1038" s="33"/>
      <c r="DD1038" s="33"/>
      <c r="DE1038" s="33"/>
      <c r="DF1038" s="33"/>
      <c r="DG1038" s="33"/>
      <c r="DH1038" s="33"/>
      <c r="DI1038" s="33"/>
      <c r="DJ1038" s="33"/>
      <c r="DK1038" s="33"/>
      <c r="DL1038" s="33"/>
      <c r="DM1038" s="33"/>
      <c r="DN1038" s="33"/>
      <c r="DO1038" s="33"/>
      <c r="DP1038" s="33"/>
      <c r="DQ1038" s="33"/>
      <c r="DR1038" s="33"/>
      <c r="DS1038" s="33"/>
      <c r="DT1038" s="33"/>
      <c r="DU1038" s="33"/>
      <c r="DV1038" s="33"/>
      <c r="DW1038" s="33"/>
      <c r="DX1038" s="33"/>
      <c r="DY1038" s="33"/>
      <c r="DZ1038" s="33"/>
      <c r="EA1038" s="33"/>
      <c r="EB1038" s="33"/>
      <c r="EC1038" s="33"/>
      <c r="ED1038" s="33"/>
      <c r="EE1038" s="33"/>
      <c r="EF1038" s="33"/>
      <c r="EG1038" s="33"/>
      <c r="EH1038" s="33"/>
      <c r="EI1038" s="33"/>
      <c r="EJ1038" s="33"/>
      <c r="EK1038" s="33"/>
      <c r="EL1038" s="33"/>
      <c r="EM1038" s="33"/>
      <c r="EN1038" s="33"/>
      <c r="EO1038" s="33"/>
      <c r="EP1038" s="33"/>
      <c r="EQ1038" s="33"/>
      <c r="ER1038" s="33"/>
      <c r="ES1038" s="33"/>
    </row>
    <row r="1039">
      <c r="A1039" s="33"/>
      <c r="B1039" s="33"/>
      <c r="C1039" s="33"/>
      <c r="D1039" s="33"/>
      <c r="E1039" s="33"/>
      <c r="F1039" s="33"/>
      <c r="G1039" s="85"/>
      <c r="H1039" s="85"/>
      <c r="I1039" s="33"/>
      <c r="J1039" s="33"/>
      <c r="K1039" s="33"/>
      <c r="L1039" s="33"/>
      <c r="M1039" s="33"/>
      <c r="N1039" s="33"/>
      <c r="O1039" s="33"/>
      <c r="P1039" s="33"/>
      <c r="Q1039" s="33"/>
      <c r="R1039" s="33"/>
      <c r="S1039" s="33"/>
      <c r="T1039" s="33"/>
      <c r="U1039" s="33"/>
      <c r="V1039" s="33"/>
      <c r="W1039" s="33"/>
      <c r="X1039" s="33"/>
      <c r="Y1039" s="33"/>
      <c r="Z1039" s="33"/>
      <c r="AA1039" s="33"/>
      <c r="AB1039" s="33"/>
      <c r="AC1039" s="33"/>
      <c r="AD1039" s="33"/>
      <c r="AE1039" s="33"/>
      <c r="AF1039" s="33"/>
      <c r="AG1039" s="33"/>
      <c r="AH1039" s="33"/>
      <c r="AI1039" s="33"/>
      <c r="AJ1039" s="33"/>
      <c r="AK1039" s="33"/>
      <c r="AL1039" s="33"/>
      <c r="AM1039" s="33"/>
      <c r="AN1039" s="33"/>
      <c r="AO1039" s="33"/>
      <c r="AP1039" s="33"/>
      <c r="AQ1039" s="33"/>
      <c r="AR1039" s="33"/>
      <c r="AS1039" s="33"/>
      <c r="AT1039" s="33"/>
      <c r="AU1039" s="33"/>
      <c r="AV1039" s="33"/>
      <c r="AW1039" s="33"/>
      <c r="AX1039" s="33"/>
      <c r="AY1039" s="33"/>
      <c r="AZ1039" s="33"/>
      <c r="BA1039" s="33"/>
      <c r="BB1039" s="33"/>
      <c r="BC1039" s="33"/>
      <c r="BD1039" s="33"/>
      <c r="BE1039" s="33"/>
      <c r="BF1039" s="33"/>
      <c r="BG1039" s="33"/>
      <c r="BH1039" s="33"/>
      <c r="BI1039" s="33"/>
      <c r="BJ1039" s="33"/>
      <c r="BK1039" s="33"/>
      <c r="BL1039" s="33"/>
      <c r="BM1039" s="33"/>
      <c r="BN1039" s="33"/>
      <c r="BO1039" s="33"/>
      <c r="BP1039" s="33"/>
      <c r="BQ1039" s="33"/>
      <c r="BR1039" s="33"/>
      <c r="BS1039" s="33"/>
      <c r="BT1039" s="33"/>
      <c r="BU1039" s="33"/>
      <c r="BV1039" s="33"/>
      <c r="BW1039" s="33"/>
      <c r="BX1039" s="33"/>
      <c r="BY1039" s="33"/>
      <c r="BZ1039" s="33"/>
      <c r="CA1039" s="33"/>
      <c r="CB1039" s="33"/>
      <c r="CC1039" s="33"/>
      <c r="CD1039" s="33"/>
      <c r="CE1039" s="33"/>
      <c r="CF1039" s="33"/>
      <c r="CG1039" s="33"/>
      <c r="CH1039" s="33"/>
      <c r="CI1039" s="33"/>
      <c r="CJ1039" s="33"/>
      <c r="CK1039" s="33"/>
      <c r="CL1039" s="33"/>
      <c r="CM1039" s="33"/>
      <c r="CN1039" s="33"/>
      <c r="CO1039" s="33"/>
      <c r="CP1039" s="33"/>
      <c r="CQ1039" s="33"/>
      <c r="CR1039" s="33"/>
      <c r="CS1039" s="33"/>
      <c r="CT1039" s="33"/>
      <c r="CU1039" s="33"/>
      <c r="CV1039" s="33"/>
      <c r="CW1039" s="33"/>
      <c r="CX1039" s="33"/>
      <c r="CY1039" s="33"/>
      <c r="CZ1039" s="33"/>
      <c r="DA1039" s="33"/>
      <c r="DB1039" s="33"/>
      <c r="DC1039" s="33"/>
      <c r="DD1039" s="33"/>
      <c r="DE1039" s="33"/>
      <c r="DF1039" s="33"/>
      <c r="DG1039" s="33"/>
      <c r="DH1039" s="33"/>
      <c r="DI1039" s="33"/>
      <c r="DJ1039" s="33"/>
      <c r="DK1039" s="33"/>
      <c r="DL1039" s="33"/>
      <c r="DM1039" s="33"/>
      <c r="DN1039" s="33"/>
      <c r="DO1039" s="33"/>
      <c r="DP1039" s="33"/>
      <c r="DQ1039" s="33"/>
      <c r="DR1039" s="33"/>
      <c r="DS1039" s="33"/>
      <c r="DT1039" s="33"/>
      <c r="DU1039" s="33"/>
      <c r="DV1039" s="33"/>
      <c r="DW1039" s="33"/>
      <c r="DX1039" s="33"/>
      <c r="DY1039" s="33"/>
      <c r="DZ1039" s="33"/>
      <c r="EA1039" s="33"/>
      <c r="EB1039" s="33"/>
      <c r="EC1039" s="33"/>
      <c r="ED1039" s="33"/>
      <c r="EE1039" s="33"/>
      <c r="EF1039" s="33"/>
      <c r="EG1039" s="33"/>
      <c r="EH1039" s="33"/>
      <c r="EI1039" s="33"/>
      <c r="EJ1039" s="33"/>
      <c r="EK1039" s="33"/>
      <c r="EL1039" s="33"/>
      <c r="EM1039" s="33"/>
      <c r="EN1039" s="33"/>
      <c r="EO1039" s="33"/>
      <c r="EP1039" s="33"/>
      <c r="EQ1039" s="33"/>
      <c r="ER1039" s="33"/>
      <c r="ES1039" s="33"/>
    </row>
    <row r="1040">
      <c r="A1040" s="33"/>
      <c r="B1040" s="33"/>
      <c r="C1040" s="33"/>
      <c r="D1040" s="33"/>
      <c r="E1040" s="33"/>
      <c r="F1040" s="33"/>
      <c r="G1040" s="85"/>
      <c r="H1040" s="85"/>
      <c r="I1040" s="33"/>
      <c r="J1040" s="33"/>
      <c r="K1040" s="33"/>
      <c r="L1040" s="33"/>
      <c r="M1040" s="33"/>
      <c r="N1040" s="33"/>
      <c r="O1040" s="33"/>
      <c r="P1040" s="33"/>
      <c r="Q1040" s="33"/>
      <c r="R1040" s="33"/>
      <c r="S1040" s="33"/>
      <c r="T1040" s="33"/>
      <c r="U1040" s="33"/>
      <c r="V1040" s="33"/>
      <c r="W1040" s="33"/>
      <c r="X1040" s="33"/>
      <c r="Y1040" s="33"/>
      <c r="Z1040" s="33"/>
      <c r="AA1040" s="33"/>
      <c r="AB1040" s="33"/>
      <c r="AC1040" s="33"/>
      <c r="AD1040" s="33"/>
      <c r="AE1040" s="33"/>
      <c r="AF1040" s="33"/>
      <c r="AG1040" s="33"/>
      <c r="AH1040" s="33"/>
      <c r="AI1040" s="33"/>
      <c r="AJ1040" s="33"/>
      <c r="AK1040" s="33"/>
      <c r="AL1040" s="33"/>
      <c r="AM1040" s="33"/>
      <c r="AN1040" s="33"/>
      <c r="AO1040" s="33"/>
      <c r="AP1040" s="33"/>
      <c r="AQ1040" s="33"/>
      <c r="AR1040" s="33"/>
      <c r="AS1040" s="33"/>
      <c r="AT1040" s="33"/>
      <c r="AU1040" s="33"/>
      <c r="AV1040" s="33"/>
      <c r="AW1040" s="33"/>
      <c r="AX1040" s="33"/>
      <c r="AY1040" s="33"/>
      <c r="AZ1040" s="33"/>
      <c r="BA1040" s="33"/>
      <c r="BB1040" s="33"/>
      <c r="BC1040" s="33"/>
      <c r="BD1040" s="33"/>
      <c r="BE1040" s="33"/>
      <c r="BF1040" s="33"/>
      <c r="BG1040" s="33"/>
      <c r="BH1040" s="33"/>
      <c r="BI1040" s="33"/>
      <c r="BJ1040" s="33"/>
      <c r="BK1040" s="33"/>
      <c r="BL1040" s="33"/>
      <c r="BM1040" s="33"/>
      <c r="BN1040" s="33"/>
      <c r="BO1040" s="33"/>
      <c r="BP1040" s="33"/>
      <c r="BQ1040" s="33"/>
      <c r="BR1040" s="33"/>
      <c r="BS1040" s="33"/>
      <c r="BT1040" s="33"/>
      <c r="BU1040" s="33"/>
      <c r="BV1040" s="33"/>
      <c r="BW1040" s="33"/>
      <c r="BX1040" s="33"/>
      <c r="BY1040" s="33"/>
      <c r="BZ1040" s="33"/>
      <c r="CA1040" s="33"/>
      <c r="CB1040" s="33"/>
      <c r="CC1040" s="33"/>
      <c r="CD1040" s="33"/>
      <c r="CE1040" s="33"/>
      <c r="CF1040" s="33"/>
      <c r="CG1040" s="33"/>
      <c r="CH1040" s="33"/>
      <c r="CI1040" s="33"/>
      <c r="CJ1040" s="33"/>
      <c r="CK1040" s="33"/>
      <c r="CL1040" s="33"/>
      <c r="CM1040" s="33"/>
      <c r="CN1040" s="33"/>
      <c r="CO1040" s="33"/>
      <c r="CP1040" s="33"/>
      <c r="CQ1040" s="33"/>
      <c r="CR1040" s="33"/>
      <c r="CS1040" s="33"/>
      <c r="CT1040" s="33"/>
      <c r="CU1040" s="33"/>
      <c r="CV1040" s="33"/>
      <c r="CW1040" s="33"/>
      <c r="CX1040" s="33"/>
      <c r="CY1040" s="33"/>
      <c r="CZ1040" s="33"/>
      <c r="DA1040" s="33"/>
      <c r="DB1040" s="33"/>
      <c r="DC1040" s="33"/>
      <c r="DD1040" s="33"/>
      <c r="DE1040" s="33"/>
      <c r="DF1040" s="33"/>
      <c r="DG1040" s="33"/>
      <c r="DH1040" s="33"/>
      <c r="DI1040" s="33"/>
      <c r="DJ1040" s="33"/>
      <c r="DK1040" s="33"/>
      <c r="DL1040" s="33"/>
      <c r="DM1040" s="33"/>
      <c r="DN1040" s="33"/>
      <c r="DO1040" s="33"/>
      <c r="DP1040" s="33"/>
      <c r="DQ1040" s="33"/>
      <c r="DR1040" s="33"/>
      <c r="DS1040" s="33"/>
      <c r="DT1040" s="33"/>
      <c r="DU1040" s="33"/>
      <c r="DV1040" s="33"/>
      <c r="DW1040" s="33"/>
      <c r="DX1040" s="33"/>
      <c r="DY1040" s="33"/>
      <c r="DZ1040" s="33"/>
      <c r="EA1040" s="33"/>
      <c r="EB1040" s="33"/>
      <c r="EC1040" s="33"/>
      <c r="ED1040" s="33"/>
      <c r="EE1040" s="33"/>
      <c r="EF1040" s="33"/>
      <c r="EG1040" s="33"/>
      <c r="EH1040" s="33"/>
      <c r="EI1040" s="33"/>
      <c r="EJ1040" s="33"/>
      <c r="EK1040" s="33"/>
      <c r="EL1040" s="33"/>
      <c r="EM1040" s="33"/>
      <c r="EN1040" s="33"/>
      <c r="EO1040" s="33"/>
      <c r="EP1040" s="33"/>
      <c r="EQ1040" s="33"/>
      <c r="ER1040" s="33"/>
      <c r="ES1040" s="33"/>
    </row>
    <row r="1041">
      <c r="A1041" s="33"/>
      <c r="B1041" s="33"/>
      <c r="C1041" s="33"/>
      <c r="D1041" s="33"/>
      <c r="E1041" s="33"/>
      <c r="F1041" s="33"/>
      <c r="G1041" s="85"/>
      <c r="H1041" s="85"/>
      <c r="I1041" s="33"/>
      <c r="J1041" s="33"/>
      <c r="K1041" s="33"/>
      <c r="L1041" s="33"/>
      <c r="M1041" s="33"/>
      <c r="N1041" s="33"/>
      <c r="O1041" s="33"/>
      <c r="P1041" s="33"/>
      <c r="Q1041" s="33"/>
      <c r="R1041" s="33"/>
      <c r="S1041" s="33"/>
      <c r="T1041" s="33"/>
      <c r="U1041" s="33"/>
      <c r="V1041" s="33"/>
      <c r="W1041" s="33"/>
      <c r="X1041" s="33"/>
      <c r="Y1041" s="33"/>
      <c r="Z1041" s="33"/>
      <c r="AA1041" s="33"/>
      <c r="AB1041" s="33"/>
      <c r="AC1041" s="33"/>
      <c r="AD1041" s="33"/>
      <c r="AE1041" s="33"/>
      <c r="AF1041" s="33"/>
      <c r="AG1041" s="33"/>
      <c r="AH1041" s="33"/>
      <c r="AI1041" s="33"/>
      <c r="AJ1041" s="33"/>
      <c r="AK1041" s="33"/>
      <c r="AL1041" s="33"/>
      <c r="AM1041" s="33"/>
      <c r="AN1041" s="33"/>
      <c r="AO1041" s="33"/>
      <c r="AP1041" s="33"/>
      <c r="AQ1041" s="33"/>
      <c r="AR1041" s="33"/>
      <c r="AS1041" s="33"/>
      <c r="AT1041" s="33"/>
      <c r="AU1041" s="33"/>
      <c r="AV1041" s="33"/>
      <c r="AW1041" s="33"/>
      <c r="AX1041" s="33"/>
      <c r="AY1041" s="33"/>
      <c r="AZ1041" s="33"/>
      <c r="BA1041" s="33"/>
      <c r="BB1041" s="33"/>
      <c r="BC1041" s="33"/>
      <c r="BD1041" s="33"/>
      <c r="BE1041" s="33"/>
      <c r="BF1041" s="33"/>
      <c r="BG1041" s="33"/>
      <c r="BH1041" s="33"/>
      <c r="BI1041" s="33"/>
      <c r="BJ1041" s="33"/>
      <c r="BK1041" s="33"/>
      <c r="BL1041" s="33"/>
      <c r="BM1041" s="33"/>
      <c r="BN1041" s="33"/>
      <c r="BO1041" s="33"/>
      <c r="BP1041" s="33"/>
      <c r="BQ1041" s="33"/>
      <c r="BR1041" s="33"/>
      <c r="BS1041" s="33"/>
      <c r="BT1041" s="33"/>
      <c r="BU1041" s="33"/>
      <c r="BV1041" s="33"/>
      <c r="BW1041" s="33"/>
      <c r="BX1041" s="33"/>
      <c r="BY1041" s="33"/>
      <c r="BZ1041" s="33"/>
      <c r="CA1041" s="33"/>
      <c r="CB1041" s="33"/>
      <c r="CC1041" s="33"/>
      <c r="CD1041" s="33"/>
      <c r="CE1041" s="33"/>
      <c r="CF1041" s="33"/>
      <c r="CG1041" s="33"/>
      <c r="CH1041" s="33"/>
      <c r="CI1041" s="33"/>
      <c r="CJ1041" s="33"/>
      <c r="CK1041" s="33"/>
      <c r="CL1041" s="33"/>
      <c r="CM1041" s="33"/>
      <c r="CN1041" s="33"/>
      <c r="CO1041" s="33"/>
      <c r="CP1041" s="33"/>
      <c r="CQ1041" s="33"/>
      <c r="CR1041" s="33"/>
      <c r="CS1041" s="33"/>
      <c r="CT1041" s="33"/>
      <c r="CU1041" s="33"/>
      <c r="CV1041" s="33"/>
      <c r="CW1041" s="33"/>
      <c r="CX1041" s="33"/>
      <c r="CY1041" s="33"/>
      <c r="CZ1041" s="33"/>
      <c r="DA1041" s="33"/>
      <c r="DB1041" s="33"/>
      <c r="DC1041" s="33"/>
      <c r="DD1041" s="33"/>
      <c r="DE1041" s="33"/>
      <c r="DF1041" s="33"/>
      <c r="DG1041" s="33"/>
      <c r="DH1041" s="33"/>
      <c r="DI1041" s="33"/>
      <c r="DJ1041" s="33"/>
      <c r="DK1041" s="33"/>
      <c r="DL1041" s="33"/>
      <c r="DM1041" s="33"/>
      <c r="DN1041" s="33"/>
      <c r="DO1041" s="33"/>
      <c r="DP1041" s="33"/>
      <c r="DQ1041" s="33"/>
      <c r="DR1041" s="33"/>
      <c r="DS1041" s="33"/>
      <c r="DT1041" s="33"/>
      <c r="DU1041" s="33"/>
      <c r="DV1041" s="33"/>
      <c r="DW1041" s="33"/>
      <c r="DX1041" s="33"/>
      <c r="DY1041" s="33"/>
      <c r="DZ1041" s="33"/>
      <c r="EA1041" s="33"/>
      <c r="EB1041" s="33"/>
      <c r="EC1041" s="33"/>
      <c r="ED1041" s="33"/>
      <c r="EE1041" s="33"/>
      <c r="EF1041" s="33"/>
      <c r="EG1041" s="33"/>
      <c r="EH1041" s="33"/>
      <c r="EI1041" s="33"/>
      <c r="EJ1041" s="33"/>
      <c r="EK1041" s="33"/>
      <c r="EL1041" s="33"/>
      <c r="EM1041" s="33"/>
      <c r="EN1041" s="33"/>
      <c r="EO1041" s="33"/>
      <c r="EP1041" s="33"/>
      <c r="EQ1041" s="33"/>
      <c r="ER1041" s="33"/>
      <c r="ES1041" s="33"/>
    </row>
    <row r="1042">
      <c r="A1042" s="33"/>
      <c r="B1042" s="33"/>
      <c r="C1042" s="33"/>
      <c r="D1042" s="33"/>
      <c r="E1042" s="33"/>
      <c r="F1042" s="33"/>
      <c r="G1042" s="85"/>
      <c r="H1042" s="85"/>
      <c r="I1042" s="33"/>
      <c r="J1042" s="33"/>
      <c r="K1042" s="33"/>
      <c r="L1042" s="33"/>
      <c r="M1042" s="33"/>
      <c r="N1042" s="33"/>
      <c r="O1042" s="33"/>
      <c r="P1042" s="33"/>
      <c r="Q1042" s="33"/>
      <c r="R1042" s="33"/>
      <c r="S1042" s="33"/>
      <c r="T1042" s="33"/>
      <c r="U1042" s="33"/>
      <c r="V1042" s="33"/>
      <c r="W1042" s="33"/>
      <c r="X1042" s="33"/>
      <c r="Y1042" s="33"/>
      <c r="Z1042" s="33"/>
      <c r="AA1042" s="33"/>
      <c r="AB1042" s="33"/>
      <c r="AC1042" s="33"/>
      <c r="AD1042" s="33"/>
      <c r="AE1042" s="33"/>
      <c r="AF1042" s="33"/>
      <c r="AG1042" s="33"/>
      <c r="AH1042" s="33"/>
      <c r="AI1042" s="33"/>
      <c r="AJ1042" s="33"/>
      <c r="AK1042" s="33"/>
      <c r="AL1042" s="33"/>
      <c r="AM1042" s="33"/>
      <c r="AN1042" s="33"/>
      <c r="AO1042" s="33"/>
      <c r="AP1042" s="33"/>
      <c r="AQ1042" s="33"/>
      <c r="AR1042" s="33"/>
      <c r="AS1042" s="33"/>
      <c r="AT1042" s="33"/>
      <c r="AU1042" s="33"/>
      <c r="AV1042" s="33"/>
      <c r="AW1042" s="33"/>
      <c r="AX1042" s="33"/>
      <c r="AY1042" s="33"/>
      <c r="AZ1042" s="33"/>
      <c r="BA1042" s="33"/>
      <c r="BB1042" s="33"/>
      <c r="BC1042" s="33"/>
      <c r="BD1042" s="33"/>
      <c r="BE1042" s="33"/>
      <c r="BF1042" s="33"/>
      <c r="BG1042" s="33"/>
      <c r="BH1042" s="33"/>
      <c r="BI1042" s="33"/>
      <c r="BJ1042" s="33"/>
      <c r="BK1042" s="33"/>
      <c r="BL1042" s="33"/>
      <c r="BM1042" s="33"/>
      <c r="BN1042" s="33"/>
      <c r="BO1042" s="33"/>
      <c r="BP1042" s="33"/>
      <c r="BQ1042" s="33"/>
      <c r="BR1042" s="33"/>
      <c r="BS1042" s="33"/>
      <c r="BT1042" s="33"/>
      <c r="BU1042" s="33"/>
      <c r="BV1042" s="33"/>
      <c r="BW1042" s="33"/>
      <c r="BX1042" s="33"/>
      <c r="BY1042" s="33"/>
      <c r="BZ1042" s="33"/>
      <c r="CA1042" s="33"/>
      <c r="CB1042" s="33"/>
      <c r="CC1042" s="33"/>
      <c r="CD1042" s="33"/>
      <c r="CE1042" s="33"/>
      <c r="CF1042" s="33"/>
      <c r="CG1042" s="33"/>
      <c r="CH1042" s="33"/>
      <c r="CI1042" s="33"/>
      <c r="CJ1042" s="33"/>
      <c r="CK1042" s="33"/>
      <c r="CL1042" s="33"/>
      <c r="CM1042" s="33"/>
      <c r="CN1042" s="33"/>
      <c r="CO1042" s="33"/>
      <c r="CP1042" s="33"/>
      <c r="CQ1042" s="33"/>
      <c r="CR1042" s="33"/>
      <c r="CS1042" s="33"/>
      <c r="CT1042" s="33"/>
      <c r="CU1042" s="33"/>
      <c r="CV1042" s="33"/>
      <c r="CW1042" s="33"/>
      <c r="CX1042" s="33"/>
      <c r="CY1042" s="33"/>
      <c r="CZ1042" s="33"/>
      <c r="DA1042" s="33"/>
      <c r="DB1042" s="33"/>
      <c r="DC1042" s="33"/>
      <c r="DD1042" s="33"/>
      <c r="DE1042" s="33"/>
      <c r="DF1042" s="33"/>
      <c r="DG1042" s="33"/>
      <c r="DH1042" s="33"/>
      <c r="DI1042" s="33"/>
      <c r="DJ1042" s="33"/>
      <c r="DK1042" s="33"/>
      <c r="DL1042" s="33"/>
      <c r="DM1042" s="33"/>
      <c r="DN1042" s="33"/>
      <c r="DO1042" s="33"/>
      <c r="DP1042" s="33"/>
      <c r="DQ1042" s="33"/>
      <c r="DR1042" s="33"/>
      <c r="DS1042" s="33"/>
      <c r="DT1042" s="33"/>
      <c r="DU1042" s="33"/>
      <c r="DV1042" s="33"/>
      <c r="DW1042" s="33"/>
      <c r="DX1042" s="33"/>
      <c r="DY1042" s="33"/>
      <c r="DZ1042" s="33"/>
      <c r="EA1042" s="33"/>
      <c r="EB1042" s="33"/>
      <c r="EC1042" s="33"/>
      <c r="ED1042" s="33"/>
      <c r="EE1042" s="33"/>
      <c r="EF1042" s="33"/>
      <c r="EG1042" s="33"/>
      <c r="EH1042" s="33"/>
      <c r="EI1042" s="33"/>
      <c r="EJ1042" s="33"/>
      <c r="EK1042" s="33"/>
      <c r="EL1042" s="33"/>
      <c r="EM1042" s="33"/>
      <c r="EN1042" s="33"/>
      <c r="EO1042" s="33"/>
      <c r="EP1042" s="33"/>
      <c r="EQ1042" s="33"/>
      <c r="ER1042" s="33"/>
      <c r="ES1042" s="33"/>
    </row>
    <row r="1043">
      <c r="A1043" s="33"/>
      <c r="B1043" s="33"/>
      <c r="C1043" s="33"/>
      <c r="D1043" s="33"/>
      <c r="E1043" s="33"/>
      <c r="F1043" s="33"/>
      <c r="G1043" s="85"/>
      <c r="H1043" s="85"/>
      <c r="I1043" s="33"/>
      <c r="J1043" s="33"/>
      <c r="K1043" s="33"/>
      <c r="L1043" s="33"/>
      <c r="M1043" s="33"/>
      <c r="N1043" s="33"/>
      <c r="O1043" s="33"/>
      <c r="P1043" s="33"/>
      <c r="Q1043" s="33"/>
      <c r="R1043" s="33"/>
      <c r="S1043" s="33"/>
      <c r="T1043" s="33"/>
      <c r="U1043" s="33"/>
      <c r="V1043" s="33"/>
      <c r="W1043" s="33"/>
      <c r="X1043" s="33"/>
      <c r="Y1043" s="33"/>
      <c r="Z1043" s="33"/>
      <c r="AA1043" s="33"/>
      <c r="AB1043" s="33"/>
      <c r="AC1043" s="33"/>
      <c r="AD1043" s="33"/>
      <c r="AE1043" s="33"/>
      <c r="AF1043" s="33"/>
      <c r="AG1043" s="33"/>
      <c r="AH1043" s="33"/>
      <c r="AI1043" s="33"/>
      <c r="AJ1043" s="33"/>
      <c r="AK1043" s="33"/>
      <c r="AL1043" s="33"/>
      <c r="AM1043" s="33"/>
      <c r="AN1043" s="33"/>
      <c r="AO1043" s="33"/>
      <c r="AP1043" s="33"/>
      <c r="AQ1043" s="33"/>
      <c r="AR1043" s="33"/>
      <c r="AS1043" s="33"/>
      <c r="AT1043" s="33"/>
      <c r="AU1043" s="33"/>
      <c r="AV1043" s="33"/>
      <c r="AW1043" s="33"/>
      <c r="AX1043" s="33"/>
      <c r="AY1043" s="33"/>
      <c r="AZ1043" s="33"/>
      <c r="BA1043" s="33"/>
      <c r="BB1043" s="33"/>
      <c r="BC1043" s="33"/>
      <c r="BD1043" s="33"/>
      <c r="BE1043" s="33"/>
      <c r="BF1043" s="33"/>
      <c r="BG1043" s="33"/>
      <c r="BH1043" s="33"/>
      <c r="BI1043" s="33"/>
      <c r="BJ1043" s="33"/>
      <c r="BK1043" s="33"/>
      <c r="BL1043" s="33"/>
      <c r="BM1043" s="33"/>
      <c r="BN1043" s="33"/>
      <c r="BO1043" s="33"/>
      <c r="BP1043" s="33"/>
      <c r="BQ1043" s="33"/>
      <c r="BR1043" s="33"/>
      <c r="BS1043" s="33"/>
      <c r="BT1043" s="33"/>
      <c r="BU1043" s="33"/>
      <c r="BV1043" s="33"/>
      <c r="BW1043" s="33"/>
      <c r="BX1043" s="33"/>
      <c r="BY1043" s="33"/>
      <c r="BZ1043" s="33"/>
      <c r="CA1043" s="33"/>
      <c r="CB1043" s="33"/>
      <c r="CC1043" s="33"/>
      <c r="CD1043" s="33"/>
      <c r="CE1043" s="33"/>
      <c r="CF1043" s="33"/>
      <c r="CG1043" s="33"/>
      <c r="CH1043" s="33"/>
      <c r="CI1043" s="33"/>
      <c r="CJ1043" s="33"/>
      <c r="CK1043" s="33"/>
      <c r="CL1043" s="33"/>
      <c r="CM1043" s="33"/>
      <c r="CN1043" s="33"/>
      <c r="CO1043" s="33"/>
      <c r="CP1043" s="33"/>
      <c r="CQ1043" s="33"/>
      <c r="CR1043" s="33"/>
      <c r="CS1043" s="33"/>
      <c r="CT1043" s="33"/>
      <c r="CU1043" s="33"/>
      <c r="CV1043" s="33"/>
      <c r="CW1043" s="33"/>
      <c r="CX1043" s="33"/>
      <c r="CY1043" s="33"/>
      <c r="CZ1043" s="33"/>
      <c r="DA1043" s="33"/>
      <c r="DB1043" s="33"/>
      <c r="DC1043" s="33"/>
      <c r="DD1043" s="33"/>
      <c r="DE1043" s="33"/>
      <c r="DF1043" s="33"/>
      <c r="DG1043" s="33"/>
      <c r="DH1043" s="33"/>
      <c r="DI1043" s="33"/>
      <c r="DJ1043" s="33"/>
      <c r="DK1043" s="33"/>
      <c r="DL1043" s="33"/>
      <c r="DM1043" s="33"/>
      <c r="DN1043" s="33"/>
      <c r="DO1043" s="33"/>
      <c r="DP1043" s="33"/>
      <c r="DQ1043" s="33"/>
      <c r="DR1043" s="33"/>
      <c r="DS1043" s="33"/>
      <c r="DT1043" s="33"/>
      <c r="DU1043" s="33"/>
      <c r="DV1043" s="33"/>
      <c r="DW1043" s="33"/>
      <c r="DX1043" s="33"/>
      <c r="DY1043" s="33"/>
      <c r="DZ1043" s="33"/>
      <c r="EA1043" s="33"/>
      <c r="EB1043" s="33"/>
      <c r="EC1043" s="33"/>
      <c r="ED1043" s="33"/>
      <c r="EE1043" s="33"/>
      <c r="EF1043" s="33"/>
      <c r="EG1043" s="33"/>
      <c r="EH1043" s="33"/>
      <c r="EI1043" s="33"/>
      <c r="EJ1043" s="33"/>
      <c r="EK1043" s="33"/>
      <c r="EL1043" s="33"/>
      <c r="EM1043" s="33"/>
      <c r="EN1043" s="33"/>
      <c r="EO1043" s="33"/>
      <c r="EP1043" s="33"/>
      <c r="EQ1043" s="33"/>
      <c r="ER1043" s="33"/>
      <c r="ES1043" s="33"/>
    </row>
    <row r="1044">
      <c r="A1044" s="33"/>
      <c r="B1044" s="33"/>
      <c r="C1044" s="33"/>
      <c r="D1044" s="33"/>
      <c r="E1044" s="33"/>
      <c r="F1044" s="33"/>
      <c r="G1044" s="85"/>
      <c r="H1044" s="85"/>
      <c r="I1044" s="33"/>
      <c r="J1044" s="33"/>
      <c r="K1044" s="33"/>
      <c r="L1044" s="33"/>
      <c r="M1044" s="33"/>
      <c r="N1044" s="33"/>
      <c r="O1044" s="33"/>
      <c r="P1044" s="33"/>
      <c r="Q1044" s="33"/>
      <c r="R1044" s="33"/>
      <c r="S1044" s="33"/>
      <c r="T1044" s="33"/>
      <c r="U1044" s="33"/>
      <c r="V1044" s="33"/>
      <c r="W1044" s="33"/>
      <c r="X1044" s="33"/>
      <c r="Y1044" s="33"/>
      <c r="Z1044" s="33"/>
      <c r="AA1044" s="33"/>
      <c r="AB1044" s="33"/>
      <c r="AC1044" s="33"/>
      <c r="AD1044" s="33"/>
      <c r="AE1044" s="33"/>
      <c r="AF1044" s="33"/>
      <c r="AG1044" s="33"/>
      <c r="AH1044" s="33"/>
      <c r="AI1044" s="33"/>
      <c r="AJ1044" s="33"/>
      <c r="AK1044" s="33"/>
      <c r="AL1044" s="33"/>
      <c r="AM1044" s="33"/>
      <c r="AN1044" s="33"/>
      <c r="AO1044" s="33"/>
      <c r="AP1044" s="33"/>
      <c r="AQ1044" s="33"/>
      <c r="AR1044" s="33"/>
      <c r="AS1044" s="33"/>
      <c r="AT1044" s="33"/>
      <c r="AU1044" s="33"/>
      <c r="AV1044" s="33"/>
      <c r="AW1044" s="33"/>
      <c r="AX1044" s="33"/>
      <c r="AY1044" s="33"/>
      <c r="AZ1044" s="33"/>
      <c r="BA1044" s="33"/>
      <c r="BB1044" s="33"/>
      <c r="BC1044" s="33"/>
      <c r="BD1044" s="33"/>
      <c r="BE1044" s="33"/>
      <c r="BF1044" s="33"/>
      <c r="BG1044" s="33"/>
      <c r="BH1044" s="33"/>
      <c r="BI1044" s="33"/>
      <c r="BJ1044" s="33"/>
      <c r="BK1044" s="33"/>
      <c r="BL1044" s="33"/>
      <c r="BM1044" s="33"/>
      <c r="BN1044" s="33"/>
      <c r="BO1044" s="33"/>
      <c r="BP1044" s="33"/>
      <c r="BQ1044" s="33"/>
      <c r="BR1044" s="33"/>
      <c r="BS1044" s="33"/>
      <c r="BT1044" s="33"/>
      <c r="BU1044" s="33"/>
      <c r="BV1044" s="33"/>
      <c r="BW1044" s="33"/>
      <c r="BX1044" s="33"/>
      <c r="BY1044" s="33"/>
      <c r="BZ1044" s="33"/>
      <c r="CA1044" s="33"/>
      <c r="CB1044" s="33"/>
      <c r="CC1044" s="33"/>
      <c r="CD1044" s="33"/>
      <c r="CE1044" s="33"/>
      <c r="CF1044" s="33"/>
      <c r="CG1044" s="33"/>
      <c r="CH1044" s="33"/>
      <c r="CI1044" s="33"/>
      <c r="CJ1044" s="33"/>
      <c r="CK1044" s="33"/>
      <c r="CL1044" s="33"/>
      <c r="CM1044" s="33"/>
      <c r="CN1044" s="33"/>
      <c r="CO1044" s="33"/>
      <c r="CP1044" s="33"/>
      <c r="CQ1044" s="33"/>
      <c r="CR1044" s="33"/>
      <c r="CS1044" s="33"/>
      <c r="CT1044" s="33"/>
      <c r="CU1044" s="33"/>
      <c r="CV1044" s="33"/>
      <c r="CW1044" s="33"/>
      <c r="CX1044" s="33"/>
      <c r="CY1044" s="33"/>
      <c r="CZ1044" s="33"/>
      <c r="DA1044" s="33"/>
      <c r="DB1044" s="33"/>
      <c r="DC1044" s="33"/>
      <c r="DD1044" s="33"/>
      <c r="DE1044" s="33"/>
      <c r="DF1044" s="33"/>
      <c r="DG1044" s="33"/>
      <c r="DH1044" s="33"/>
      <c r="DI1044" s="33"/>
      <c r="DJ1044" s="33"/>
      <c r="DK1044" s="33"/>
      <c r="DL1044" s="33"/>
      <c r="DM1044" s="33"/>
      <c r="DN1044" s="33"/>
      <c r="DO1044" s="33"/>
      <c r="DP1044" s="33"/>
      <c r="DQ1044" s="33"/>
      <c r="DR1044" s="33"/>
      <c r="DS1044" s="33"/>
      <c r="DT1044" s="33"/>
      <c r="DU1044" s="33"/>
      <c r="DV1044" s="33"/>
      <c r="DW1044" s="33"/>
      <c r="DX1044" s="33"/>
      <c r="DY1044" s="33"/>
      <c r="DZ1044" s="33"/>
      <c r="EA1044" s="33"/>
      <c r="EB1044" s="33"/>
      <c r="EC1044" s="33"/>
      <c r="ED1044" s="33"/>
      <c r="EE1044" s="33"/>
      <c r="EF1044" s="33"/>
      <c r="EG1044" s="33"/>
      <c r="EH1044" s="33"/>
      <c r="EI1044" s="33"/>
      <c r="EJ1044" s="33"/>
      <c r="EK1044" s="33"/>
      <c r="EL1044" s="33"/>
      <c r="EM1044" s="33"/>
      <c r="EN1044" s="33"/>
      <c r="EO1044" s="33"/>
      <c r="EP1044" s="33"/>
      <c r="EQ1044" s="33"/>
      <c r="ER1044" s="33"/>
      <c r="ES1044" s="33"/>
    </row>
    <row r="1045">
      <c r="A1045" s="33"/>
      <c r="B1045" s="33"/>
      <c r="C1045" s="33"/>
      <c r="D1045" s="33"/>
      <c r="E1045" s="33"/>
      <c r="F1045" s="33"/>
      <c r="G1045" s="85"/>
      <c r="H1045" s="85"/>
      <c r="I1045" s="33"/>
      <c r="J1045" s="33"/>
      <c r="K1045" s="33"/>
      <c r="L1045" s="33"/>
      <c r="M1045" s="33"/>
      <c r="N1045" s="33"/>
      <c r="O1045" s="33"/>
      <c r="P1045" s="33"/>
      <c r="Q1045" s="33"/>
      <c r="R1045" s="33"/>
      <c r="S1045" s="33"/>
      <c r="T1045" s="33"/>
      <c r="U1045" s="33"/>
      <c r="V1045" s="33"/>
      <c r="W1045" s="33"/>
      <c r="X1045" s="33"/>
      <c r="Y1045" s="33"/>
      <c r="Z1045" s="33"/>
      <c r="AA1045" s="33"/>
      <c r="AB1045" s="33"/>
      <c r="AC1045" s="33"/>
      <c r="AD1045" s="33"/>
      <c r="AE1045" s="33"/>
      <c r="AF1045" s="33"/>
      <c r="AG1045" s="33"/>
      <c r="AH1045" s="33"/>
      <c r="AI1045" s="33"/>
      <c r="AJ1045" s="33"/>
      <c r="AK1045" s="33"/>
      <c r="AL1045" s="33"/>
      <c r="AM1045" s="33"/>
      <c r="AN1045" s="33"/>
      <c r="AO1045" s="33"/>
      <c r="AP1045" s="33"/>
      <c r="AQ1045" s="33"/>
      <c r="AR1045" s="33"/>
      <c r="AS1045" s="33"/>
      <c r="AT1045" s="33"/>
      <c r="AU1045" s="33"/>
      <c r="AV1045" s="33"/>
      <c r="AW1045" s="33"/>
      <c r="AX1045" s="33"/>
      <c r="AY1045" s="33"/>
      <c r="AZ1045" s="33"/>
      <c r="BA1045" s="33"/>
      <c r="BB1045" s="33"/>
      <c r="BC1045" s="33"/>
      <c r="BD1045" s="33"/>
      <c r="BE1045" s="33"/>
      <c r="BF1045" s="33"/>
      <c r="BG1045" s="33"/>
      <c r="BH1045" s="33"/>
      <c r="BI1045" s="33"/>
      <c r="BJ1045" s="33"/>
      <c r="BK1045" s="33"/>
      <c r="BL1045" s="33"/>
      <c r="BM1045" s="33"/>
      <c r="BN1045" s="33"/>
      <c r="BO1045" s="33"/>
      <c r="BP1045" s="33"/>
      <c r="BQ1045" s="33"/>
      <c r="BR1045" s="33"/>
      <c r="BS1045" s="33"/>
      <c r="BT1045" s="33"/>
      <c r="BU1045" s="33"/>
      <c r="BV1045" s="33"/>
      <c r="BW1045" s="33"/>
      <c r="BX1045" s="33"/>
      <c r="BY1045" s="33"/>
      <c r="BZ1045" s="33"/>
      <c r="CA1045" s="33"/>
      <c r="CB1045" s="33"/>
      <c r="CC1045" s="33"/>
      <c r="CD1045" s="33"/>
      <c r="CE1045" s="33"/>
      <c r="CF1045" s="33"/>
      <c r="CG1045" s="33"/>
      <c r="CH1045" s="33"/>
      <c r="CI1045" s="33"/>
      <c r="CJ1045" s="33"/>
      <c r="CK1045" s="33"/>
      <c r="CL1045" s="33"/>
      <c r="CM1045" s="33"/>
      <c r="CN1045" s="33"/>
      <c r="CO1045" s="33"/>
      <c r="CP1045" s="33"/>
      <c r="CQ1045" s="33"/>
      <c r="CR1045" s="33"/>
      <c r="CS1045" s="33"/>
      <c r="CT1045" s="33"/>
      <c r="CU1045" s="33"/>
      <c r="CV1045" s="33"/>
      <c r="CW1045" s="33"/>
      <c r="CX1045" s="33"/>
      <c r="CY1045" s="33"/>
      <c r="CZ1045" s="33"/>
      <c r="DA1045" s="33"/>
      <c r="DB1045" s="33"/>
      <c r="DC1045" s="33"/>
      <c r="DD1045" s="33"/>
      <c r="DE1045" s="33"/>
      <c r="DF1045" s="33"/>
      <c r="DG1045" s="33"/>
      <c r="DH1045" s="33"/>
      <c r="DI1045" s="33"/>
      <c r="DJ1045" s="33"/>
      <c r="DK1045" s="33"/>
      <c r="DL1045" s="33"/>
      <c r="DM1045" s="33"/>
      <c r="DN1045" s="33"/>
      <c r="DO1045" s="33"/>
      <c r="DP1045" s="33"/>
      <c r="DQ1045" s="33"/>
      <c r="DR1045" s="33"/>
      <c r="DS1045" s="33"/>
      <c r="DT1045" s="33"/>
      <c r="DU1045" s="33"/>
      <c r="DV1045" s="33"/>
      <c r="DW1045" s="33"/>
      <c r="DX1045" s="33"/>
      <c r="DY1045" s="33"/>
      <c r="DZ1045" s="33"/>
      <c r="EA1045" s="33"/>
      <c r="EB1045" s="33"/>
      <c r="EC1045" s="33"/>
      <c r="ED1045" s="33"/>
      <c r="EE1045" s="33"/>
      <c r="EF1045" s="33"/>
      <c r="EG1045" s="33"/>
      <c r="EH1045" s="33"/>
      <c r="EI1045" s="33"/>
      <c r="EJ1045" s="33"/>
      <c r="EK1045" s="33"/>
      <c r="EL1045" s="33"/>
      <c r="EM1045" s="33"/>
      <c r="EN1045" s="33"/>
      <c r="EO1045" s="33"/>
      <c r="EP1045" s="33"/>
      <c r="EQ1045" s="33"/>
      <c r="ER1045" s="33"/>
      <c r="ES1045" s="33"/>
    </row>
    <row r="1046">
      <c r="A1046" s="33"/>
      <c r="B1046" s="33"/>
      <c r="C1046" s="33"/>
      <c r="D1046" s="33"/>
      <c r="E1046" s="33"/>
      <c r="F1046" s="33"/>
      <c r="G1046" s="85"/>
      <c r="H1046" s="85"/>
      <c r="I1046" s="33"/>
      <c r="J1046" s="33"/>
      <c r="K1046" s="33"/>
      <c r="L1046" s="33"/>
      <c r="M1046" s="33"/>
      <c r="N1046" s="33"/>
      <c r="O1046" s="33"/>
      <c r="P1046" s="33"/>
      <c r="Q1046" s="33"/>
      <c r="R1046" s="33"/>
      <c r="S1046" s="33"/>
      <c r="T1046" s="33"/>
      <c r="U1046" s="33"/>
      <c r="V1046" s="33"/>
      <c r="W1046" s="33"/>
      <c r="X1046" s="33"/>
      <c r="Y1046" s="33"/>
      <c r="Z1046" s="33"/>
      <c r="AA1046" s="33"/>
      <c r="AB1046" s="33"/>
      <c r="AC1046" s="33"/>
      <c r="AD1046" s="33"/>
      <c r="AE1046" s="33"/>
      <c r="AF1046" s="33"/>
      <c r="AG1046" s="33"/>
      <c r="AH1046" s="33"/>
      <c r="AI1046" s="33"/>
      <c r="AJ1046" s="33"/>
      <c r="AK1046" s="33"/>
      <c r="AL1046" s="33"/>
      <c r="AM1046" s="33"/>
      <c r="AN1046" s="33"/>
      <c r="AO1046" s="33"/>
      <c r="AP1046" s="33"/>
      <c r="AQ1046" s="33"/>
      <c r="AR1046" s="33"/>
      <c r="AS1046" s="33"/>
      <c r="AT1046" s="33"/>
      <c r="AU1046" s="33"/>
      <c r="AV1046" s="33"/>
      <c r="AW1046" s="33"/>
      <c r="AX1046" s="33"/>
      <c r="AY1046" s="33"/>
      <c r="AZ1046" s="33"/>
      <c r="BA1046" s="33"/>
      <c r="BB1046" s="33"/>
      <c r="BC1046" s="33"/>
      <c r="BD1046" s="33"/>
      <c r="BE1046" s="33"/>
      <c r="BF1046" s="33"/>
      <c r="BG1046" s="33"/>
      <c r="BH1046" s="33"/>
      <c r="BI1046" s="33"/>
      <c r="BJ1046" s="33"/>
      <c r="BK1046" s="33"/>
      <c r="BL1046" s="33"/>
      <c r="BM1046" s="33"/>
      <c r="BN1046" s="33"/>
      <c r="BO1046" s="33"/>
      <c r="BP1046" s="33"/>
      <c r="BQ1046" s="33"/>
      <c r="BR1046" s="33"/>
      <c r="BS1046" s="33"/>
      <c r="BT1046" s="33"/>
      <c r="BU1046" s="33"/>
      <c r="BV1046" s="33"/>
      <c r="BW1046" s="33"/>
      <c r="BX1046" s="33"/>
      <c r="BY1046" s="33"/>
      <c r="BZ1046" s="33"/>
      <c r="CA1046" s="33"/>
      <c r="CB1046" s="33"/>
      <c r="CC1046" s="33"/>
      <c r="CD1046" s="33"/>
      <c r="CE1046" s="33"/>
      <c r="CF1046" s="33"/>
      <c r="CG1046" s="33"/>
      <c r="CH1046" s="33"/>
      <c r="CI1046" s="33"/>
      <c r="CJ1046" s="33"/>
      <c r="CK1046" s="33"/>
      <c r="CL1046" s="33"/>
      <c r="CM1046" s="33"/>
      <c r="CN1046" s="33"/>
      <c r="CO1046" s="33"/>
      <c r="CP1046" s="33"/>
      <c r="CQ1046" s="33"/>
      <c r="CR1046" s="33"/>
      <c r="CS1046" s="33"/>
      <c r="CT1046" s="33"/>
      <c r="CU1046" s="33"/>
      <c r="CV1046" s="33"/>
      <c r="CW1046" s="33"/>
      <c r="CX1046" s="33"/>
      <c r="CY1046" s="33"/>
      <c r="CZ1046" s="33"/>
      <c r="DA1046" s="33"/>
      <c r="DB1046" s="33"/>
      <c r="DC1046" s="33"/>
      <c r="DD1046" s="33"/>
      <c r="DE1046" s="33"/>
      <c r="DF1046" s="33"/>
      <c r="DG1046" s="33"/>
      <c r="DH1046" s="33"/>
      <c r="DI1046" s="33"/>
      <c r="DJ1046" s="33"/>
      <c r="DK1046" s="33"/>
      <c r="DL1046" s="33"/>
      <c r="DM1046" s="33"/>
      <c r="DN1046" s="33"/>
      <c r="DO1046" s="33"/>
      <c r="DP1046" s="33"/>
      <c r="DQ1046" s="33"/>
      <c r="DR1046" s="33"/>
      <c r="DS1046" s="33"/>
      <c r="DT1046" s="33"/>
      <c r="DU1046" s="33"/>
      <c r="DV1046" s="33"/>
      <c r="DW1046" s="33"/>
      <c r="DX1046" s="33"/>
      <c r="DY1046" s="33"/>
      <c r="DZ1046" s="33"/>
      <c r="EA1046" s="33"/>
      <c r="EB1046" s="33"/>
      <c r="EC1046" s="33"/>
      <c r="ED1046" s="33"/>
      <c r="EE1046" s="33"/>
      <c r="EF1046" s="33"/>
      <c r="EG1046" s="33"/>
      <c r="EH1046" s="33"/>
      <c r="EI1046" s="33"/>
      <c r="EJ1046" s="33"/>
      <c r="EK1046" s="33"/>
      <c r="EL1046" s="33"/>
      <c r="EM1046" s="33"/>
      <c r="EN1046" s="33"/>
      <c r="EO1046" s="33"/>
      <c r="EP1046" s="33"/>
      <c r="EQ1046" s="33"/>
      <c r="ER1046" s="33"/>
      <c r="ES1046" s="33"/>
    </row>
    <row r="1047">
      <c r="A1047" s="33"/>
      <c r="B1047" s="33"/>
      <c r="C1047" s="33"/>
      <c r="D1047" s="33"/>
      <c r="E1047" s="33"/>
      <c r="F1047" s="33"/>
      <c r="G1047" s="85"/>
      <c r="H1047" s="85"/>
      <c r="I1047" s="33"/>
      <c r="J1047" s="33"/>
      <c r="K1047" s="33"/>
      <c r="L1047" s="33"/>
      <c r="M1047" s="33"/>
      <c r="N1047" s="33"/>
      <c r="O1047" s="33"/>
      <c r="P1047" s="33"/>
      <c r="Q1047" s="33"/>
      <c r="R1047" s="33"/>
      <c r="S1047" s="33"/>
      <c r="T1047" s="33"/>
      <c r="U1047" s="33"/>
      <c r="V1047" s="33"/>
      <c r="W1047" s="33"/>
      <c r="X1047" s="33"/>
      <c r="Y1047" s="33"/>
      <c r="Z1047" s="33"/>
      <c r="AA1047" s="33"/>
      <c r="AB1047" s="33"/>
      <c r="AC1047" s="33"/>
      <c r="AD1047" s="33"/>
      <c r="AE1047" s="33"/>
      <c r="AF1047" s="33"/>
      <c r="AG1047" s="33"/>
      <c r="AH1047" s="33"/>
      <c r="AI1047" s="33"/>
      <c r="AJ1047" s="33"/>
      <c r="AK1047" s="33"/>
      <c r="AL1047" s="33"/>
      <c r="AM1047" s="33"/>
      <c r="AN1047" s="33"/>
      <c r="AO1047" s="33"/>
      <c r="AP1047" s="33"/>
      <c r="AQ1047" s="33"/>
      <c r="AR1047" s="33"/>
      <c r="AS1047" s="33"/>
      <c r="AT1047" s="33"/>
      <c r="AU1047" s="33"/>
      <c r="AV1047" s="33"/>
      <c r="AW1047" s="33"/>
      <c r="AX1047" s="33"/>
      <c r="AY1047" s="33"/>
      <c r="AZ1047" s="33"/>
      <c r="BA1047" s="33"/>
      <c r="BB1047" s="33"/>
      <c r="BC1047" s="33"/>
      <c r="BD1047" s="33"/>
      <c r="BE1047" s="33"/>
      <c r="BF1047" s="33"/>
      <c r="BG1047" s="33"/>
      <c r="BH1047" s="33"/>
      <c r="BI1047" s="33"/>
      <c r="BJ1047" s="33"/>
      <c r="BK1047" s="33"/>
      <c r="BL1047" s="33"/>
      <c r="BM1047" s="33"/>
      <c r="BN1047" s="33"/>
      <c r="BO1047" s="33"/>
      <c r="BP1047" s="33"/>
      <c r="BQ1047" s="33"/>
      <c r="BR1047" s="33"/>
      <c r="BS1047" s="33"/>
      <c r="BT1047" s="33"/>
      <c r="BU1047" s="33"/>
      <c r="BV1047" s="33"/>
      <c r="BW1047" s="33"/>
      <c r="BX1047" s="33"/>
      <c r="BY1047" s="33"/>
      <c r="BZ1047" s="33"/>
      <c r="CA1047" s="33"/>
      <c r="CB1047" s="33"/>
      <c r="CC1047" s="33"/>
      <c r="CD1047" s="33"/>
      <c r="CE1047" s="33"/>
      <c r="CF1047" s="33"/>
      <c r="CG1047" s="33"/>
      <c r="CH1047" s="33"/>
      <c r="CI1047" s="33"/>
      <c r="CJ1047" s="33"/>
      <c r="CK1047" s="33"/>
      <c r="CL1047" s="33"/>
      <c r="CM1047" s="33"/>
      <c r="CN1047" s="33"/>
      <c r="CO1047" s="33"/>
      <c r="CP1047" s="33"/>
      <c r="CQ1047" s="33"/>
      <c r="CR1047" s="33"/>
      <c r="CS1047" s="33"/>
      <c r="CT1047" s="33"/>
      <c r="CU1047" s="33"/>
      <c r="CV1047" s="33"/>
      <c r="CW1047" s="33"/>
      <c r="CX1047" s="33"/>
      <c r="CY1047" s="33"/>
      <c r="CZ1047" s="33"/>
      <c r="DA1047" s="33"/>
      <c r="DB1047" s="33"/>
      <c r="DC1047" s="33"/>
      <c r="DD1047" s="33"/>
      <c r="DE1047" s="33"/>
      <c r="DF1047" s="33"/>
      <c r="DG1047" s="33"/>
      <c r="DH1047" s="33"/>
      <c r="DI1047" s="33"/>
      <c r="DJ1047" s="33"/>
      <c r="DK1047" s="33"/>
      <c r="DL1047" s="33"/>
      <c r="DM1047" s="33"/>
      <c r="DN1047" s="33"/>
      <c r="DO1047" s="33"/>
      <c r="DP1047" s="33"/>
      <c r="DQ1047" s="33"/>
      <c r="DR1047" s="33"/>
      <c r="DS1047" s="33"/>
      <c r="DT1047" s="33"/>
      <c r="DU1047" s="33"/>
      <c r="DV1047" s="33"/>
      <c r="DW1047" s="33"/>
      <c r="DX1047" s="33"/>
      <c r="DY1047" s="33"/>
      <c r="DZ1047" s="33"/>
      <c r="EA1047" s="33"/>
      <c r="EB1047" s="33"/>
      <c r="EC1047" s="33"/>
      <c r="ED1047" s="33"/>
      <c r="EE1047" s="33"/>
      <c r="EF1047" s="33"/>
      <c r="EG1047" s="33"/>
      <c r="EH1047" s="33"/>
      <c r="EI1047" s="33"/>
      <c r="EJ1047" s="33"/>
      <c r="EK1047" s="33"/>
      <c r="EL1047" s="33"/>
      <c r="EM1047" s="33"/>
      <c r="EN1047" s="33"/>
      <c r="EO1047" s="33"/>
      <c r="EP1047" s="33"/>
      <c r="EQ1047" s="33"/>
      <c r="ER1047" s="33"/>
      <c r="ES1047" s="33"/>
    </row>
    <row r="1048">
      <c r="A1048" s="33"/>
      <c r="B1048" s="33"/>
      <c r="C1048" s="33"/>
      <c r="D1048" s="33"/>
      <c r="E1048" s="33"/>
      <c r="F1048" s="33"/>
      <c r="G1048" s="85"/>
      <c r="H1048" s="85"/>
      <c r="I1048" s="33"/>
      <c r="J1048" s="33"/>
      <c r="K1048" s="33"/>
      <c r="L1048" s="33"/>
      <c r="M1048" s="33"/>
      <c r="N1048" s="33"/>
      <c r="O1048" s="33"/>
      <c r="P1048" s="33"/>
      <c r="Q1048" s="33"/>
      <c r="R1048" s="33"/>
      <c r="S1048" s="33"/>
      <c r="T1048" s="33"/>
      <c r="U1048" s="33"/>
      <c r="V1048" s="33"/>
      <c r="W1048" s="33"/>
      <c r="X1048" s="33"/>
      <c r="Y1048" s="33"/>
      <c r="Z1048" s="33"/>
      <c r="AA1048" s="33"/>
      <c r="AB1048" s="33"/>
      <c r="AC1048" s="33"/>
      <c r="AD1048" s="33"/>
      <c r="AE1048" s="33"/>
      <c r="AF1048" s="33"/>
      <c r="AG1048" s="33"/>
      <c r="AH1048" s="33"/>
      <c r="AI1048" s="33"/>
      <c r="AJ1048" s="33"/>
      <c r="AK1048" s="33"/>
      <c r="AL1048" s="33"/>
      <c r="AM1048" s="33"/>
      <c r="AN1048" s="33"/>
      <c r="AO1048" s="33"/>
      <c r="AP1048" s="33"/>
      <c r="AQ1048" s="33"/>
      <c r="AR1048" s="33"/>
      <c r="AS1048" s="33"/>
      <c r="AT1048" s="33"/>
      <c r="AU1048" s="33"/>
      <c r="AV1048" s="33"/>
      <c r="AW1048" s="33"/>
      <c r="AX1048" s="33"/>
      <c r="AY1048" s="33"/>
      <c r="AZ1048" s="33"/>
      <c r="BA1048" s="33"/>
      <c r="BB1048" s="33"/>
      <c r="BC1048" s="33"/>
      <c r="BD1048" s="33"/>
      <c r="BE1048" s="33"/>
      <c r="BF1048" s="33"/>
      <c r="BG1048" s="33"/>
      <c r="BH1048" s="33"/>
      <c r="BI1048" s="33"/>
      <c r="BJ1048" s="33"/>
      <c r="BK1048" s="33"/>
      <c r="BL1048" s="33"/>
      <c r="BM1048" s="33"/>
      <c r="BN1048" s="33"/>
      <c r="BO1048" s="33"/>
      <c r="BP1048" s="33"/>
      <c r="BQ1048" s="33"/>
      <c r="BR1048" s="33"/>
      <c r="BS1048" s="33"/>
      <c r="BT1048" s="33"/>
      <c r="BU1048" s="33"/>
      <c r="BV1048" s="33"/>
      <c r="BW1048" s="33"/>
      <c r="BX1048" s="33"/>
      <c r="BY1048" s="33"/>
      <c r="BZ1048" s="33"/>
      <c r="CA1048" s="33"/>
      <c r="CB1048" s="33"/>
      <c r="CC1048" s="33"/>
      <c r="CD1048" s="33"/>
      <c r="CE1048" s="33"/>
      <c r="CF1048" s="33"/>
      <c r="CG1048" s="33"/>
      <c r="CH1048" s="33"/>
      <c r="CI1048" s="33"/>
      <c r="CJ1048" s="33"/>
      <c r="CK1048" s="33"/>
      <c r="CL1048" s="33"/>
      <c r="CM1048" s="33"/>
      <c r="CN1048" s="33"/>
      <c r="CO1048" s="33"/>
      <c r="CP1048" s="33"/>
      <c r="CQ1048" s="33"/>
      <c r="CR1048" s="33"/>
      <c r="CS1048" s="33"/>
      <c r="CT1048" s="33"/>
      <c r="CU1048" s="33"/>
      <c r="CV1048" s="33"/>
      <c r="CW1048" s="33"/>
      <c r="CX1048" s="33"/>
      <c r="CY1048" s="33"/>
      <c r="CZ1048" s="33"/>
      <c r="DA1048" s="33"/>
      <c r="DB1048" s="33"/>
      <c r="DC1048" s="33"/>
      <c r="DD1048" s="33"/>
      <c r="DE1048" s="33"/>
      <c r="DF1048" s="33"/>
      <c r="DG1048" s="33"/>
      <c r="DH1048" s="33"/>
      <c r="DI1048" s="33"/>
      <c r="DJ1048" s="33"/>
      <c r="DK1048" s="33"/>
      <c r="DL1048" s="33"/>
      <c r="DM1048" s="33"/>
      <c r="DN1048" s="33"/>
      <c r="DO1048" s="33"/>
      <c r="DP1048" s="33"/>
      <c r="DQ1048" s="33"/>
      <c r="DR1048" s="33"/>
      <c r="DS1048" s="33"/>
      <c r="DT1048" s="33"/>
      <c r="DU1048" s="33"/>
      <c r="DV1048" s="33"/>
      <c r="DW1048" s="33"/>
      <c r="DX1048" s="33"/>
      <c r="DY1048" s="33"/>
      <c r="DZ1048" s="33"/>
      <c r="EA1048" s="33"/>
      <c r="EB1048" s="33"/>
      <c r="EC1048" s="33"/>
      <c r="ED1048" s="33"/>
      <c r="EE1048" s="33"/>
      <c r="EF1048" s="33"/>
      <c r="EG1048" s="33"/>
      <c r="EH1048" s="33"/>
      <c r="EI1048" s="33"/>
      <c r="EJ1048" s="33"/>
      <c r="EK1048" s="33"/>
      <c r="EL1048" s="33"/>
      <c r="EM1048" s="33"/>
      <c r="EN1048" s="33"/>
      <c r="EO1048" s="33"/>
      <c r="EP1048" s="33"/>
      <c r="EQ1048" s="33"/>
      <c r="ER1048" s="33"/>
      <c r="ES1048" s="33"/>
    </row>
    <row r="1049">
      <c r="A1049" s="33"/>
      <c r="B1049" s="33"/>
      <c r="C1049" s="33"/>
      <c r="D1049" s="33"/>
      <c r="E1049" s="33"/>
      <c r="F1049" s="33"/>
      <c r="G1049" s="85"/>
      <c r="H1049" s="85"/>
      <c r="I1049" s="33"/>
      <c r="J1049" s="33"/>
      <c r="K1049" s="33"/>
      <c r="L1049" s="33"/>
      <c r="M1049" s="33"/>
      <c r="N1049" s="33"/>
      <c r="O1049" s="33"/>
      <c r="P1049" s="33"/>
      <c r="Q1049" s="33"/>
      <c r="R1049" s="33"/>
      <c r="S1049" s="33"/>
      <c r="T1049" s="33"/>
      <c r="U1049" s="33"/>
      <c r="V1049" s="33"/>
      <c r="W1049" s="33"/>
      <c r="X1049" s="33"/>
      <c r="Y1049" s="33"/>
      <c r="Z1049" s="33"/>
      <c r="AA1049" s="33"/>
      <c r="AB1049" s="33"/>
      <c r="AC1049" s="33"/>
      <c r="AD1049" s="33"/>
      <c r="AE1049" s="33"/>
      <c r="AF1049" s="33"/>
      <c r="AG1049" s="33"/>
      <c r="AH1049" s="33"/>
      <c r="AI1049" s="33"/>
      <c r="AJ1049" s="33"/>
      <c r="AK1049" s="33"/>
      <c r="AL1049" s="33"/>
      <c r="AM1049" s="33"/>
      <c r="AN1049" s="33"/>
      <c r="AO1049" s="33"/>
      <c r="AP1049" s="33"/>
      <c r="AQ1049" s="33"/>
      <c r="AR1049" s="33"/>
      <c r="AS1049" s="33"/>
      <c r="AT1049" s="33"/>
      <c r="AU1049" s="33"/>
      <c r="AV1049" s="33"/>
      <c r="AW1049" s="33"/>
      <c r="AX1049" s="33"/>
      <c r="AY1049" s="33"/>
      <c r="AZ1049" s="33"/>
      <c r="BA1049" s="33"/>
      <c r="BB1049" s="33"/>
      <c r="BC1049" s="33"/>
      <c r="BD1049" s="33"/>
      <c r="BE1049" s="33"/>
      <c r="BF1049" s="33"/>
      <c r="BG1049" s="33"/>
      <c r="BH1049" s="33"/>
      <c r="BI1049" s="33"/>
      <c r="BJ1049" s="33"/>
      <c r="BK1049" s="33"/>
      <c r="BL1049" s="33"/>
      <c r="BM1049" s="33"/>
      <c r="BN1049" s="33"/>
      <c r="BO1049" s="33"/>
      <c r="BP1049" s="33"/>
      <c r="BQ1049" s="33"/>
      <c r="BR1049" s="33"/>
      <c r="BS1049" s="33"/>
      <c r="BT1049" s="33"/>
      <c r="BU1049" s="33"/>
      <c r="BV1049" s="33"/>
      <c r="BW1049" s="33"/>
      <c r="BX1049" s="33"/>
      <c r="BY1049" s="33"/>
      <c r="BZ1049" s="33"/>
      <c r="CA1049" s="33"/>
      <c r="CB1049" s="33"/>
      <c r="CC1049" s="33"/>
      <c r="CD1049" s="33"/>
      <c r="CE1049" s="33"/>
      <c r="CF1049" s="33"/>
      <c r="CG1049" s="33"/>
      <c r="CH1049" s="33"/>
      <c r="CI1049" s="33"/>
      <c r="CJ1049" s="33"/>
      <c r="CK1049" s="33"/>
      <c r="CL1049" s="33"/>
      <c r="CM1049" s="33"/>
      <c r="CN1049" s="33"/>
      <c r="CO1049" s="33"/>
      <c r="CP1049" s="33"/>
      <c r="CQ1049" s="33"/>
      <c r="CR1049" s="33"/>
      <c r="CS1049" s="33"/>
      <c r="CT1049" s="33"/>
      <c r="CU1049" s="33"/>
      <c r="CV1049" s="33"/>
      <c r="CW1049" s="33"/>
      <c r="CX1049" s="33"/>
      <c r="CY1049" s="33"/>
      <c r="CZ1049" s="33"/>
      <c r="DA1049" s="33"/>
      <c r="DB1049" s="33"/>
      <c r="DC1049" s="33"/>
      <c r="DD1049" s="33"/>
      <c r="DE1049" s="33"/>
      <c r="DF1049" s="33"/>
      <c r="DG1049" s="33"/>
      <c r="DH1049" s="33"/>
      <c r="DI1049" s="33"/>
      <c r="DJ1049" s="33"/>
      <c r="DK1049" s="33"/>
      <c r="DL1049" s="33"/>
      <c r="DM1049" s="33"/>
      <c r="DN1049" s="33"/>
      <c r="DO1049" s="33"/>
      <c r="DP1049" s="33"/>
      <c r="DQ1049" s="33"/>
      <c r="DR1049" s="33"/>
      <c r="DS1049" s="33"/>
      <c r="DT1049" s="33"/>
      <c r="DU1049" s="33"/>
      <c r="DV1049" s="33"/>
      <c r="DW1049" s="33"/>
      <c r="DX1049" s="33"/>
      <c r="DY1049" s="33"/>
      <c r="DZ1049" s="33"/>
      <c r="EA1049" s="33"/>
      <c r="EB1049" s="33"/>
      <c r="EC1049" s="33"/>
      <c r="ED1049" s="33"/>
      <c r="EE1049" s="33"/>
      <c r="EF1049" s="33"/>
      <c r="EG1049" s="33"/>
      <c r="EH1049" s="33"/>
      <c r="EI1049" s="33"/>
      <c r="EJ1049" s="33"/>
      <c r="EK1049" s="33"/>
      <c r="EL1049" s="33"/>
      <c r="EM1049" s="33"/>
      <c r="EN1049" s="33"/>
      <c r="EO1049" s="33"/>
      <c r="EP1049" s="33"/>
      <c r="EQ1049" s="33"/>
      <c r="ER1049" s="33"/>
      <c r="ES1049" s="33"/>
    </row>
    <row r="1050">
      <c r="A1050" s="33"/>
      <c r="B1050" s="33"/>
      <c r="C1050" s="33"/>
      <c r="D1050" s="33"/>
      <c r="E1050" s="33"/>
      <c r="F1050" s="33"/>
      <c r="G1050" s="85"/>
      <c r="H1050" s="85"/>
      <c r="I1050" s="33"/>
      <c r="J1050" s="33"/>
      <c r="K1050" s="33"/>
      <c r="L1050" s="33"/>
      <c r="M1050" s="33"/>
      <c r="N1050" s="33"/>
      <c r="O1050" s="33"/>
      <c r="P1050" s="33"/>
      <c r="Q1050" s="33"/>
      <c r="R1050" s="33"/>
      <c r="S1050" s="33"/>
      <c r="T1050" s="33"/>
      <c r="U1050" s="33"/>
      <c r="V1050" s="33"/>
      <c r="W1050" s="33"/>
      <c r="X1050" s="33"/>
      <c r="Y1050" s="33"/>
      <c r="Z1050" s="33"/>
      <c r="AA1050" s="33"/>
      <c r="AB1050" s="33"/>
      <c r="AC1050" s="33"/>
      <c r="AD1050" s="33"/>
      <c r="AE1050" s="33"/>
      <c r="AF1050" s="33"/>
      <c r="AG1050" s="33"/>
      <c r="AH1050" s="33"/>
      <c r="AI1050" s="33"/>
      <c r="AJ1050" s="33"/>
      <c r="AK1050" s="33"/>
      <c r="AL1050" s="33"/>
      <c r="AM1050" s="33"/>
      <c r="AN1050" s="33"/>
      <c r="AO1050" s="33"/>
      <c r="AP1050" s="33"/>
      <c r="AQ1050" s="33"/>
      <c r="AR1050" s="33"/>
      <c r="AS1050" s="33"/>
      <c r="AT1050" s="33"/>
      <c r="AU1050" s="33"/>
      <c r="AV1050" s="33"/>
      <c r="AW1050" s="33"/>
      <c r="AX1050" s="33"/>
      <c r="AY1050" s="33"/>
      <c r="AZ1050" s="33"/>
      <c r="BA1050" s="33"/>
      <c r="BB1050" s="33"/>
      <c r="BC1050" s="33"/>
      <c r="BD1050" s="33"/>
      <c r="BE1050" s="33"/>
      <c r="BF1050" s="33"/>
      <c r="BG1050" s="33"/>
      <c r="BH1050" s="33"/>
      <c r="BI1050" s="33"/>
      <c r="BJ1050" s="33"/>
      <c r="BK1050" s="33"/>
      <c r="BL1050" s="33"/>
      <c r="BM1050" s="33"/>
      <c r="BN1050" s="33"/>
      <c r="BO1050" s="33"/>
      <c r="BP1050" s="33"/>
      <c r="BQ1050" s="33"/>
      <c r="BR1050" s="33"/>
      <c r="BS1050" s="33"/>
      <c r="BT1050" s="33"/>
      <c r="BU1050" s="33"/>
      <c r="BV1050" s="33"/>
      <c r="BW1050" s="33"/>
      <c r="BX1050" s="33"/>
      <c r="BY1050" s="33"/>
      <c r="BZ1050" s="33"/>
      <c r="CA1050" s="33"/>
      <c r="CB1050" s="33"/>
      <c r="CC1050" s="33"/>
      <c r="CD1050" s="33"/>
      <c r="CE1050" s="33"/>
      <c r="CF1050" s="33"/>
      <c r="CG1050" s="33"/>
      <c r="CH1050" s="33"/>
      <c r="CI1050" s="33"/>
      <c r="CJ1050" s="33"/>
      <c r="CK1050" s="33"/>
      <c r="CL1050" s="33"/>
      <c r="CM1050" s="33"/>
      <c r="CN1050" s="33"/>
      <c r="CO1050" s="33"/>
      <c r="CP1050" s="33"/>
      <c r="CQ1050" s="33"/>
      <c r="CR1050" s="33"/>
      <c r="CS1050" s="33"/>
      <c r="CT1050" s="33"/>
      <c r="CU1050" s="33"/>
      <c r="CV1050" s="33"/>
      <c r="CW1050" s="33"/>
      <c r="CX1050" s="33"/>
      <c r="CY1050" s="33"/>
      <c r="CZ1050" s="33"/>
      <c r="DA1050" s="33"/>
      <c r="DB1050" s="33"/>
      <c r="DC1050" s="33"/>
      <c r="DD1050" s="33"/>
      <c r="DE1050" s="33"/>
      <c r="DF1050" s="33"/>
      <c r="DG1050" s="33"/>
      <c r="DH1050" s="33"/>
      <c r="DI1050" s="33"/>
      <c r="DJ1050" s="33"/>
      <c r="DK1050" s="33"/>
      <c r="DL1050" s="33"/>
      <c r="DM1050" s="33"/>
      <c r="DN1050" s="33"/>
      <c r="DO1050" s="33"/>
      <c r="DP1050" s="33"/>
      <c r="DQ1050" s="33"/>
      <c r="DR1050" s="33"/>
      <c r="DS1050" s="33"/>
      <c r="DT1050" s="33"/>
      <c r="DU1050" s="33"/>
      <c r="DV1050" s="33"/>
      <c r="DW1050" s="33"/>
      <c r="DX1050" s="33"/>
      <c r="DY1050" s="33"/>
      <c r="DZ1050" s="33"/>
      <c r="EA1050" s="33"/>
      <c r="EB1050" s="33"/>
      <c r="EC1050" s="33"/>
      <c r="ED1050" s="33"/>
      <c r="EE1050" s="33"/>
      <c r="EF1050" s="33"/>
      <c r="EG1050" s="33"/>
      <c r="EH1050" s="33"/>
      <c r="EI1050" s="33"/>
      <c r="EJ1050" s="33"/>
      <c r="EK1050" s="33"/>
      <c r="EL1050" s="33"/>
      <c r="EM1050" s="33"/>
      <c r="EN1050" s="33"/>
      <c r="EO1050" s="33"/>
      <c r="EP1050" s="33"/>
      <c r="EQ1050" s="33"/>
      <c r="ER1050" s="33"/>
      <c r="ES1050" s="33"/>
    </row>
  </sheetData>
  <mergeCells count="14">
    <mergeCell ref="B7:B8"/>
    <mergeCell ref="C7:C8"/>
    <mergeCell ref="D7:D8"/>
    <mergeCell ref="E7:E8"/>
    <mergeCell ref="F7:F8"/>
    <mergeCell ref="G7:G8"/>
    <mergeCell ref="H7:H8"/>
    <mergeCell ref="AD1:AL2"/>
    <mergeCell ref="B3:C3"/>
    <mergeCell ref="D3:G3"/>
    <mergeCell ref="B4:C4"/>
    <mergeCell ref="D4:G4"/>
    <mergeCell ref="B5:C5"/>
    <mergeCell ref="D5:G5"/>
  </mergeCells>
  <conditionalFormatting sqref="H10:H80">
    <cfRule type="colorScale" priority="1">
      <colorScale>
        <cfvo type="min"/>
        <cfvo type="max"/>
        <color rgb="FFFFFFFF"/>
        <color rgb="FF57BB8A"/>
      </colorScale>
    </cfRule>
  </conditionalFormatting>
  <conditionalFormatting sqref="H10:H80">
    <cfRule type="colorScale" priority="2">
      <colorScale>
        <cfvo type="min"/>
        <cfvo type="max"/>
        <color rgb="FF57BB8A"/>
        <color rgb="FFFFFFFF"/>
      </colorScale>
    </cfRule>
  </conditionalFormatting>
  <conditionalFormatting sqref="I9:CF1050 CG9:ES80">
    <cfRule type="cellIs" dxfId="6" priority="3" operator="equal">
      <formula>"x"</formula>
    </cfRule>
  </conditionalFormatting>
  <conditionalFormatting sqref="I6:ES6">
    <cfRule type="timePeriod" dxfId="7" priority="4" timePeriod="today"/>
  </conditionalFormatting>
  <conditionalFormatting sqref="E9:G80">
    <cfRule type="expression" dxfId="8" priority="5">
      <formula>isformula(E9:G1050)</formula>
    </cfRule>
  </conditionalFormatting>
  <hyperlinks>
    <hyperlink r:id="rId4" ref="J1"/>
  </hyperlinks>
  <printOptions gridLines="1" horizontalCentered="1"/>
  <pageMargins bottom="0.75" footer="0.0" header="0.0" left="0.7" right="0.7" top="0.75"/>
  <pageSetup fitToWidth="0" cellComments="atEnd" orientation="landscape" pageOrder="overThenDown"/>
  <drawing r:id="rId5"/>
  <legacy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5200C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6.13"/>
    <col customWidth="1" min="3" max="3" width="22.0"/>
    <col customWidth="1" min="4" max="4" width="28.88"/>
    <col customWidth="1" min="5" max="5" width="45.38"/>
  </cols>
  <sheetData>
    <row r="1">
      <c r="A1" s="86" t="s">
        <v>181</v>
      </c>
      <c r="B1" s="86" t="s">
        <v>7</v>
      </c>
      <c r="C1" s="86" t="s">
        <v>40</v>
      </c>
      <c r="D1" s="86" t="s">
        <v>182</v>
      </c>
      <c r="E1" s="86" t="s">
        <v>183</v>
      </c>
      <c r="F1" s="87" t="s">
        <v>184</v>
      </c>
      <c r="G1" s="87" t="s">
        <v>185</v>
      </c>
      <c r="H1" s="88" t="s">
        <v>186</v>
      </c>
    </row>
    <row r="2">
      <c r="A2" s="89" t="s">
        <v>187</v>
      </c>
      <c r="B2" s="90" t="s">
        <v>188</v>
      </c>
      <c r="C2" s="90"/>
      <c r="D2" s="90"/>
      <c r="E2" s="90" t="s">
        <v>189</v>
      </c>
      <c r="F2" s="91"/>
      <c r="G2" s="91">
        <v>290000.0</v>
      </c>
      <c r="H2" s="91">
        <f>G2-F2</f>
        <v>290000</v>
      </c>
    </row>
    <row r="3">
      <c r="A3" s="89">
        <v>44995.0</v>
      </c>
      <c r="B3" s="90" t="s">
        <v>190</v>
      </c>
      <c r="C3" s="90" t="s">
        <v>12</v>
      </c>
      <c r="D3" s="90"/>
      <c r="E3" s="90" t="s">
        <v>191</v>
      </c>
      <c r="F3" s="91">
        <v>290000.0</v>
      </c>
      <c r="G3" s="91"/>
      <c r="H3" s="91">
        <f t="shared" ref="H3:H26" si="1">(G3-F3)+H2</f>
        <v>0</v>
      </c>
    </row>
    <row r="4">
      <c r="A4" s="89">
        <v>45044.0</v>
      </c>
      <c r="B4" s="90" t="s">
        <v>188</v>
      </c>
      <c r="C4" s="90"/>
      <c r="D4" s="90"/>
      <c r="E4" s="90" t="s">
        <v>192</v>
      </c>
      <c r="F4" s="91"/>
      <c r="G4" s="91">
        <v>50000.0</v>
      </c>
      <c r="H4" s="91">
        <f t="shared" si="1"/>
        <v>50000</v>
      </c>
    </row>
    <row r="5">
      <c r="A5" s="89">
        <v>45044.0</v>
      </c>
      <c r="B5" s="90" t="s">
        <v>193</v>
      </c>
      <c r="C5" s="90" t="s">
        <v>13</v>
      </c>
      <c r="D5" s="90" t="s">
        <v>194</v>
      </c>
      <c r="E5" s="92"/>
      <c r="F5" s="91">
        <v>750.0</v>
      </c>
      <c r="G5" s="91"/>
      <c r="H5" s="91">
        <f t="shared" si="1"/>
        <v>49250</v>
      </c>
    </row>
    <row r="6">
      <c r="A6" s="89">
        <v>45048.0</v>
      </c>
      <c r="B6" s="90" t="s">
        <v>195</v>
      </c>
      <c r="C6" s="90" t="s">
        <v>13</v>
      </c>
      <c r="D6" s="90" t="s">
        <v>196</v>
      </c>
      <c r="E6" s="90" t="s">
        <v>197</v>
      </c>
      <c r="F6" s="91">
        <v>20000.0</v>
      </c>
      <c r="G6" s="93"/>
      <c r="H6" s="91">
        <f t="shared" si="1"/>
        <v>29250</v>
      </c>
    </row>
    <row r="7">
      <c r="A7" s="89">
        <v>45058.0</v>
      </c>
      <c r="B7" s="90" t="s">
        <v>198</v>
      </c>
      <c r="C7" s="90" t="s">
        <v>13</v>
      </c>
      <c r="D7" s="90" t="s">
        <v>199</v>
      </c>
      <c r="E7" s="90" t="s">
        <v>200</v>
      </c>
      <c r="F7" s="91">
        <v>5000.0</v>
      </c>
      <c r="G7" s="93"/>
      <c r="H7" s="91">
        <f t="shared" si="1"/>
        <v>24250</v>
      </c>
    </row>
    <row r="8">
      <c r="A8" s="89">
        <v>45063.0</v>
      </c>
      <c r="B8" s="90" t="s">
        <v>190</v>
      </c>
      <c r="C8" s="90" t="s">
        <v>13</v>
      </c>
      <c r="D8" s="90" t="s">
        <v>201</v>
      </c>
      <c r="E8" s="90" t="s">
        <v>202</v>
      </c>
      <c r="F8" s="91">
        <v>1800.0</v>
      </c>
      <c r="G8" s="93"/>
      <c r="H8" s="91">
        <f t="shared" si="1"/>
        <v>22450</v>
      </c>
    </row>
    <row r="9">
      <c r="A9" s="89">
        <v>45064.0</v>
      </c>
      <c r="B9" s="90" t="s">
        <v>198</v>
      </c>
      <c r="C9" s="90" t="s">
        <v>13</v>
      </c>
      <c r="D9" s="90" t="s">
        <v>203</v>
      </c>
      <c r="E9" s="94"/>
      <c r="F9" s="91">
        <v>4500.0</v>
      </c>
      <c r="G9" s="93"/>
      <c r="H9" s="91">
        <f t="shared" si="1"/>
        <v>17950</v>
      </c>
    </row>
    <row r="10">
      <c r="A10" s="89">
        <v>45068.0</v>
      </c>
      <c r="B10" s="90" t="s">
        <v>198</v>
      </c>
      <c r="C10" s="90" t="s">
        <v>13</v>
      </c>
      <c r="D10" s="90" t="s">
        <v>204</v>
      </c>
      <c r="E10" s="94"/>
      <c r="F10" s="91">
        <v>613.0</v>
      </c>
      <c r="G10" s="93"/>
      <c r="H10" s="91">
        <f t="shared" si="1"/>
        <v>17337</v>
      </c>
    </row>
    <row r="11">
      <c r="A11" s="89">
        <v>45092.0</v>
      </c>
      <c r="B11" s="90" t="s">
        <v>198</v>
      </c>
      <c r="C11" s="90" t="s">
        <v>13</v>
      </c>
      <c r="D11" s="90" t="s">
        <v>204</v>
      </c>
      <c r="E11" s="90" t="s">
        <v>205</v>
      </c>
      <c r="F11" s="91">
        <v>375.0</v>
      </c>
      <c r="G11" s="93"/>
      <c r="H11" s="91">
        <f t="shared" si="1"/>
        <v>16962</v>
      </c>
    </row>
    <row r="12">
      <c r="A12" s="89">
        <v>45092.0</v>
      </c>
      <c r="B12" s="90" t="s">
        <v>198</v>
      </c>
      <c r="C12" s="90" t="s">
        <v>13</v>
      </c>
      <c r="D12" s="90" t="s">
        <v>204</v>
      </c>
      <c r="E12" s="90" t="s">
        <v>205</v>
      </c>
      <c r="F12" s="91">
        <v>375.0</v>
      </c>
      <c r="G12" s="93"/>
      <c r="H12" s="91">
        <f t="shared" si="1"/>
        <v>16587</v>
      </c>
    </row>
    <row r="13">
      <c r="A13" s="89">
        <v>45118.0</v>
      </c>
      <c r="B13" s="90" t="s">
        <v>198</v>
      </c>
      <c r="C13" s="90" t="s">
        <v>13</v>
      </c>
      <c r="D13" s="90" t="s">
        <v>206</v>
      </c>
      <c r="E13" s="90" t="s">
        <v>207</v>
      </c>
      <c r="F13" s="91">
        <v>1800.0</v>
      </c>
      <c r="G13" s="93"/>
      <c r="H13" s="91">
        <f t="shared" si="1"/>
        <v>14787</v>
      </c>
    </row>
    <row r="14">
      <c r="A14" s="89">
        <v>45125.0</v>
      </c>
      <c r="B14" s="90" t="s">
        <v>198</v>
      </c>
      <c r="C14" s="90" t="s">
        <v>13</v>
      </c>
      <c r="D14" s="90" t="s">
        <v>208</v>
      </c>
      <c r="E14" s="90" t="s">
        <v>209</v>
      </c>
      <c r="F14" s="91">
        <v>1080.0</v>
      </c>
      <c r="G14" s="93"/>
      <c r="H14" s="91">
        <f t="shared" si="1"/>
        <v>13707</v>
      </c>
    </row>
    <row r="15">
      <c r="A15" s="89">
        <v>45155.0</v>
      </c>
      <c r="B15" s="90" t="s">
        <v>198</v>
      </c>
      <c r="C15" s="90" t="s">
        <v>13</v>
      </c>
      <c r="D15" s="90" t="s">
        <v>199</v>
      </c>
      <c r="E15" s="90" t="s">
        <v>210</v>
      </c>
      <c r="F15" s="91">
        <v>350.0</v>
      </c>
      <c r="G15" s="93"/>
      <c r="H15" s="91">
        <f t="shared" si="1"/>
        <v>13357</v>
      </c>
    </row>
    <row r="16">
      <c r="A16" s="89">
        <v>45155.0</v>
      </c>
      <c r="B16" s="90" t="s">
        <v>198</v>
      </c>
      <c r="C16" s="90" t="s">
        <v>13</v>
      </c>
      <c r="D16" s="90" t="s">
        <v>211</v>
      </c>
      <c r="E16" s="90" t="s">
        <v>212</v>
      </c>
      <c r="F16" s="91">
        <v>622.99</v>
      </c>
      <c r="G16" s="93"/>
      <c r="H16" s="91">
        <f t="shared" si="1"/>
        <v>12734.01</v>
      </c>
    </row>
    <row r="17">
      <c r="A17" s="89">
        <v>45167.0</v>
      </c>
      <c r="B17" s="90" t="s">
        <v>188</v>
      </c>
      <c r="C17" s="94"/>
      <c r="D17" s="94"/>
      <c r="E17" s="90" t="s">
        <v>192</v>
      </c>
      <c r="F17" s="91"/>
      <c r="G17" s="91">
        <v>50000.0</v>
      </c>
      <c r="H17" s="91">
        <f t="shared" si="1"/>
        <v>62734.01</v>
      </c>
    </row>
    <row r="18">
      <c r="A18" s="89">
        <v>45167.0</v>
      </c>
      <c r="B18" s="90" t="s">
        <v>195</v>
      </c>
      <c r="C18" s="90" t="s">
        <v>13</v>
      </c>
      <c r="D18" s="90" t="s">
        <v>196</v>
      </c>
      <c r="E18" s="90" t="s">
        <v>213</v>
      </c>
      <c r="F18" s="91">
        <v>14427.0</v>
      </c>
      <c r="G18" s="93"/>
      <c r="H18" s="91">
        <f t="shared" si="1"/>
        <v>48307.01</v>
      </c>
    </row>
    <row r="19">
      <c r="A19" s="89">
        <v>45228.0</v>
      </c>
      <c r="B19" s="90" t="s">
        <v>198</v>
      </c>
      <c r="C19" s="90" t="s">
        <v>13</v>
      </c>
      <c r="D19" s="90" t="s">
        <v>214</v>
      </c>
      <c r="E19" s="90" t="s">
        <v>215</v>
      </c>
      <c r="F19" s="91">
        <v>16650.0</v>
      </c>
      <c r="G19" s="93"/>
      <c r="H19" s="91">
        <f t="shared" si="1"/>
        <v>31657.01</v>
      </c>
    </row>
    <row r="20">
      <c r="A20" s="89">
        <v>45299.0</v>
      </c>
      <c r="B20" s="90" t="s">
        <v>193</v>
      </c>
      <c r="C20" s="90" t="s">
        <v>13</v>
      </c>
      <c r="D20" s="90" t="s">
        <v>216</v>
      </c>
      <c r="E20" s="90" t="s">
        <v>217</v>
      </c>
      <c r="F20" s="91">
        <v>4000.0</v>
      </c>
      <c r="G20" s="93"/>
      <c r="H20" s="91">
        <f t="shared" si="1"/>
        <v>27657.01</v>
      </c>
    </row>
    <row r="21">
      <c r="A21" s="89">
        <v>45337.0</v>
      </c>
      <c r="B21" s="90" t="s">
        <v>188</v>
      </c>
      <c r="C21" s="94"/>
      <c r="D21" s="94"/>
      <c r="E21" s="90" t="s">
        <v>192</v>
      </c>
      <c r="F21" s="91"/>
      <c r="G21" s="91">
        <v>10000.0</v>
      </c>
      <c r="H21" s="91">
        <f t="shared" si="1"/>
        <v>37657.01</v>
      </c>
    </row>
    <row r="22">
      <c r="A22" s="89">
        <v>45337.0</v>
      </c>
      <c r="B22" s="90" t="s">
        <v>195</v>
      </c>
      <c r="C22" s="90" t="s">
        <v>13</v>
      </c>
      <c r="D22" s="90" t="s">
        <v>196</v>
      </c>
      <c r="E22" s="90" t="s">
        <v>218</v>
      </c>
      <c r="F22" s="91">
        <v>30000.0</v>
      </c>
      <c r="G22" s="91"/>
      <c r="H22" s="91">
        <f t="shared" si="1"/>
        <v>7657.01</v>
      </c>
    </row>
    <row r="23">
      <c r="A23" s="89">
        <v>45401.0</v>
      </c>
      <c r="B23" s="90" t="s">
        <v>188</v>
      </c>
      <c r="C23" s="94"/>
      <c r="D23" s="94"/>
      <c r="E23" s="90" t="s">
        <v>219</v>
      </c>
      <c r="F23" s="91"/>
      <c r="G23" s="91">
        <v>2690.17</v>
      </c>
      <c r="H23" s="91">
        <f t="shared" si="1"/>
        <v>10347.18</v>
      </c>
    </row>
    <row r="24">
      <c r="A24" s="89">
        <v>45401.0</v>
      </c>
      <c r="B24" s="90" t="s">
        <v>195</v>
      </c>
      <c r="C24" s="94"/>
      <c r="D24" s="94"/>
      <c r="E24" s="90" t="s">
        <v>220</v>
      </c>
      <c r="F24" s="91">
        <v>2540.17</v>
      </c>
      <c r="G24" s="91"/>
      <c r="H24" s="91">
        <f t="shared" si="1"/>
        <v>7807.01</v>
      </c>
    </row>
    <row r="25">
      <c r="A25" s="89">
        <v>45461.0</v>
      </c>
      <c r="B25" s="90" t="s">
        <v>188</v>
      </c>
      <c r="C25" s="94"/>
      <c r="D25" s="94"/>
      <c r="E25" s="90" t="s">
        <v>189</v>
      </c>
      <c r="F25" s="91"/>
      <c r="G25" s="91">
        <v>25000.0</v>
      </c>
      <c r="H25" s="91">
        <f t="shared" si="1"/>
        <v>32807.01</v>
      </c>
    </row>
    <row r="26">
      <c r="A26" s="89">
        <v>45463.0</v>
      </c>
      <c r="B26" s="90" t="s">
        <v>195</v>
      </c>
      <c r="C26" s="90" t="s">
        <v>13</v>
      </c>
      <c r="D26" s="90" t="s">
        <v>196</v>
      </c>
      <c r="E26" s="90" t="s">
        <v>221</v>
      </c>
      <c r="F26" s="91">
        <v>26250.0</v>
      </c>
      <c r="G26" s="91"/>
      <c r="H26" s="91">
        <f t="shared" si="1"/>
        <v>6557.01</v>
      </c>
    </row>
    <row r="27">
      <c r="C27" s="95"/>
      <c r="D27" s="95"/>
      <c r="F27" s="96"/>
      <c r="G27" s="96"/>
    </row>
    <row r="28">
      <c r="C28" s="95"/>
      <c r="D28" s="95"/>
      <c r="F28" s="96"/>
      <c r="G28" s="96"/>
    </row>
    <row r="29">
      <c r="C29" s="95"/>
      <c r="D29" s="95"/>
      <c r="F29" s="96"/>
      <c r="G29" s="96"/>
    </row>
    <row r="30">
      <c r="C30" s="95"/>
      <c r="D30" s="95"/>
      <c r="F30" s="96"/>
      <c r="G30" s="96"/>
    </row>
    <row r="31">
      <c r="C31" s="95"/>
      <c r="D31" s="95"/>
      <c r="F31" s="96"/>
      <c r="G31" s="96"/>
    </row>
    <row r="32">
      <c r="C32" s="95"/>
      <c r="D32" s="95"/>
      <c r="F32" s="96"/>
      <c r="G32" s="96"/>
    </row>
    <row r="33">
      <c r="C33" s="95"/>
      <c r="D33" s="95"/>
      <c r="F33" s="96"/>
      <c r="G33" s="96"/>
    </row>
    <row r="34">
      <c r="C34" s="95"/>
      <c r="D34" s="95"/>
      <c r="F34" s="96"/>
      <c r="G34" s="96"/>
    </row>
    <row r="35">
      <c r="C35" s="95"/>
      <c r="D35" s="95"/>
      <c r="F35" s="96"/>
      <c r="G35" s="96"/>
    </row>
    <row r="36">
      <c r="C36" s="95"/>
      <c r="D36" s="95"/>
      <c r="F36" s="96"/>
      <c r="G36" s="96"/>
    </row>
    <row r="37">
      <c r="C37" s="95"/>
      <c r="D37" s="95"/>
      <c r="F37" s="96"/>
      <c r="G37" s="96"/>
    </row>
    <row r="38">
      <c r="C38" s="95"/>
      <c r="D38" s="95"/>
      <c r="F38" s="96"/>
      <c r="G38" s="96"/>
    </row>
    <row r="39">
      <c r="C39" s="95"/>
      <c r="D39" s="95"/>
      <c r="F39" s="96"/>
      <c r="G39" s="96"/>
    </row>
    <row r="40">
      <c r="C40" s="95"/>
      <c r="D40" s="95"/>
      <c r="F40" s="96"/>
      <c r="G40" s="96"/>
    </row>
    <row r="41">
      <c r="C41" s="95"/>
      <c r="D41" s="95"/>
      <c r="F41" s="96"/>
      <c r="G41" s="96"/>
    </row>
    <row r="42">
      <c r="C42" s="95"/>
      <c r="D42" s="95"/>
      <c r="F42" s="96"/>
      <c r="G42" s="96"/>
    </row>
    <row r="43">
      <c r="C43" s="95"/>
      <c r="D43" s="95"/>
      <c r="F43" s="96"/>
      <c r="G43" s="96"/>
    </row>
    <row r="44">
      <c r="C44" s="95"/>
      <c r="D44" s="95"/>
      <c r="F44" s="96"/>
      <c r="G44" s="96"/>
    </row>
    <row r="45">
      <c r="C45" s="95"/>
      <c r="D45" s="95"/>
      <c r="F45" s="96"/>
      <c r="G45" s="96"/>
    </row>
    <row r="46">
      <c r="C46" s="95"/>
      <c r="D46" s="95"/>
      <c r="F46" s="96"/>
      <c r="G46" s="96"/>
    </row>
    <row r="47">
      <c r="C47" s="95"/>
      <c r="D47" s="95"/>
      <c r="F47" s="96"/>
      <c r="G47" s="96"/>
    </row>
    <row r="48">
      <c r="C48" s="95"/>
      <c r="D48" s="95"/>
      <c r="F48" s="96"/>
      <c r="G48" s="96"/>
    </row>
    <row r="49">
      <c r="C49" s="95"/>
      <c r="D49" s="95"/>
      <c r="F49" s="96"/>
      <c r="G49" s="96"/>
    </row>
    <row r="50">
      <c r="C50" s="95"/>
      <c r="D50" s="95"/>
      <c r="F50" s="96"/>
      <c r="G50" s="96"/>
    </row>
    <row r="51">
      <c r="C51" s="95"/>
      <c r="D51" s="95"/>
      <c r="F51" s="96"/>
      <c r="G51" s="96"/>
    </row>
    <row r="52">
      <c r="C52" s="95"/>
      <c r="D52" s="95"/>
      <c r="F52" s="96"/>
      <c r="G52" s="96"/>
    </row>
    <row r="53">
      <c r="C53" s="95"/>
      <c r="D53" s="95"/>
      <c r="F53" s="96"/>
      <c r="G53" s="96"/>
    </row>
    <row r="54">
      <c r="C54" s="95"/>
      <c r="D54" s="95"/>
      <c r="F54" s="96"/>
      <c r="G54" s="96"/>
    </row>
    <row r="55">
      <c r="C55" s="95"/>
      <c r="D55" s="95"/>
      <c r="F55" s="96"/>
      <c r="G55" s="96"/>
    </row>
    <row r="56">
      <c r="C56" s="95"/>
      <c r="D56" s="95"/>
      <c r="F56" s="96"/>
      <c r="G56" s="96"/>
    </row>
    <row r="57">
      <c r="C57" s="95"/>
      <c r="D57" s="95"/>
      <c r="F57" s="96"/>
      <c r="G57" s="96"/>
    </row>
    <row r="58">
      <c r="C58" s="95"/>
      <c r="D58" s="95"/>
      <c r="F58" s="96"/>
      <c r="G58" s="96"/>
    </row>
    <row r="59">
      <c r="C59" s="95"/>
      <c r="D59" s="95"/>
      <c r="F59" s="96"/>
      <c r="G59" s="96"/>
    </row>
    <row r="60">
      <c r="C60" s="95"/>
      <c r="D60" s="95"/>
      <c r="F60" s="96"/>
      <c r="G60" s="96"/>
    </row>
    <row r="61">
      <c r="C61" s="95"/>
      <c r="D61" s="95"/>
      <c r="F61" s="96"/>
      <c r="G61" s="96"/>
    </row>
    <row r="62">
      <c r="C62" s="95"/>
      <c r="D62" s="95"/>
      <c r="F62" s="96"/>
      <c r="G62" s="96"/>
    </row>
    <row r="63">
      <c r="C63" s="95"/>
      <c r="D63" s="95"/>
      <c r="F63" s="96"/>
      <c r="G63" s="96"/>
    </row>
    <row r="64">
      <c r="C64" s="95"/>
      <c r="D64" s="95"/>
      <c r="F64" s="96"/>
      <c r="G64" s="96"/>
    </row>
    <row r="65">
      <c r="C65" s="95"/>
      <c r="D65" s="95"/>
      <c r="F65" s="96"/>
      <c r="G65" s="96"/>
    </row>
    <row r="66">
      <c r="C66" s="95"/>
      <c r="D66" s="95"/>
      <c r="F66" s="96"/>
      <c r="G66" s="96"/>
    </row>
    <row r="67">
      <c r="C67" s="95"/>
      <c r="D67" s="95"/>
      <c r="F67" s="96"/>
      <c r="G67" s="96"/>
    </row>
    <row r="68">
      <c r="C68" s="95"/>
      <c r="D68" s="95"/>
      <c r="F68" s="96"/>
      <c r="G68" s="96"/>
    </row>
    <row r="69">
      <c r="C69" s="95"/>
      <c r="D69" s="95"/>
      <c r="F69" s="96"/>
      <c r="G69" s="96"/>
    </row>
    <row r="70">
      <c r="C70" s="95"/>
      <c r="D70" s="95"/>
      <c r="F70" s="96"/>
      <c r="G70" s="96"/>
    </row>
    <row r="71">
      <c r="C71" s="95"/>
      <c r="D71" s="95"/>
      <c r="F71" s="96"/>
      <c r="G71" s="96"/>
    </row>
    <row r="72">
      <c r="C72" s="95"/>
      <c r="D72" s="95"/>
      <c r="F72" s="96"/>
      <c r="G72" s="96"/>
    </row>
    <row r="73">
      <c r="C73" s="95"/>
      <c r="D73" s="95"/>
      <c r="F73" s="96"/>
      <c r="G73" s="96"/>
    </row>
    <row r="74">
      <c r="C74" s="95"/>
      <c r="D74" s="95"/>
      <c r="F74" s="96"/>
      <c r="G74" s="96"/>
    </row>
    <row r="75">
      <c r="C75" s="95"/>
      <c r="D75" s="95"/>
      <c r="F75" s="96"/>
      <c r="G75" s="96"/>
    </row>
    <row r="76">
      <c r="C76" s="95"/>
      <c r="D76" s="95"/>
      <c r="F76" s="96"/>
      <c r="G76" s="96"/>
    </row>
    <row r="77">
      <c r="C77" s="95"/>
      <c r="D77" s="95"/>
      <c r="F77" s="96"/>
      <c r="G77" s="96"/>
    </row>
    <row r="78">
      <c r="C78" s="95"/>
      <c r="D78" s="95"/>
      <c r="F78" s="96"/>
      <c r="G78" s="96"/>
    </row>
    <row r="79">
      <c r="C79" s="95"/>
      <c r="D79" s="95"/>
      <c r="F79" s="96"/>
      <c r="G79" s="96"/>
    </row>
    <row r="80">
      <c r="C80" s="95"/>
      <c r="D80" s="95"/>
      <c r="F80" s="96"/>
      <c r="G80" s="96"/>
    </row>
    <row r="81">
      <c r="C81" s="95"/>
      <c r="D81" s="95"/>
      <c r="F81" s="96"/>
      <c r="G81" s="96"/>
    </row>
    <row r="82">
      <c r="C82" s="95"/>
      <c r="D82" s="95"/>
      <c r="F82" s="96"/>
      <c r="G82" s="96"/>
    </row>
    <row r="83">
      <c r="C83" s="95"/>
      <c r="D83" s="95"/>
      <c r="F83" s="96"/>
      <c r="G83" s="96"/>
    </row>
    <row r="84">
      <c r="C84" s="95"/>
      <c r="D84" s="95"/>
      <c r="F84" s="96"/>
      <c r="G84" s="96"/>
    </row>
    <row r="85">
      <c r="C85" s="95"/>
      <c r="D85" s="95"/>
      <c r="F85" s="96"/>
      <c r="G85" s="96"/>
    </row>
    <row r="86">
      <c r="C86" s="95"/>
      <c r="D86" s="95"/>
      <c r="F86" s="96"/>
      <c r="G86" s="96"/>
    </row>
    <row r="87">
      <c r="C87" s="95"/>
      <c r="D87" s="95"/>
      <c r="F87" s="96"/>
      <c r="G87" s="96"/>
    </row>
    <row r="88">
      <c r="C88" s="95"/>
      <c r="D88" s="95"/>
      <c r="F88" s="96"/>
      <c r="G88" s="96"/>
    </row>
    <row r="89">
      <c r="C89" s="95"/>
      <c r="D89" s="95"/>
      <c r="F89" s="96"/>
      <c r="G89" s="96"/>
    </row>
    <row r="90">
      <c r="C90" s="95"/>
      <c r="D90" s="95"/>
      <c r="F90" s="96"/>
      <c r="G90" s="96"/>
    </row>
    <row r="91">
      <c r="C91" s="95"/>
      <c r="D91" s="95"/>
      <c r="F91" s="96"/>
      <c r="G91" s="96"/>
    </row>
    <row r="92">
      <c r="C92" s="95"/>
      <c r="D92" s="95"/>
      <c r="F92" s="96"/>
      <c r="G92" s="96"/>
    </row>
    <row r="93">
      <c r="C93" s="95"/>
      <c r="D93" s="95"/>
      <c r="F93" s="96"/>
      <c r="G93" s="96"/>
    </row>
    <row r="94">
      <c r="C94" s="95"/>
      <c r="D94" s="95"/>
      <c r="F94" s="96"/>
      <c r="G94" s="96"/>
    </row>
    <row r="95">
      <c r="C95" s="95"/>
      <c r="D95" s="95"/>
      <c r="F95" s="96"/>
      <c r="G95" s="96"/>
    </row>
    <row r="96">
      <c r="C96" s="95"/>
      <c r="D96" s="95"/>
      <c r="F96" s="96"/>
      <c r="G96" s="96"/>
    </row>
    <row r="97">
      <c r="C97" s="95"/>
      <c r="D97" s="95"/>
      <c r="F97" s="96"/>
      <c r="G97" s="96"/>
    </row>
    <row r="98">
      <c r="C98" s="95"/>
      <c r="D98" s="95"/>
      <c r="F98" s="96"/>
      <c r="G98" s="96"/>
    </row>
    <row r="99">
      <c r="C99" s="95"/>
      <c r="D99" s="95"/>
      <c r="F99" s="96"/>
      <c r="G99" s="96"/>
    </row>
    <row r="100">
      <c r="C100" s="95"/>
      <c r="D100" s="95"/>
      <c r="F100" s="96"/>
      <c r="G100" s="96"/>
    </row>
    <row r="101">
      <c r="C101" s="95"/>
      <c r="D101" s="95"/>
      <c r="F101" s="96"/>
      <c r="G101" s="96"/>
    </row>
    <row r="102">
      <c r="C102" s="95"/>
      <c r="D102" s="95"/>
      <c r="F102" s="96"/>
      <c r="G102" s="96"/>
    </row>
    <row r="103">
      <c r="C103" s="95"/>
      <c r="D103" s="95"/>
      <c r="F103" s="96"/>
      <c r="G103" s="96"/>
    </row>
    <row r="104">
      <c r="C104" s="95"/>
      <c r="D104" s="95"/>
      <c r="F104" s="96"/>
      <c r="G104" s="96"/>
    </row>
    <row r="105">
      <c r="C105" s="95"/>
      <c r="D105" s="95"/>
      <c r="F105" s="96"/>
      <c r="G105" s="96"/>
    </row>
    <row r="106">
      <c r="C106" s="95"/>
      <c r="D106" s="95"/>
      <c r="F106" s="96"/>
      <c r="G106" s="96"/>
    </row>
    <row r="107">
      <c r="C107" s="95"/>
      <c r="D107" s="95"/>
      <c r="F107" s="96"/>
      <c r="G107" s="96"/>
    </row>
    <row r="108">
      <c r="C108" s="95"/>
      <c r="D108" s="95"/>
      <c r="F108" s="96"/>
      <c r="G108" s="96"/>
    </row>
    <row r="109">
      <c r="C109" s="95"/>
      <c r="D109" s="95"/>
      <c r="F109" s="96"/>
      <c r="G109" s="96"/>
    </row>
    <row r="110">
      <c r="C110" s="95"/>
      <c r="D110" s="95"/>
      <c r="F110" s="96"/>
      <c r="G110" s="96"/>
    </row>
    <row r="111">
      <c r="C111" s="95"/>
      <c r="D111" s="95"/>
      <c r="F111" s="96"/>
      <c r="G111" s="96"/>
    </row>
    <row r="112">
      <c r="C112" s="95"/>
      <c r="D112" s="95"/>
      <c r="F112" s="96"/>
      <c r="G112" s="96"/>
    </row>
    <row r="113">
      <c r="C113" s="95"/>
      <c r="D113" s="95"/>
      <c r="F113" s="96"/>
      <c r="G113" s="96"/>
    </row>
    <row r="114">
      <c r="C114" s="95"/>
      <c r="D114" s="95"/>
      <c r="F114" s="96"/>
      <c r="G114" s="96"/>
    </row>
    <row r="115">
      <c r="C115" s="95"/>
      <c r="D115" s="95"/>
      <c r="F115" s="96"/>
      <c r="G115" s="96"/>
    </row>
    <row r="116">
      <c r="C116" s="95"/>
      <c r="D116" s="95"/>
      <c r="F116" s="96"/>
      <c r="G116" s="96"/>
    </row>
    <row r="117">
      <c r="C117" s="95"/>
      <c r="D117" s="95"/>
      <c r="F117" s="96"/>
      <c r="G117" s="96"/>
    </row>
    <row r="118">
      <c r="C118" s="95"/>
      <c r="D118" s="95"/>
      <c r="F118" s="96"/>
      <c r="G118" s="96"/>
    </row>
    <row r="119">
      <c r="C119" s="95"/>
      <c r="D119" s="95"/>
      <c r="F119" s="96"/>
      <c r="G119" s="96"/>
    </row>
    <row r="120">
      <c r="C120" s="95"/>
      <c r="D120" s="95"/>
      <c r="F120" s="96"/>
      <c r="G120" s="96"/>
    </row>
    <row r="121">
      <c r="C121" s="95"/>
      <c r="D121" s="95"/>
      <c r="F121" s="96"/>
      <c r="G121" s="96"/>
    </row>
    <row r="122">
      <c r="C122" s="95"/>
      <c r="D122" s="95"/>
      <c r="F122" s="96"/>
      <c r="G122" s="96"/>
    </row>
    <row r="123">
      <c r="C123" s="95"/>
      <c r="D123" s="95"/>
      <c r="F123" s="96"/>
      <c r="G123" s="96"/>
    </row>
    <row r="124">
      <c r="C124" s="95"/>
      <c r="D124" s="95"/>
      <c r="F124" s="96"/>
      <c r="G124" s="96"/>
    </row>
    <row r="125">
      <c r="C125" s="95"/>
      <c r="D125" s="95"/>
      <c r="F125" s="96"/>
      <c r="G125" s="96"/>
    </row>
    <row r="126">
      <c r="C126" s="95"/>
      <c r="D126" s="95"/>
      <c r="F126" s="96"/>
      <c r="G126" s="96"/>
    </row>
    <row r="127">
      <c r="C127" s="95"/>
      <c r="D127" s="95"/>
      <c r="F127" s="96"/>
      <c r="G127" s="96"/>
    </row>
    <row r="128">
      <c r="C128" s="95"/>
      <c r="D128" s="95"/>
      <c r="F128" s="96"/>
      <c r="G128" s="96"/>
    </row>
    <row r="129">
      <c r="C129" s="95"/>
      <c r="D129" s="95"/>
      <c r="F129" s="96"/>
      <c r="G129" s="96"/>
    </row>
    <row r="130">
      <c r="C130" s="95"/>
      <c r="D130" s="95"/>
      <c r="F130" s="96"/>
      <c r="G130" s="96"/>
    </row>
    <row r="131">
      <c r="C131" s="95"/>
      <c r="D131" s="95"/>
      <c r="F131" s="96"/>
      <c r="G131" s="96"/>
    </row>
    <row r="132">
      <c r="C132" s="95"/>
      <c r="D132" s="95"/>
      <c r="F132" s="96"/>
      <c r="G132" s="96"/>
    </row>
    <row r="133">
      <c r="C133" s="95"/>
      <c r="D133" s="95"/>
      <c r="F133" s="96"/>
      <c r="G133" s="96"/>
    </row>
    <row r="134">
      <c r="C134" s="95"/>
      <c r="D134" s="95"/>
      <c r="F134" s="96"/>
      <c r="G134" s="96"/>
    </row>
    <row r="135">
      <c r="C135" s="95"/>
      <c r="D135" s="95"/>
      <c r="F135" s="96"/>
      <c r="G135" s="96"/>
    </row>
    <row r="136">
      <c r="C136" s="95"/>
      <c r="D136" s="95"/>
      <c r="F136" s="96"/>
      <c r="G136" s="96"/>
    </row>
    <row r="137">
      <c r="C137" s="95"/>
      <c r="D137" s="95"/>
      <c r="F137" s="96"/>
      <c r="G137" s="96"/>
    </row>
    <row r="138">
      <c r="C138" s="95"/>
      <c r="D138" s="95"/>
      <c r="F138" s="96"/>
      <c r="G138" s="96"/>
    </row>
    <row r="139">
      <c r="C139" s="95"/>
      <c r="D139" s="95"/>
      <c r="F139" s="96"/>
      <c r="G139" s="96"/>
    </row>
    <row r="140">
      <c r="C140" s="95"/>
      <c r="D140" s="95"/>
      <c r="F140" s="96"/>
      <c r="G140" s="96"/>
    </row>
    <row r="141">
      <c r="C141" s="95"/>
      <c r="D141" s="95"/>
      <c r="F141" s="96"/>
      <c r="G141" s="96"/>
    </row>
    <row r="142">
      <c r="C142" s="95"/>
      <c r="D142" s="95"/>
      <c r="F142" s="96"/>
      <c r="G142" s="96"/>
    </row>
    <row r="143">
      <c r="C143" s="95"/>
      <c r="D143" s="95"/>
      <c r="F143" s="96"/>
      <c r="G143" s="96"/>
    </row>
    <row r="144">
      <c r="C144" s="95"/>
      <c r="D144" s="95"/>
      <c r="F144" s="96"/>
      <c r="G144" s="96"/>
    </row>
    <row r="145">
      <c r="C145" s="95"/>
      <c r="D145" s="95"/>
      <c r="F145" s="96"/>
      <c r="G145" s="96"/>
    </row>
    <row r="146">
      <c r="C146" s="95"/>
      <c r="D146" s="95"/>
      <c r="F146" s="96"/>
      <c r="G146" s="96"/>
    </row>
    <row r="147">
      <c r="C147" s="95"/>
      <c r="D147" s="95"/>
      <c r="F147" s="96"/>
      <c r="G147" s="96"/>
    </row>
    <row r="148">
      <c r="C148" s="95"/>
      <c r="D148" s="95"/>
      <c r="F148" s="96"/>
      <c r="G148" s="96"/>
    </row>
    <row r="149">
      <c r="C149" s="95"/>
      <c r="D149" s="95"/>
      <c r="F149" s="96"/>
      <c r="G149" s="96"/>
    </row>
    <row r="150">
      <c r="C150" s="95"/>
      <c r="D150" s="95"/>
      <c r="F150" s="96"/>
      <c r="G150" s="96"/>
    </row>
    <row r="151">
      <c r="C151" s="95"/>
      <c r="D151" s="95"/>
      <c r="F151" s="96"/>
      <c r="G151" s="96"/>
    </row>
    <row r="152">
      <c r="C152" s="95"/>
      <c r="D152" s="95"/>
      <c r="F152" s="96"/>
      <c r="G152" s="96"/>
    </row>
    <row r="153">
      <c r="C153" s="95"/>
      <c r="D153" s="95"/>
      <c r="F153" s="96"/>
      <c r="G153" s="96"/>
    </row>
    <row r="154">
      <c r="C154" s="95"/>
      <c r="D154" s="95"/>
      <c r="F154" s="96"/>
      <c r="G154" s="96"/>
    </row>
    <row r="155">
      <c r="C155" s="95"/>
      <c r="D155" s="95"/>
      <c r="F155" s="96"/>
      <c r="G155" s="96"/>
    </row>
    <row r="156">
      <c r="C156" s="95"/>
      <c r="D156" s="95"/>
      <c r="F156" s="96"/>
      <c r="G156" s="96"/>
    </row>
    <row r="157">
      <c r="C157" s="95"/>
      <c r="D157" s="95"/>
      <c r="F157" s="96"/>
      <c r="G157" s="96"/>
    </row>
    <row r="158">
      <c r="C158" s="95"/>
      <c r="D158" s="95"/>
      <c r="F158" s="96"/>
      <c r="G158" s="96"/>
    </row>
    <row r="159">
      <c r="C159" s="95"/>
      <c r="D159" s="95"/>
      <c r="F159" s="96"/>
      <c r="G159" s="96"/>
    </row>
    <row r="160">
      <c r="C160" s="95"/>
      <c r="D160" s="95"/>
      <c r="F160" s="96"/>
      <c r="G160" s="96"/>
    </row>
    <row r="161">
      <c r="C161" s="95"/>
      <c r="D161" s="95"/>
      <c r="F161" s="96"/>
      <c r="G161" s="96"/>
    </row>
    <row r="162">
      <c r="C162" s="95"/>
      <c r="D162" s="95"/>
      <c r="F162" s="96"/>
      <c r="G162" s="96"/>
    </row>
    <row r="163">
      <c r="C163" s="95"/>
      <c r="D163" s="95"/>
      <c r="F163" s="96"/>
      <c r="G163" s="96"/>
    </row>
    <row r="164">
      <c r="C164" s="95"/>
      <c r="D164" s="95"/>
      <c r="F164" s="96"/>
      <c r="G164" s="96"/>
    </row>
    <row r="165">
      <c r="C165" s="95"/>
      <c r="D165" s="95"/>
      <c r="F165" s="96"/>
      <c r="G165" s="96"/>
    </row>
    <row r="166">
      <c r="C166" s="95"/>
      <c r="D166" s="95"/>
      <c r="F166" s="96"/>
      <c r="G166" s="96"/>
    </row>
    <row r="167">
      <c r="C167" s="95"/>
      <c r="D167" s="95"/>
      <c r="F167" s="96"/>
      <c r="G167" s="96"/>
    </row>
    <row r="168">
      <c r="C168" s="95"/>
      <c r="D168" s="95"/>
      <c r="F168" s="96"/>
      <c r="G168" s="96"/>
    </row>
    <row r="169">
      <c r="C169" s="95"/>
      <c r="D169" s="95"/>
      <c r="F169" s="96"/>
      <c r="G169" s="96"/>
    </row>
    <row r="170">
      <c r="C170" s="95"/>
      <c r="D170" s="95"/>
      <c r="F170" s="96"/>
      <c r="G170" s="96"/>
    </row>
    <row r="171">
      <c r="C171" s="95"/>
      <c r="D171" s="95"/>
      <c r="F171" s="96"/>
      <c r="G171" s="96"/>
    </row>
    <row r="172">
      <c r="C172" s="95"/>
      <c r="D172" s="95"/>
      <c r="F172" s="96"/>
      <c r="G172" s="96"/>
    </row>
    <row r="173">
      <c r="C173" s="95"/>
      <c r="D173" s="95"/>
      <c r="F173" s="96"/>
      <c r="G173" s="96"/>
    </row>
    <row r="174">
      <c r="C174" s="95"/>
      <c r="D174" s="95"/>
      <c r="F174" s="96"/>
      <c r="G174" s="96"/>
    </row>
    <row r="175">
      <c r="C175" s="95"/>
      <c r="D175" s="95"/>
      <c r="F175" s="96"/>
      <c r="G175" s="96"/>
    </row>
    <row r="176">
      <c r="C176" s="95"/>
      <c r="D176" s="95"/>
      <c r="F176" s="96"/>
      <c r="G176" s="96"/>
    </row>
    <row r="177">
      <c r="C177" s="95"/>
      <c r="D177" s="95"/>
      <c r="F177" s="96"/>
      <c r="G177" s="96"/>
    </row>
    <row r="178">
      <c r="C178" s="95"/>
      <c r="D178" s="95"/>
      <c r="F178" s="96"/>
      <c r="G178" s="96"/>
    </row>
    <row r="179">
      <c r="C179" s="95"/>
      <c r="D179" s="95"/>
      <c r="F179" s="96"/>
      <c r="G179" s="96"/>
    </row>
    <row r="180">
      <c r="C180" s="95"/>
      <c r="D180" s="95"/>
      <c r="F180" s="96"/>
      <c r="G180" s="96"/>
    </row>
    <row r="181">
      <c r="C181" s="95"/>
      <c r="D181" s="95"/>
      <c r="F181" s="96"/>
      <c r="G181" s="96"/>
    </row>
    <row r="182">
      <c r="C182" s="95"/>
      <c r="D182" s="95"/>
      <c r="F182" s="96"/>
      <c r="G182" s="96"/>
    </row>
    <row r="183">
      <c r="C183" s="95"/>
      <c r="D183" s="95"/>
      <c r="F183" s="96"/>
      <c r="G183" s="96"/>
    </row>
    <row r="184">
      <c r="C184" s="95"/>
      <c r="D184" s="95"/>
      <c r="F184" s="96"/>
      <c r="G184" s="96"/>
    </row>
    <row r="185">
      <c r="C185" s="95"/>
      <c r="D185" s="95"/>
      <c r="F185" s="96"/>
      <c r="G185" s="96"/>
    </row>
    <row r="186">
      <c r="C186" s="95"/>
      <c r="D186" s="95"/>
      <c r="F186" s="96"/>
      <c r="G186" s="96"/>
    </row>
    <row r="187">
      <c r="C187" s="95"/>
      <c r="D187" s="95"/>
      <c r="F187" s="96"/>
      <c r="G187" s="96"/>
    </row>
    <row r="188">
      <c r="C188" s="95"/>
      <c r="D188" s="95"/>
      <c r="F188" s="96"/>
      <c r="G188" s="96"/>
    </row>
    <row r="189">
      <c r="C189" s="95"/>
      <c r="D189" s="95"/>
      <c r="F189" s="96"/>
      <c r="G189" s="96"/>
    </row>
    <row r="190">
      <c r="C190" s="95"/>
      <c r="D190" s="95"/>
      <c r="F190" s="96"/>
      <c r="G190" s="96"/>
    </row>
    <row r="191">
      <c r="C191" s="95"/>
      <c r="D191" s="95"/>
      <c r="F191" s="96"/>
      <c r="G191" s="96"/>
    </row>
    <row r="192">
      <c r="C192" s="95"/>
      <c r="D192" s="95"/>
      <c r="F192" s="96"/>
      <c r="G192" s="96"/>
    </row>
    <row r="193">
      <c r="C193" s="95"/>
      <c r="D193" s="95"/>
      <c r="F193" s="96"/>
      <c r="G193" s="96"/>
    </row>
    <row r="194">
      <c r="C194" s="95"/>
      <c r="D194" s="95"/>
      <c r="F194" s="96"/>
      <c r="G194" s="96"/>
    </row>
    <row r="195">
      <c r="C195" s="95"/>
      <c r="D195" s="95"/>
      <c r="F195" s="96"/>
      <c r="G195" s="96"/>
    </row>
    <row r="196">
      <c r="C196" s="95"/>
      <c r="D196" s="95"/>
      <c r="F196" s="96"/>
      <c r="G196" s="96"/>
    </row>
    <row r="197">
      <c r="C197" s="95"/>
      <c r="D197" s="95"/>
      <c r="F197" s="96"/>
      <c r="G197" s="96"/>
    </row>
    <row r="198">
      <c r="C198" s="95"/>
      <c r="D198" s="95"/>
      <c r="F198" s="96"/>
      <c r="G198" s="96"/>
    </row>
    <row r="199">
      <c r="C199" s="95"/>
      <c r="D199" s="95"/>
      <c r="F199" s="96"/>
      <c r="G199" s="96"/>
    </row>
    <row r="200">
      <c r="C200" s="95"/>
      <c r="D200" s="95"/>
      <c r="F200" s="96"/>
      <c r="G200" s="96"/>
    </row>
    <row r="201">
      <c r="C201" s="95"/>
      <c r="D201" s="95"/>
      <c r="F201" s="96"/>
      <c r="G201" s="96"/>
    </row>
    <row r="202">
      <c r="C202" s="95"/>
      <c r="D202" s="95"/>
      <c r="F202" s="96"/>
      <c r="G202" s="96"/>
    </row>
    <row r="203">
      <c r="C203" s="95"/>
      <c r="D203" s="95"/>
      <c r="F203" s="96"/>
      <c r="G203" s="96"/>
    </row>
    <row r="204">
      <c r="C204" s="95"/>
      <c r="D204" s="95"/>
      <c r="F204" s="96"/>
      <c r="G204" s="96"/>
    </row>
    <row r="205">
      <c r="C205" s="95"/>
      <c r="D205" s="95"/>
      <c r="F205" s="96"/>
      <c r="G205" s="96"/>
    </row>
    <row r="206">
      <c r="C206" s="95"/>
      <c r="D206" s="95"/>
      <c r="F206" s="96"/>
      <c r="G206" s="96"/>
    </row>
    <row r="207">
      <c r="C207" s="95"/>
      <c r="D207" s="95"/>
      <c r="F207" s="96"/>
      <c r="G207" s="96"/>
    </row>
    <row r="208">
      <c r="C208" s="95"/>
      <c r="D208" s="95"/>
      <c r="F208" s="96"/>
      <c r="G208" s="96"/>
    </row>
    <row r="209">
      <c r="C209" s="95"/>
      <c r="D209" s="95"/>
      <c r="F209" s="96"/>
      <c r="G209" s="96"/>
    </row>
    <row r="210">
      <c r="C210" s="95"/>
      <c r="D210" s="95"/>
      <c r="F210" s="96"/>
      <c r="G210" s="96"/>
    </row>
    <row r="211">
      <c r="C211" s="95"/>
      <c r="D211" s="95"/>
      <c r="F211" s="96"/>
      <c r="G211" s="96"/>
    </row>
    <row r="212">
      <c r="C212" s="95"/>
      <c r="D212" s="95"/>
      <c r="F212" s="96"/>
      <c r="G212" s="96"/>
    </row>
    <row r="213">
      <c r="C213" s="95"/>
      <c r="D213" s="95"/>
      <c r="F213" s="96"/>
      <c r="G213" s="96"/>
    </row>
    <row r="214">
      <c r="C214" s="95"/>
      <c r="D214" s="95"/>
      <c r="F214" s="96"/>
      <c r="G214" s="96"/>
    </row>
    <row r="215">
      <c r="C215" s="95"/>
      <c r="D215" s="95"/>
      <c r="F215" s="96"/>
      <c r="G215" s="96"/>
    </row>
    <row r="216">
      <c r="C216" s="95"/>
      <c r="D216" s="95"/>
      <c r="F216" s="96"/>
      <c r="G216" s="96"/>
    </row>
    <row r="217">
      <c r="C217" s="95"/>
      <c r="D217" s="95"/>
      <c r="F217" s="96"/>
      <c r="G217" s="96"/>
    </row>
    <row r="218">
      <c r="C218" s="95"/>
      <c r="D218" s="95"/>
      <c r="F218" s="96"/>
      <c r="G218" s="96"/>
    </row>
    <row r="219">
      <c r="C219" s="95"/>
      <c r="D219" s="95"/>
      <c r="F219" s="96"/>
      <c r="G219" s="96"/>
    </row>
    <row r="220">
      <c r="C220" s="95"/>
      <c r="D220" s="95"/>
      <c r="F220" s="96"/>
      <c r="G220" s="96"/>
    </row>
    <row r="221">
      <c r="C221" s="95"/>
      <c r="D221" s="95"/>
      <c r="F221" s="96"/>
      <c r="G221" s="96"/>
    </row>
    <row r="222">
      <c r="C222" s="95"/>
      <c r="D222" s="95"/>
      <c r="F222" s="96"/>
      <c r="G222" s="96"/>
    </row>
    <row r="223">
      <c r="C223" s="95"/>
      <c r="D223" s="95"/>
      <c r="F223" s="96"/>
      <c r="G223" s="96"/>
    </row>
    <row r="224">
      <c r="C224" s="95"/>
      <c r="D224" s="95"/>
      <c r="F224" s="96"/>
      <c r="G224" s="96"/>
    </row>
    <row r="225">
      <c r="C225" s="95"/>
      <c r="D225" s="95"/>
      <c r="F225" s="96"/>
      <c r="G225" s="96"/>
    </row>
    <row r="226">
      <c r="C226" s="95"/>
      <c r="D226" s="95"/>
      <c r="F226" s="96"/>
      <c r="G226" s="96"/>
    </row>
    <row r="227">
      <c r="C227" s="95"/>
      <c r="D227" s="95"/>
      <c r="F227" s="96"/>
      <c r="G227" s="96"/>
    </row>
    <row r="228">
      <c r="C228" s="95"/>
      <c r="D228" s="95"/>
      <c r="F228" s="96"/>
      <c r="G228" s="96"/>
    </row>
    <row r="229">
      <c r="C229" s="95"/>
      <c r="D229" s="95"/>
      <c r="F229" s="96"/>
      <c r="G229" s="96"/>
    </row>
    <row r="230">
      <c r="C230" s="95"/>
      <c r="D230" s="95"/>
      <c r="F230" s="96"/>
      <c r="G230" s="96"/>
    </row>
    <row r="231">
      <c r="C231" s="95"/>
      <c r="D231" s="95"/>
      <c r="F231" s="96"/>
      <c r="G231" s="96"/>
    </row>
    <row r="232">
      <c r="C232" s="95"/>
      <c r="D232" s="95"/>
      <c r="F232" s="96"/>
      <c r="G232" s="96"/>
    </row>
    <row r="233">
      <c r="C233" s="95"/>
      <c r="D233" s="95"/>
      <c r="F233" s="96"/>
      <c r="G233" s="96"/>
    </row>
    <row r="234">
      <c r="C234" s="95"/>
      <c r="D234" s="95"/>
      <c r="F234" s="96"/>
      <c r="G234" s="96"/>
    </row>
    <row r="235">
      <c r="C235" s="95"/>
      <c r="D235" s="95"/>
      <c r="F235" s="96"/>
      <c r="G235" s="96"/>
    </row>
    <row r="236">
      <c r="C236" s="95"/>
      <c r="D236" s="95"/>
      <c r="F236" s="96"/>
      <c r="G236" s="96"/>
    </row>
    <row r="237">
      <c r="C237" s="95"/>
      <c r="D237" s="95"/>
      <c r="F237" s="96"/>
      <c r="G237" s="96"/>
    </row>
    <row r="238">
      <c r="C238" s="95"/>
      <c r="D238" s="95"/>
      <c r="F238" s="96"/>
      <c r="G238" s="96"/>
    </row>
    <row r="239">
      <c r="C239" s="95"/>
      <c r="D239" s="95"/>
      <c r="F239" s="96"/>
      <c r="G239" s="96"/>
    </row>
    <row r="240">
      <c r="C240" s="95"/>
      <c r="D240" s="95"/>
      <c r="F240" s="96"/>
      <c r="G240" s="96"/>
    </row>
    <row r="241">
      <c r="C241" s="95"/>
      <c r="D241" s="95"/>
      <c r="F241" s="96"/>
      <c r="G241" s="96"/>
    </row>
    <row r="242">
      <c r="C242" s="95"/>
      <c r="D242" s="95"/>
      <c r="F242" s="96"/>
      <c r="G242" s="96"/>
    </row>
    <row r="243">
      <c r="C243" s="95"/>
      <c r="D243" s="95"/>
      <c r="F243" s="96"/>
      <c r="G243" s="96"/>
    </row>
    <row r="244">
      <c r="C244" s="95"/>
      <c r="D244" s="95"/>
      <c r="F244" s="96"/>
      <c r="G244" s="96"/>
    </row>
    <row r="245">
      <c r="C245" s="95"/>
      <c r="D245" s="95"/>
      <c r="F245" s="96"/>
      <c r="G245" s="96"/>
    </row>
    <row r="246">
      <c r="C246" s="95"/>
      <c r="D246" s="95"/>
      <c r="F246" s="96"/>
      <c r="G246" s="96"/>
    </row>
    <row r="247">
      <c r="C247" s="95"/>
      <c r="D247" s="95"/>
      <c r="F247" s="96"/>
      <c r="G247" s="96"/>
    </row>
    <row r="248">
      <c r="C248" s="95"/>
      <c r="D248" s="95"/>
      <c r="F248" s="96"/>
      <c r="G248" s="96"/>
    </row>
    <row r="249">
      <c r="C249" s="95"/>
      <c r="D249" s="95"/>
      <c r="F249" s="96"/>
      <c r="G249" s="96"/>
    </row>
    <row r="250">
      <c r="C250" s="95"/>
      <c r="D250" s="95"/>
      <c r="F250" s="96"/>
      <c r="G250" s="96"/>
    </row>
    <row r="251">
      <c r="C251" s="95"/>
      <c r="D251" s="95"/>
      <c r="F251" s="96"/>
      <c r="G251" s="96"/>
    </row>
    <row r="252">
      <c r="C252" s="95"/>
      <c r="D252" s="95"/>
      <c r="F252" s="96"/>
      <c r="G252" s="96"/>
    </row>
    <row r="253">
      <c r="C253" s="95"/>
      <c r="D253" s="95"/>
      <c r="F253" s="96"/>
      <c r="G253" s="96"/>
    </row>
    <row r="254">
      <c r="C254" s="95"/>
      <c r="D254" s="95"/>
      <c r="F254" s="96"/>
      <c r="G254" s="96"/>
    </row>
    <row r="255">
      <c r="C255" s="95"/>
      <c r="D255" s="95"/>
      <c r="F255" s="96"/>
      <c r="G255" s="96"/>
    </row>
    <row r="256">
      <c r="C256" s="95"/>
      <c r="D256" s="95"/>
      <c r="F256" s="96"/>
      <c r="G256" s="96"/>
    </row>
    <row r="257">
      <c r="C257" s="95"/>
      <c r="D257" s="95"/>
      <c r="F257" s="96"/>
      <c r="G257" s="96"/>
    </row>
    <row r="258">
      <c r="C258" s="95"/>
      <c r="D258" s="95"/>
      <c r="F258" s="96"/>
      <c r="G258" s="96"/>
    </row>
    <row r="259">
      <c r="C259" s="95"/>
      <c r="D259" s="95"/>
      <c r="F259" s="96"/>
      <c r="G259" s="96"/>
    </row>
    <row r="260">
      <c r="C260" s="95"/>
      <c r="D260" s="95"/>
      <c r="F260" s="96"/>
      <c r="G260" s="96"/>
    </row>
    <row r="261">
      <c r="C261" s="95"/>
      <c r="D261" s="95"/>
      <c r="F261" s="96"/>
      <c r="G261" s="96"/>
    </row>
    <row r="262">
      <c r="C262" s="95"/>
      <c r="D262" s="95"/>
      <c r="F262" s="96"/>
      <c r="G262" s="96"/>
    </row>
    <row r="263">
      <c r="C263" s="95"/>
      <c r="D263" s="95"/>
      <c r="F263" s="96"/>
      <c r="G263" s="96"/>
    </row>
    <row r="264">
      <c r="C264" s="95"/>
      <c r="D264" s="95"/>
      <c r="F264" s="96"/>
      <c r="G264" s="96"/>
    </row>
    <row r="265">
      <c r="C265" s="95"/>
      <c r="D265" s="95"/>
      <c r="F265" s="96"/>
      <c r="G265" s="96"/>
    </row>
    <row r="266">
      <c r="C266" s="95"/>
      <c r="D266" s="95"/>
      <c r="F266" s="96"/>
      <c r="G266" s="96"/>
    </row>
    <row r="267">
      <c r="C267" s="95"/>
      <c r="D267" s="95"/>
      <c r="F267" s="96"/>
      <c r="G267" s="96"/>
    </row>
    <row r="268">
      <c r="C268" s="95"/>
      <c r="D268" s="95"/>
      <c r="F268" s="96"/>
      <c r="G268" s="96"/>
    </row>
    <row r="269">
      <c r="C269" s="95"/>
      <c r="D269" s="95"/>
      <c r="F269" s="96"/>
      <c r="G269" s="96"/>
    </row>
    <row r="270">
      <c r="C270" s="95"/>
      <c r="D270" s="95"/>
      <c r="F270" s="96"/>
      <c r="G270" s="96"/>
    </row>
    <row r="271">
      <c r="C271" s="95"/>
      <c r="D271" s="95"/>
      <c r="F271" s="96"/>
      <c r="G271" s="96"/>
    </row>
    <row r="272">
      <c r="C272" s="95"/>
      <c r="D272" s="95"/>
      <c r="F272" s="96"/>
      <c r="G272" s="96"/>
    </row>
    <row r="273">
      <c r="C273" s="95"/>
      <c r="D273" s="95"/>
      <c r="F273" s="96"/>
      <c r="G273" s="96"/>
    </row>
    <row r="274">
      <c r="C274" s="95"/>
      <c r="D274" s="95"/>
      <c r="F274" s="96"/>
      <c r="G274" s="96"/>
    </row>
    <row r="275">
      <c r="C275" s="95"/>
      <c r="D275" s="95"/>
      <c r="F275" s="96"/>
      <c r="G275" s="96"/>
    </row>
    <row r="276">
      <c r="C276" s="95"/>
      <c r="D276" s="95"/>
      <c r="F276" s="96"/>
      <c r="G276" s="96"/>
    </row>
    <row r="277">
      <c r="C277" s="95"/>
      <c r="D277" s="95"/>
      <c r="F277" s="96"/>
      <c r="G277" s="96"/>
    </row>
    <row r="278">
      <c r="C278" s="95"/>
      <c r="D278" s="95"/>
      <c r="F278" s="96"/>
      <c r="G278" s="96"/>
    </row>
    <row r="279">
      <c r="C279" s="95"/>
      <c r="D279" s="95"/>
      <c r="F279" s="96"/>
      <c r="G279" s="96"/>
    </row>
    <row r="280">
      <c r="C280" s="95"/>
      <c r="D280" s="95"/>
      <c r="F280" s="96"/>
      <c r="G280" s="96"/>
    </row>
    <row r="281">
      <c r="C281" s="95"/>
      <c r="D281" s="95"/>
      <c r="F281" s="96"/>
      <c r="G281" s="96"/>
    </row>
    <row r="282">
      <c r="C282" s="95"/>
      <c r="D282" s="95"/>
      <c r="F282" s="96"/>
      <c r="G282" s="96"/>
    </row>
    <row r="283">
      <c r="C283" s="95"/>
      <c r="D283" s="95"/>
      <c r="F283" s="96"/>
      <c r="G283" s="96"/>
    </row>
    <row r="284">
      <c r="C284" s="95"/>
      <c r="D284" s="95"/>
      <c r="F284" s="96"/>
      <c r="G284" s="96"/>
    </row>
    <row r="285">
      <c r="C285" s="95"/>
      <c r="D285" s="95"/>
      <c r="F285" s="96"/>
      <c r="G285" s="96"/>
    </row>
    <row r="286">
      <c r="C286" s="95"/>
      <c r="D286" s="95"/>
      <c r="F286" s="96"/>
      <c r="G286" s="96"/>
    </row>
    <row r="287">
      <c r="C287" s="95"/>
      <c r="D287" s="95"/>
      <c r="F287" s="96"/>
      <c r="G287" s="96"/>
    </row>
    <row r="288">
      <c r="C288" s="95"/>
      <c r="D288" s="95"/>
      <c r="F288" s="96"/>
      <c r="G288" s="96"/>
    </row>
    <row r="289">
      <c r="C289" s="95"/>
      <c r="D289" s="95"/>
      <c r="F289" s="96"/>
      <c r="G289" s="96"/>
    </row>
    <row r="290">
      <c r="C290" s="95"/>
      <c r="D290" s="95"/>
      <c r="F290" s="96"/>
      <c r="G290" s="96"/>
    </row>
    <row r="291">
      <c r="C291" s="95"/>
      <c r="D291" s="95"/>
      <c r="F291" s="96"/>
      <c r="G291" s="96"/>
    </row>
    <row r="292">
      <c r="C292" s="95"/>
      <c r="D292" s="95"/>
      <c r="F292" s="96"/>
      <c r="G292" s="96"/>
    </row>
    <row r="293">
      <c r="C293" s="95"/>
      <c r="D293" s="95"/>
      <c r="F293" s="96"/>
      <c r="G293" s="96"/>
    </row>
    <row r="294">
      <c r="C294" s="95"/>
      <c r="D294" s="95"/>
      <c r="F294" s="96"/>
      <c r="G294" s="96"/>
    </row>
    <row r="295">
      <c r="C295" s="95"/>
      <c r="D295" s="95"/>
      <c r="F295" s="96"/>
      <c r="G295" s="96"/>
    </row>
    <row r="296">
      <c r="C296" s="95"/>
      <c r="D296" s="95"/>
      <c r="F296" s="96"/>
      <c r="G296" s="96"/>
    </row>
    <row r="297">
      <c r="C297" s="95"/>
      <c r="D297" s="95"/>
      <c r="F297" s="96"/>
      <c r="G297" s="96"/>
    </row>
    <row r="298">
      <c r="C298" s="95"/>
      <c r="D298" s="95"/>
      <c r="F298" s="96"/>
      <c r="G298" s="96"/>
    </row>
    <row r="299">
      <c r="C299" s="95"/>
      <c r="D299" s="95"/>
      <c r="F299" s="96"/>
      <c r="G299" s="96"/>
    </row>
    <row r="300">
      <c r="C300" s="95"/>
      <c r="D300" s="95"/>
      <c r="F300" s="96"/>
      <c r="G300" s="96"/>
    </row>
    <row r="301">
      <c r="C301" s="95"/>
      <c r="D301" s="95"/>
      <c r="F301" s="96"/>
      <c r="G301" s="96"/>
    </row>
    <row r="302">
      <c r="C302" s="95"/>
      <c r="D302" s="95"/>
      <c r="F302" s="96"/>
      <c r="G302" s="96"/>
    </row>
    <row r="303">
      <c r="C303" s="95"/>
      <c r="D303" s="95"/>
      <c r="F303" s="96"/>
      <c r="G303" s="96"/>
    </row>
    <row r="304">
      <c r="C304" s="95"/>
      <c r="D304" s="95"/>
      <c r="F304" s="96"/>
      <c r="G304" s="96"/>
    </row>
    <row r="305">
      <c r="C305" s="95"/>
      <c r="D305" s="95"/>
      <c r="F305" s="96"/>
      <c r="G305" s="96"/>
    </row>
    <row r="306">
      <c r="C306" s="95"/>
      <c r="D306" s="95"/>
      <c r="F306" s="96"/>
      <c r="G306" s="96"/>
    </row>
    <row r="307">
      <c r="C307" s="95"/>
      <c r="D307" s="95"/>
      <c r="F307" s="96"/>
      <c r="G307" s="96"/>
    </row>
    <row r="308">
      <c r="C308" s="95"/>
      <c r="D308" s="95"/>
      <c r="F308" s="96"/>
      <c r="G308" s="96"/>
    </row>
    <row r="309">
      <c r="C309" s="95"/>
      <c r="D309" s="95"/>
      <c r="F309" s="96"/>
      <c r="G309" s="96"/>
    </row>
    <row r="310">
      <c r="C310" s="95"/>
      <c r="D310" s="95"/>
      <c r="F310" s="96"/>
      <c r="G310" s="96"/>
    </row>
    <row r="311">
      <c r="C311" s="95"/>
      <c r="D311" s="95"/>
      <c r="F311" s="96"/>
      <c r="G311" s="96"/>
    </row>
    <row r="312">
      <c r="C312" s="95"/>
      <c r="D312" s="95"/>
      <c r="F312" s="96"/>
      <c r="G312" s="96"/>
    </row>
    <row r="313">
      <c r="C313" s="95"/>
      <c r="D313" s="95"/>
      <c r="F313" s="96"/>
      <c r="G313" s="96"/>
    </row>
    <row r="314">
      <c r="C314" s="95"/>
      <c r="D314" s="95"/>
      <c r="F314" s="96"/>
      <c r="G314" s="96"/>
    </row>
    <row r="315">
      <c r="C315" s="95"/>
      <c r="D315" s="95"/>
      <c r="F315" s="96"/>
      <c r="G315" s="96"/>
    </row>
    <row r="316">
      <c r="C316" s="95"/>
      <c r="D316" s="95"/>
      <c r="F316" s="96"/>
      <c r="G316" s="96"/>
    </row>
    <row r="317">
      <c r="C317" s="95"/>
      <c r="D317" s="95"/>
      <c r="F317" s="96"/>
      <c r="G317" s="96"/>
    </row>
    <row r="318">
      <c r="C318" s="95"/>
      <c r="D318" s="95"/>
      <c r="F318" s="96"/>
      <c r="G318" s="96"/>
    </row>
    <row r="319">
      <c r="C319" s="95"/>
      <c r="D319" s="95"/>
      <c r="F319" s="96"/>
      <c r="G319" s="96"/>
    </row>
    <row r="320">
      <c r="C320" s="95"/>
      <c r="D320" s="95"/>
      <c r="F320" s="96"/>
      <c r="G320" s="96"/>
    </row>
    <row r="321">
      <c r="C321" s="95"/>
      <c r="D321" s="95"/>
      <c r="F321" s="96"/>
      <c r="G321" s="96"/>
    </row>
    <row r="322">
      <c r="C322" s="95"/>
      <c r="D322" s="95"/>
      <c r="F322" s="96"/>
      <c r="G322" s="96"/>
    </row>
    <row r="323">
      <c r="C323" s="95"/>
      <c r="D323" s="95"/>
      <c r="F323" s="96"/>
      <c r="G323" s="96"/>
    </row>
    <row r="324">
      <c r="C324" s="95"/>
      <c r="D324" s="95"/>
      <c r="F324" s="96"/>
      <c r="G324" s="96"/>
    </row>
    <row r="325">
      <c r="C325" s="95"/>
      <c r="D325" s="95"/>
      <c r="F325" s="96"/>
      <c r="G325" s="96"/>
    </row>
    <row r="326">
      <c r="C326" s="95"/>
      <c r="D326" s="95"/>
      <c r="F326" s="96"/>
      <c r="G326" s="96"/>
    </row>
    <row r="327">
      <c r="C327" s="95"/>
      <c r="D327" s="95"/>
      <c r="F327" s="96"/>
      <c r="G327" s="96"/>
    </row>
    <row r="328">
      <c r="C328" s="95"/>
      <c r="D328" s="95"/>
      <c r="F328" s="96"/>
      <c r="G328" s="96"/>
    </row>
    <row r="329">
      <c r="C329" s="95"/>
      <c r="D329" s="95"/>
      <c r="F329" s="96"/>
      <c r="G329" s="96"/>
    </row>
    <row r="330">
      <c r="C330" s="95"/>
      <c r="D330" s="95"/>
      <c r="F330" s="96"/>
      <c r="G330" s="96"/>
    </row>
    <row r="331">
      <c r="C331" s="95"/>
      <c r="D331" s="95"/>
      <c r="F331" s="96"/>
      <c r="G331" s="96"/>
    </row>
    <row r="332">
      <c r="C332" s="95"/>
      <c r="D332" s="95"/>
      <c r="F332" s="96"/>
      <c r="G332" s="96"/>
    </row>
    <row r="333">
      <c r="C333" s="95"/>
      <c r="D333" s="95"/>
      <c r="F333" s="96"/>
      <c r="G333" s="96"/>
    </row>
    <row r="334">
      <c r="C334" s="95"/>
      <c r="D334" s="95"/>
      <c r="F334" s="96"/>
      <c r="G334" s="96"/>
    </row>
    <row r="335">
      <c r="C335" s="95"/>
      <c r="D335" s="95"/>
      <c r="F335" s="96"/>
      <c r="G335" s="96"/>
    </row>
    <row r="336">
      <c r="C336" s="95"/>
      <c r="D336" s="95"/>
      <c r="F336" s="96"/>
      <c r="G336" s="96"/>
    </row>
    <row r="337">
      <c r="C337" s="95"/>
      <c r="D337" s="95"/>
      <c r="F337" s="96"/>
      <c r="G337" s="96"/>
    </row>
    <row r="338">
      <c r="C338" s="95"/>
      <c r="D338" s="95"/>
      <c r="F338" s="96"/>
      <c r="G338" s="96"/>
    </row>
    <row r="339">
      <c r="C339" s="95"/>
      <c r="D339" s="95"/>
      <c r="F339" s="96"/>
      <c r="G339" s="96"/>
    </row>
    <row r="340">
      <c r="C340" s="95"/>
      <c r="D340" s="95"/>
      <c r="F340" s="96"/>
      <c r="G340" s="96"/>
    </row>
    <row r="341">
      <c r="C341" s="95"/>
      <c r="D341" s="95"/>
      <c r="F341" s="96"/>
      <c r="G341" s="96"/>
    </row>
    <row r="342">
      <c r="C342" s="95"/>
      <c r="D342" s="95"/>
      <c r="F342" s="96"/>
      <c r="G342" s="96"/>
    </row>
    <row r="343">
      <c r="C343" s="95"/>
      <c r="D343" s="95"/>
      <c r="F343" s="96"/>
      <c r="G343" s="96"/>
    </row>
    <row r="344">
      <c r="C344" s="95"/>
      <c r="D344" s="95"/>
      <c r="F344" s="96"/>
      <c r="G344" s="96"/>
    </row>
    <row r="345">
      <c r="C345" s="95"/>
      <c r="D345" s="95"/>
      <c r="F345" s="96"/>
      <c r="G345" s="96"/>
    </row>
    <row r="346">
      <c r="C346" s="95"/>
      <c r="D346" s="95"/>
      <c r="F346" s="96"/>
      <c r="G346" s="96"/>
    </row>
    <row r="347">
      <c r="C347" s="95"/>
      <c r="D347" s="95"/>
      <c r="F347" s="96"/>
      <c r="G347" s="96"/>
    </row>
    <row r="348">
      <c r="C348" s="95"/>
      <c r="D348" s="95"/>
      <c r="F348" s="96"/>
      <c r="G348" s="96"/>
    </row>
    <row r="349">
      <c r="C349" s="95"/>
      <c r="D349" s="95"/>
      <c r="F349" s="96"/>
      <c r="G349" s="96"/>
    </row>
    <row r="350">
      <c r="C350" s="95"/>
      <c r="D350" s="95"/>
      <c r="F350" s="96"/>
      <c r="G350" s="96"/>
    </row>
    <row r="351">
      <c r="C351" s="95"/>
      <c r="D351" s="95"/>
      <c r="F351" s="96"/>
      <c r="G351" s="96"/>
    </row>
    <row r="352">
      <c r="C352" s="95"/>
      <c r="D352" s="95"/>
      <c r="F352" s="96"/>
      <c r="G352" s="96"/>
    </row>
    <row r="353">
      <c r="C353" s="95"/>
      <c r="D353" s="95"/>
      <c r="F353" s="96"/>
      <c r="G353" s="96"/>
    </row>
    <row r="354">
      <c r="C354" s="95"/>
      <c r="D354" s="95"/>
      <c r="F354" s="96"/>
      <c r="G354" s="96"/>
    </row>
    <row r="355">
      <c r="C355" s="95"/>
      <c r="D355" s="95"/>
      <c r="F355" s="96"/>
      <c r="G355" s="96"/>
    </row>
    <row r="356">
      <c r="C356" s="95"/>
      <c r="D356" s="95"/>
      <c r="F356" s="96"/>
      <c r="G356" s="96"/>
    </row>
    <row r="357">
      <c r="C357" s="95"/>
      <c r="D357" s="95"/>
      <c r="F357" s="96"/>
      <c r="G357" s="96"/>
    </row>
    <row r="358">
      <c r="C358" s="95"/>
      <c r="D358" s="95"/>
      <c r="F358" s="96"/>
      <c r="G358" s="96"/>
    </row>
    <row r="359">
      <c r="C359" s="95"/>
      <c r="D359" s="95"/>
      <c r="F359" s="96"/>
      <c r="G359" s="96"/>
    </row>
    <row r="360">
      <c r="C360" s="95"/>
      <c r="D360" s="95"/>
      <c r="F360" s="96"/>
      <c r="G360" s="96"/>
    </row>
    <row r="361">
      <c r="C361" s="95"/>
      <c r="D361" s="95"/>
      <c r="F361" s="96"/>
      <c r="G361" s="96"/>
    </row>
    <row r="362">
      <c r="C362" s="95"/>
      <c r="D362" s="95"/>
      <c r="F362" s="96"/>
      <c r="G362" s="96"/>
    </row>
    <row r="363">
      <c r="C363" s="95"/>
      <c r="D363" s="95"/>
      <c r="F363" s="96"/>
      <c r="G363" s="96"/>
    </row>
    <row r="364">
      <c r="C364" s="95"/>
      <c r="D364" s="95"/>
      <c r="F364" s="96"/>
      <c r="G364" s="96"/>
    </row>
    <row r="365">
      <c r="C365" s="95"/>
      <c r="D365" s="95"/>
      <c r="F365" s="96"/>
      <c r="G365" s="96"/>
    </row>
    <row r="366">
      <c r="C366" s="95"/>
      <c r="D366" s="95"/>
      <c r="F366" s="96"/>
      <c r="G366" s="96"/>
    </row>
    <row r="367">
      <c r="C367" s="95"/>
      <c r="D367" s="95"/>
      <c r="F367" s="96"/>
      <c r="G367" s="96"/>
    </row>
    <row r="368">
      <c r="C368" s="95"/>
      <c r="D368" s="95"/>
      <c r="F368" s="96"/>
      <c r="G368" s="96"/>
    </row>
    <row r="369">
      <c r="C369" s="95"/>
      <c r="D369" s="95"/>
      <c r="F369" s="96"/>
      <c r="G369" s="96"/>
    </row>
    <row r="370">
      <c r="C370" s="95"/>
      <c r="D370" s="95"/>
      <c r="F370" s="96"/>
      <c r="G370" s="96"/>
    </row>
    <row r="371">
      <c r="C371" s="95"/>
      <c r="D371" s="95"/>
      <c r="F371" s="96"/>
      <c r="G371" s="96"/>
    </row>
    <row r="372">
      <c r="C372" s="95"/>
      <c r="D372" s="95"/>
      <c r="F372" s="96"/>
      <c r="G372" s="96"/>
    </row>
    <row r="373">
      <c r="C373" s="95"/>
      <c r="D373" s="95"/>
      <c r="F373" s="96"/>
      <c r="G373" s="96"/>
    </row>
    <row r="374">
      <c r="C374" s="95"/>
      <c r="D374" s="95"/>
      <c r="F374" s="96"/>
      <c r="G374" s="96"/>
    </row>
    <row r="375">
      <c r="C375" s="95"/>
      <c r="D375" s="95"/>
      <c r="F375" s="96"/>
      <c r="G375" s="96"/>
    </row>
    <row r="376">
      <c r="C376" s="95"/>
      <c r="D376" s="95"/>
      <c r="F376" s="96"/>
      <c r="G376" s="96"/>
    </row>
    <row r="377">
      <c r="C377" s="95"/>
      <c r="D377" s="95"/>
      <c r="F377" s="96"/>
      <c r="G377" s="96"/>
    </row>
    <row r="378">
      <c r="C378" s="95"/>
      <c r="D378" s="95"/>
      <c r="F378" s="96"/>
      <c r="G378" s="96"/>
    </row>
    <row r="379">
      <c r="C379" s="95"/>
      <c r="D379" s="95"/>
      <c r="F379" s="96"/>
      <c r="G379" s="96"/>
    </row>
    <row r="380">
      <c r="C380" s="95"/>
      <c r="D380" s="95"/>
      <c r="F380" s="96"/>
      <c r="G380" s="96"/>
    </row>
    <row r="381">
      <c r="C381" s="95"/>
      <c r="D381" s="95"/>
      <c r="F381" s="96"/>
      <c r="G381" s="96"/>
    </row>
    <row r="382">
      <c r="C382" s="95"/>
      <c r="D382" s="95"/>
      <c r="F382" s="96"/>
      <c r="G382" s="96"/>
    </row>
    <row r="383">
      <c r="C383" s="95"/>
      <c r="D383" s="95"/>
      <c r="F383" s="96"/>
      <c r="G383" s="96"/>
    </row>
    <row r="384">
      <c r="C384" s="95"/>
      <c r="D384" s="95"/>
      <c r="F384" s="96"/>
      <c r="G384" s="96"/>
    </row>
    <row r="385">
      <c r="C385" s="95"/>
      <c r="D385" s="95"/>
      <c r="F385" s="96"/>
      <c r="G385" s="96"/>
    </row>
    <row r="386">
      <c r="C386" s="95"/>
      <c r="D386" s="95"/>
      <c r="F386" s="96"/>
      <c r="G386" s="96"/>
    </row>
    <row r="387">
      <c r="C387" s="95"/>
      <c r="D387" s="95"/>
      <c r="F387" s="96"/>
      <c r="G387" s="96"/>
    </row>
    <row r="388">
      <c r="C388" s="95"/>
      <c r="D388" s="95"/>
      <c r="F388" s="96"/>
      <c r="G388" s="96"/>
    </row>
    <row r="389">
      <c r="C389" s="95"/>
      <c r="D389" s="95"/>
      <c r="F389" s="96"/>
      <c r="G389" s="96"/>
    </row>
    <row r="390">
      <c r="C390" s="95"/>
      <c r="D390" s="95"/>
      <c r="F390" s="96"/>
      <c r="G390" s="96"/>
    </row>
    <row r="391">
      <c r="C391" s="95"/>
      <c r="D391" s="95"/>
      <c r="F391" s="96"/>
      <c r="G391" s="96"/>
    </row>
    <row r="392">
      <c r="C392" s="95"/>
      <c r="D392" s="95"/>
      <c r="F392" s="96"/>
      <c r="G392" s="96"/>
    </row>
    <row r="393">
      <c r="C393" s="95"/>
      <c r="D393" s="95"/>
      <c r="F393" s="96"/>
      <c r="G393" s="96"/>
    </row>
    <row r="394">
      <c r="C394" s="95"/>
      <c r="D394" s="95"/>
      <c r="F394" s="96"/>
      <c r="G394" s="96"/>
    </row>
    <row r="395">
      <c r="C395" s="95"/>
      <c r="D395" s="95"/>
      <c r="F395" s="96"/>
      <c r="G395" s="96"/>
    </row>
    <row r="396">
      <c r="C396" s="95"/>
      <c r="D396" s="95"/>
      <c r="F396" s="96"/>
      <c r="G396" s="96"/>
    </row>
    <row r="397">
      <c r="C397" s="95"/>
      <c r="D397" s="95"/>
      <c r="F397" s="96"/>
      <c r="G397" s="96"/>
    </row>
    <row r="398">
      <c r="C398" s="95"/>
      <c r="D398" s="95"/>
      <c r="F398" s="96"/>
      <c r="G398" s="96"/>
    </row>
    <row r="399">
      <c r="C399" s="95"/>
      <c r="D399" s="95"/>
      <c r="F399" s="96"/>
      <c r="G399" s="96"/>
    </row>
    <row r="400">
      <c r="C400" s="95"/>
      <c r="D400" s="95"/>
      <c r="F400" s="96"/>
      <c r="G400" s="96"/>
    </row>
    <row r="401">
      <c r="C401" s="95"/>
      <c r="D401" s="95"/>
      <c r="F401" s="96"/>
      <c r="G401" s="96"/>
    </row>
    <row r="402">
      <c r="C402" s="95"/>
      <c r="D402" s="95"/>
      <c r="F402" s="96"/>
      <c r="G402" s="96"/>
    </row>
    <row r="403">
      <c r="C403" s="95"/>
      <c r="D403" s="95"/>
      <c r="F403" s="96"/>
      <c r="G403" s="96"/>
    </row>
    <row r="404">
      <c r="C404" s="95"/>
      <c r="D404" s="95"/>
      <c r="F404" s="96"/>
      <c r="G404" s="96"/>
    </row>
    <row r="405">
      <c r="C405" s="95"/>
      <c r="D405" s="95"/>
      <c r="F405" s="96"/>
      <c r="G405" s="96"/>
    </row>
    <row r="406">
      <c r="C406" s="95"/>
      <c r="D406" s="95"/>
      <c r="F406" s="96"/>
      <c r="G406" s="96"/>
    </row>
    <row r="407">
      <c r="C407" s="95"/>
      <c r="D407" s="95"/>
      <c r="F407" s="96"/>
      <c r="G407" s="96"/>
    </row>
    <row r="408">
      <c r="C408" s="95"/>
      <c r="D408" s="95"/>
      <c r="F408" s="96"/>
      <c r="G408" s="96"/>
    </row>
    <row r="409">
      <c r="C409" s="95"/>
      <c r="D409" s="95"/>
      <c r="F409" s="96"/>
      <c r="G409" s="96"/>
    </row>
    <row r="410">
      <c r="C410" s="95"/>
      <c r="D410" s="95"/>
      <c r="F410" s="96"/>
      <c r="G410" s="96"/>
    </row>
    <row r="411">
      <c r="C411" s="95"/>
      <c r="D411" s="95"/>
      <c r="F411" s="96"/>
      <c r="G411" s="96"/>
    </row>
    <row r="412">
      <c r="C412" s="95"/>
      <c r="D412" s="95"/>
      <c r="F412" s="96"/>
      <c r="G412" s="96"/>
    </row>
    <row r="413">
      <c r="C413" s="95"/>
      <c r="D413" s="95"/>
      <c r="F413" s="96"/>
      <c r="G413" s="96"/>
    </row>
    <row r="414">
      <c r="C414" s="95"/>
      <c r="D414" s="95"/>
      <c r="F414" s="96"/>
      <c r="G414" s="96"/>
    </row>
    <row r="415">
      <c r="C415" s="95"/>
      <c r="D415" s="95"/>
      <c r="F415" s="96"/>
      <c r="G415" s="96"/>
    </row>
    <row r="416">
      <c r="C416" s="95"/>
      <c r="D416" s="95"/>
      <c r="F416" s="96"/>
      <c r="G416" s="96"/>
    </row>
    <row r="417">
      <c r="C417" s="95"/>
      <c r="D417" s="95"/>
      <c r="F417" s="96"/>
      <c r="G417" s="96"/>
    </row>
    <row r="418">
      <c r="C418" s="95"/>
      <c r="D418" s="95"/>
      <c r="F418" s="96"/>
      <c r="G418" s="96"/>
    </row>
    <row r="419">
      <c r="C419" s="95"/>
      <c r="D419" s="95"/>
      <c r="F419" s="96"/>
      <c r="G419" s="96"/>
    </row>
    <row r="420">
      <c r="C420" s="95"/>
      <c r="D420" s="95"/>
      <c r="F420" s="96"/>
      <c r="G420" s="96"/>
    </row>
    <row r="421">
      <c r="C421" s="95"/>
      <c r="D421" s="95"/>
      <c r="F421" s="96"/>
      <c r="G421" s="96"/>
    </row>
    <row r="422">
      <c r="C422" s="95"/>
      <c r="D422" s="95"/>
      <c r="F422" s="96"/>
      <c r="G422" s="96"/>
    </row>
    <row r="423">
      <c r="C423" s="95"/>
      <c r="D423" s="95"/>
      <c r="F423" s="96"/>
      <c r="G423" s="96"/>
    </row>
    <row r="424">
      <c r="C424" s="95"/>
      <c r="D424" s="95"/>
      <c r="F424" s="96"/>
      <c r="G424" s="96"/>
    </row>
    <row r="425">
      <c r="C425" s="95"/>
      <c r="D425" s="95"/>
      <c r="F425" s="96"/>
      <c r="G425" s="96"/>
    </row>
    <row r="426">
      <c r="C426" s="95"/>
      <c r="D426" s="95"/>
      <c r="F426" s="96"/>
      <c r="G426" s="96"/>
    </row>
    <row r="427">
      <c r="C427" s="95"/>
      <c r="D427" s="95"/>
      <c r="F427" s="96"/>
      <c r="G427" s="96"/>
    </row>
    <row r="428">
      <c r="C428" s="95"/>
      <c r="D428" s="95"/>
      <c r="F428" s="96"/>
      <c r="G428" s="96"/>
    </row>
    <row r="429">
      <c r="C429" s="95"/>
      <c r="D429" s="95"/>
      <c r="F429" s="96"/>
      <c r="G429" s="96"/>
    </row>
    <row r="430">
      <c r="C430" s="95"/>
      <c r="D430" s="95"/>
      <c r="F430" s="96"/>
      <c r="G430" s="96"/>
    </row>
    <row r="431">
      <c r="C431" s="95"/>
      <c r="D431" s="95"/>
      <c r="F431" s="96"/>
      <c r="G431" s="96"/>
    </row>
    <row r="432">
      <c r="C432" s="95"/>
      <c r="D432" s="95"/>
      <c r="F432" s="96"/>
      <c r="G432" s="96"/>
    </row>
    <row r="433">
      <c r="C433" s="95"/>
      <c r="D433" s="95"/>
      <c r="F433" s="96"/>
      <c r="G433" s="96"/>
    </row>
    <row r="434">
      <c r="C434" s="95"/>
      <c r="D434" s="95"/>
      <c r="F434" s="96"/>
      <c r="G434" s="96"/>
    </row>
    <row r="435">
      <c r="C435" s="95"/>
      <c r="D435" s="95"/>
      <c r="F435" s="96"/>
      <c r="G435" s="96"/>
    </row>
    <row r="436">
      <c r="C436" s="95"/>
      <c r="D436" s="95"/>
      <c r="F436" s="96"/>
      <c r="G436" s="96"/>
    </row>
    <row r="437">
      <c r="C437" s="95"/>
      <c r="D437" s="95"/>
      <c r="F437" s="96"/>
      <c r="G437" s="96"/>
    </row>
    <row r="438">
      <c r="C438" s="95"/>
      <c r="D438" s="95"/>
      <c r="F438" s="96"/>
      <c r="G438" s="96"/>
    </row>
    <row r="439">
      <c r="C439" s="95"/>
      <c r="D439" s="95"/>
      <c r="F439" s="96"/>
      <c r="G439" s="96"/>
    </row>
    <row r="440">
      <c r="C440" s="95"/>
      <c r="D440" s="95"/>
      <c r="F440" s="96"/>
      <c r="G440" s="96"/>
    </row>
    <row r="441">
      <c r="C441" s="95"/>
      <c r="D441" s="95"/>
      <c r="F441" s="96"/>
      <c r="G441" s="96"/>
    </row>
    <row r="442">
      <c r="C442" s="95"/>
      <c r="D442" s="95"/>
      <c r="F442" s="96"/>
      <c r="G442" s="96"/>
    </row>
    <row r="443">
      <c r="C443" s="95"/>
      <c r="D443" s="95"/>
      <c r="F443" s="96"/>
      <c r="G443" s="96"/>
    </row>
    <row r="444">
      <c r="C444" s="95"/>
      <c r="D444" s="95"/>
      <c r="F444" s="96"/>
      <c r="G444" s="96"/>
    </row>
    <row r="445">
      <c r="C445" s="95"/>
      <c r="D445" s="95"/>
      <c r="F445" s="96"/>
      <c r="G445" s="96"/>
    </row>
    <row r="446">
      <c r="C446" s="95"/>
      <c r="D446" s="95"/>
      <c r="F446" s="96"/>
      <c r="G446" s="96"/>
    </row>
    <row r="447">
      <c r="C447" s="95"/>
      <c r="D447" s="95"/>
      <c r="F447" s="96"/>
      <c r="G447" s="96"/>
    </row>
    <row r="448">
      <c r="C448" s="95"/>
      <c r="D448" s="95"/>
      <c r="F448" s="96"/>
      <c r="G448" s="96"/>
    </row>
    <row r="449">
      <c r="C449" s="95"/>
      <c r="D449" s="95"/>
      <c r="F449" s="96"/>
      <c r="G449" s="96"/>
    </row>
    <row r="450">
      <c r="C450" s="95"/>
      <c r="D450" s="95"/>
      <c r="F450" s="96"/>
      <c r="G450" s="96"/>
    </row>
    <row r="451">
      <c r="C451" s="95"/>
      <c r="D451" s="95"/>
      <c r="F451" s="96"/>
      <c r="G451" s="96"/>
    </row>
    <row r="452">
      <c r="C452" s="95"/>
      <c r="D452" s="95"/>
      <c r="F452" s="96"/>
      <c r="G452" s="96"/>
    </row>
    <row r="453">
      <c r="C453" s="95"/>
      <c r="D453" s="95"/>
      <c r="F453" s="96"/>
      <c r="G453" s="96"/>
    </row>
    <row r="454">
      <c r="C454" s="95"/>
      <c r="D454" s="95"/>
      <c r="F454" s="96"/>
      <c r="G454" s="96"/>
    </row>
    <row r="455">
      <c r="C455" s="95"/>
      <c r="D455" s="95"/>
      <c r="F455" s="96"/>
      <c r="G455" s="96"/>
    </row>
    <row r="456">
      <c r="C456" s="95"/>
      <c r="D456" s="95"/>
      <c r="F456" s="96"/>
      <c r="G456" s="96"/>
    </row>
    <row r="457">
      <c r="C457" s="95"/>
      <c r="D457" s="95"/>
      <c r="F457" s="96"/>
      <c r="G457" s="96"/>
    </row>
    <row r="458">
      <c r="C458" s="95"/>
      <c r="D458" s="95"/>
      <c r="F458" s="96"/>
      <c r="G458" s="96"/>
    </row>
    <row r="459">
      <c r="C459" s="95"/>
      <c r="D459" s="95"/>
      <c r="F459" s="96"/>
      <c r="G459" s="96"/>
    </row>
    <row r="460">
      <c r="C460" s="95"/>
      <c r="D460" s="95"/>
      <c r="F460" s="96"/>
      <c r="G460" s="96"/>
    </row>
    <row r="461">
      <c r="C461" s="95"/>
      <c r="D461" s="95"/>
      <c r="F461" s="96"/>
      <c r="G461" s="96"/>
    </row>
    <row r="462">
      <c r="C462" s="95"/>
      <c r="D462" s="95"/>
      <c r="F462" s="96"/>
      <c r="G462" s="96"/>
    </row>
    <row r="463">
      <c r="C463" s="95"/>
      <c r="D463" s="95"/>
      <c r="F463" s="96"/>
      <c r="G463" s="96"/>
    </row>
    <row r="464">
      <c r="C464" s="95"/>
      <c r="D464" s="95"/>
      <c r="F464" s="96"/>
      <c r="G464" s="96"/>
    </row>
    <row r="465">
      <c r="C465" s="95"/>
      <c r="D465" s="95"/>
      <c r="F465" s="96"/>
      <c r="G465" s="96"/>
    </row>
    <row r="466">
      <c r="C466" s="95"/>
      <c r="D466" s="95"/>
      <c r="F466" s="96"/>
      <c r="G466" s="96"/>
    </row>
    <row r="467">
      <c r="C467" s="95"/>
      <c r="D467" s="95"/>
      <c r="F467" s="96"/>
      <c r="G467" s="96"/>
    </row>
    <row r="468">
      <c r="C468" s="95"/>
      <c r="D468" s="95"/>
      <c r="F468" s="96"/>
      <c r="G468" s="96"/>
    </row>
    <row r="469">
      <c r="C469" s="95"/>
      <c r="D469" s="95"/>
      <c r="F469" s="96"/>
      <c r="G469" s="96"/>
    </row>
    <row r="470">
      <c r="C470" s="95"/>
      <c r="D470" s="95"/>
      <c r="F470" s="96"/>
      <c r="G470" s="96"/>
    </row>
    <row r="471">
      <c r="C471" s="95"/>
      <c r="D471" s="95"/>
      <c r="F471" s="96"/>
      <c r="G471" s="96"/>
    </row>
    <row r="472">
      <c r="C472" s="95"/>
      <c r="D472" s="95"/>
      <c r="F472" s="96"/>
      <c r="G472" s="96"/>
    </row>
    <row r="473">
      <c r="C473" s="95"/>
      <c r="D473" s="95"/>
      <c r="F473" s="96"/>
      <c r="G473" s="96"/>
    </row>
    <row r="474">
      <c r="C474" s="95"/>
      <c r="D474" s="95"/>
      <c r="F474" s="96"/>
      <c r="G474" s="96"/>
    </row>
    <row r="475">
      <c r="C475" s="95"/>
      <c r="D475" s="95"/>
      <c r="F475" s="96"/>
      <c r="G475" s="96"/>
    </row>
    <row r="476">
      <c r="C476" s="95"/>
      <c r="D476" s="95"/>
      <c r="F476" s="96"/>
      <c r="G476" s="96"/>
    </row>
    <row r="477">
      <c r="C477" s="95"/>
      <c r="D477" s="95"/>
      <c r="F477" s="96"/>
      <c r="G477" s="96"/>
    </row>
    <row r="478">
      <c r="C478" s="95"/>
      <c r="D478" s="95"/>
      <c r="F478" s="96"/>
      <c r="G478" s="96"/>
    </row>
    <row r="479">
      <c r="C479" s="95"/>
      <c r="D479" s="95"/>
      <c r="F479" s="96"/>
      <c r="G479" s="96"/>
    </row>
    <row r="480">
      <c r="C480" s="95"/>
      <c r="D480" s="95"/>
      <c r="F480" s="96"/>
      <c r="G480" s="96"/>
    </row>
    <row r="481">
      <c r="C481" s="95"/>
      <c r="D481" s="95"/>
      <c r="F481" s="96"/>
      <c r="G481" s="96"/>
    </row>
    <row r="482">
      <c r="C482" s="95"/>
      <c r="D482" s="95"/>
      <c r="F482" s="96"/>
      <c r="G482" s="96"/>
    </row>
    <row r="483">
      <c r="C483" s="95"/>
      <c r="D483" s="95"/>
      <c r="F483" s="96"/>
      <c r="G483" s="96"/>
    </row>
    <row r="484">
      <c r="C484" s="95"/>
      <c r="D484" s="95"/>
      <c r="F484" s="96"/>
      <c r="G484" s="96"/>
    </row>
    <row r="485">
      <c r="C485" s="95"/>
      <c r="D485" s="95"/>
      <c r="F485" s="96"/>
      <c r="G485" s="96"/>
    </row>
    <row r="486">
      <c r="C486" s="95"/>
      <c r="D486" s="95"/>
      <c r="F486" s="96"/>
      <c r="G486" s="96"/>
    </row>
    <row r="487">
      <c r="C487" s="95"/>
      <c r="D487" s="95"/>
      <c r="F487" s="96"/>
      <c r="G487" s="96"/>
    </row>
    <row r="488">
      <c r="C488" s="95"/>
      <c r="D488" s="95"/>
      <c r="F488" s="96"/>
      <c r="G488" s="96"/>
    </row>
    <row r="489">
      <c r="C489" s="95"/>
      <c r="D489" s="95"/>
      <c r="F489" s="96"/>
      <c r="G489" s="96"/>
    </row>
    <row r="490">
      <c r="C490" s="95"/>
      <c r="D490" s="95"/>
      <c r="F490" s="96"/>
      <c r="G490" s="96"/>
    </row>
    <row r="491">
      <c r="C491" s="95"/>
      <c r="D491" s="95"/>
      <c r="F491" s="96"/>
      <c r="G491" s="96"/>
    </row>
    <row r="492">
      <c r="C492" s="95"/>
      <c r="D492" s="95"/>
      <c r="F492" s="96"/>
      <c r="G492" s="96"/>
    </row>
    <row r="493">
      <c r="C493" s="95"/>
      <c r="D493" s="95"/>
      <c r="F493" s="96"/>
      <c r="G493" s="96"/>
    </row>
    <row r="494">
      <c r="C494" s="95"/>
      <c r="D494" s="95"/>
      <c r="F494" s="96"/>
      <c r="G494" s="96"/>
    </row>
    <row r="495">
      <c r="C495" s="95"/>
      <c r="D495" s="95"/>
      <c r="F495" s="96"/>
      <c r="G495" s="96"/>
    </row>
    <row r="496">
      <c r="C496" s="95"/>
      <c r="D496" s="95"/>
      <c r="F496" s="96"/>
      <c r="G496" s="96"/>
    </row>
    <row r="497">
      <c r="C497" s="95"/>
      <c r="D497" s="95"/>
      <c r="F497" s="96"/>
      <c r="G497" s="96"/>
    </row>
    <row r="498">
      <c r="C498" s="95"/>
      <c r="D498" s="95"/>
      <c r="F498" s="96"/>
      <c r="G498" s="96"/>
    </row>
    <row r="499">
      <c r="C499" s="95"/>
      <c r="D499" s="95"/>
      <c r="F499" s="96"/>
      <c r="G499" s="96"/>
    </row>
    <row r="500">
      <c r="C500" s="95"/>
      <c r="D500" s="95"/>
      <c r="F500" s="96"/>
      <c r="G500" s="96"/>
    </row>
    <row r="501">
      <c r="C501" s="95"/>
      <c r="D501" s="95"/>
      <c r="F501" s="96"/>
      <c r="G501" s="96"/>
    </row>
    <row r="502">
      <c r="C502" s="95"/>
      <c r="D502" s="95"/>
      <c r="F502" s="96"/>
      <c r="G502" s="96"/>
    </row>
    <row r="503">
      <c r="C503" s="95"/>
      <c r="D503" s="95"/>
      <c r="F503" s="96"/>
      <c r="G503" s="96"/>
    </row>
    <row r="504">
      <c r="C504" s="95"/>
      <c r="D504" s="95"/>
      <c r="F504" s="96"/>
      <c r="G504" s="96"/>
    </row>
    <row r="505">
      <c r="C505" s="95"/>
      <c r="D505" s="95"/>
      <c r="F505" s="96"/>
      <c r="G505" s="96"/>
    </row>
    <row r="506">
      <c r="C506" s="95"/>
      <c r="D506" s="95"/>
      <c r="F506" s="96"/>
      <c r="G506" s="96"/>
    </row>
    <row r="507">
      <c r="C507" s="95"/>
      <c r="D507" s="95"/>
      <c r="F507" s="96"/>
      <c r="G507" s="96"/>
    </row>
    <row r="508">
      <c r="C508" s="95"/>
      <c r="D508" s="95"/>
      <c r="F508" s="96"/>
      <c r="G508" s="96"/>
    </row>
    <row r="509">
      <c r="C509" s="95"/>
      <c r="D509" s="95"/>
      <c r="F509" s="96"/>
      <c r="G509" s="96"/>
    </row>
    <row r="510">
      <c r="C510" s="95"/>
      <c r="D510" s="95"/>
      <c r="F510" s="96"/>
      <c r="G510" s="96"/>
    </row>
    <row r="511">
      <c r="C511" s="95"/>
      <c r="D511" s="95"/>
      <c r="F511" s="96"/>
      <c r="G511" s="96"/>
    </row>
    <row r="512">
      <c r="C512" s="95"/>
      <c r="D512" s="95"/>
      <c r="F512" s="96"/>
      <c r="G512" s="96"/>
    </row>
    <row r="513">
      <c r="C513" s="95"/>
      <c r="D513" s="95"/>
      <c r="F513" s="96"/>
      <c r="G513" s="96"/>
    </row>
    <row r="514">
      <c r="C514" s="95"/>
      <c r="D514" s="95"/>
      <c r="F514" s="96"/>
      <c r="G514" s="96"/>
    </row>
    <row r="515">
      <c r="C515" s="95"/>
      <c r="D515" s="95"/>
      <c r="F515" s="96"/>
      <c r="G515" s="96"/>
    </row>
    <row r="516">
      <c r="C516" s="95"/>
      <c r="D516" s="95"/>
      <c r="F516" s="96"/>
      <c r="G516" s="96"/>
    </row>
    <row r="517">
      <c r="C517" s="95"/>
      <c r="D517" s="95"/>
      <c r="F517" s="96"/>
      <c r="G517" s="96"/>
    </row>
    <row r="518">
      <c r="C518" s="95"/>
      <c r="D518" s="95"/>
      <c r="F518" s="96"/>
      <c r="G518" s="96"/>
    </row>
    <row r="519">
      <c r="C519" s="95"/>
      <c r="D519" s="95"/>
      <c r="F519" s="96"/>
      <c r="G519" s="96"/>
    </row>
    <row r="520">
      <c r="C520" s="95"/>
      <c r="D520" s="95"/>
      <c r="F520" s="96"/>
      <c r="G520" s="96"/>
    </row>
    <row r="521">
      <c r="C521" s="95"/>
      <c r="D521" s="95"/>
      <c r="F521" s="96"/>
      <c r="G521" s="96"/>
    </row>
    <row r="522">
      <c r="C522" s="95"/>
      <c r="D522" s="95"/>
      <c r="F522" s="96"/>
      <c r="G522" s="96"/>
    </row>
    <row r="523">
      <c r="C523" s="95"/>
      <c r="D523" s="95"/>
      <c r="F523" s="96"/>
      <c r="G523" s="96"/>
    </row>
    <row r="524">
      <c r="C524" s="95"/>
      <c r="D524" s="95"/>
      <c r="F524" s="96"/>
      <c r="G524" s="96"/>
    </row>
    <row r="525">
      <c r="C525" s="95"/>
      <c r="D525" s="95"/>
      <c r="F525" s="96"/>
      <c r="G525" s="96"/>
    </row>
    <row r="526">
      <c r="C526" s="95"/>
      <c r="D526" s="95"/>
      <c r="F526" s="96"/>
      <c r="G526" s="96"/>
    </row>
    <row r="527">
      <c r="C527" s="95"/>
      <c r="D527" s="95"/>
      <c r="F527" s="96"/>
      <c r="G527" s="96"/>
    </row>
    <row r="528">
      <c r="C528" s="95"/>
      <c r="D528" s="95"/>
      <c r="F528" s="96"/>
      <c r="G528" s="96"/>
    </row>
    <row r="529">
      <c r="C529" s="95"/>
      <c r="D529" s="95"/>
      <c r="F529" s="96"/>
      <c r="G529" s="96"/>
    </row>
    <row r="530">
      <c r="C530" s="95"/>
      <c r="D530" s="95"/>
      <c r="F530" s="96"/>
      <c r="G530" s="96"/>
    </row>
    <row r="531">
      <c r="C531" s="95"/>
      <c r="D531" s="95"/>
      <c r="F531" s="96"/>
      <c r="G531" s="96"/>
    </row>
    <row r="532">
      <c r="C532" s="95"/>
      <c r="D532" s="95"/>
      <c r="F532" s="96"/>
      <c r="G532" s="96"/>
    </row>
    <row r="533">
      <c r="C533" s="95"/>
      <c r="D533" s="95"/>
      <c r="F533" s="96"/>
      <c r="G533" s="96"/>
    </row>
    <row r="534">
      <c r="C534" s="95"/>
      <c r="D534" s="95"/>
      <c r="F534" s="96"/>
      <c r="G534" s="96"/>
    </row>
    <row r="535">
      <c r="C535" s="95"/>
      <c r="D535" s="95"/>
      <c r="F535" s="96"/>
      <c r="G535" s="96"/>
    </row>
    <row r="536">
      <c r="C536" s="95"/>
      <c r="D536" s="95"/>
      <c r="F536" s="96"/>
      <c r="G536" s="96"/>
    </row>
    <row r="537">
      <c r="C537" s="95"/>
      <c r="D537" s="95"/>
      <c r="F537" s="96"/>
      <c r="G537" s="96"/>
    </row>
    <row r="538">
      <c r="C538" s="95"/>
      <c r="D538" s="95"/>
      <c r="F538" s="96"/>
      <c r="G538" s="96"/>
    </row>
    <row r="539">
      <c r="C539" s="95"/>
      <c r="D539" s="95"/>
      <c r="F539" s="96"/>
      <c r="G539" s="96"/>
    </row>
    <row r="540">
      <c r="C540" s="95"/>
      <c r="D540" s="95"/>
      <c r="F540" s="96"/>
      <c r="G540" s="96"/>
    </row>
    <row r="541">
      <c r="C541" s="95"/>
      <c r="D541" s="95"/>
      <c r="F541" s="96"/>
      <c r="G541" s="96"/>
    </row>
    <row r="542">
      <c r="C542" s="95"/>
      <c r="D542" s="95"/>
      <c r="F542" s="96"/>
      <c r="G542" s="96"/>
    </row>
    <row r="543">
      <c r="C543" s="95"/>
      <c r="D543" s="95"/>
      <c r="F543" s="96"/>
      <c r="G543" s="96"/>
    </row>
    <row r="544">
      <c r="C544" s="95"/>
      <c r="D544" s="95"/>
      <c r="F544" s="96"/>
      <c r="G544" s="96"/>
    </row>
    <row r="545">
      <c r="C545" s="95"/>
      <c r="D545" s="95"/>
      <c r="F545" s="96"/>
      <c r="G545" s="96"/>
    </row>
    <row r="546">
      <c r="C546" s="95"/>
      <c r="D546" s="95"/>
      <c r="F546" s="96"/>
      <c r="G546" s="96"/>
    </row>
    <row r="547">
      <c r="C547" s="95"/>
      <c r="D547" s="95"/>
      <c r="F547" s="96"/>
      <c r="G547" s="96"/>
    </row>
    <row r="548">
      <c r="C548" s="95"/>
      <c r="D548" s="95"/>
      <c r="F548" s="96"/>
      <c r="G548" s="96"/>
    </row>
    <row r="549">
      <c r="C549" s="95"/>
      <c r="D549" s="95"/>
      <c r="F549" s="96"/>
      <c r="G549" s="96"/>
    </row>
    <row r="550">
      <c r="C550" s="95"/>
      <c r="D550" s="95"/>
      <c r="F550" s="96"/>
      <c r="G550" s="96"/>
    </row>
    <row r="551">
      <c r="C551" s="95"/>
      <c r="D551" s="95"/>
      <c r="F551" s="96"/>
      <c r="G551" s="96"/>
    </row>
    <row r="552">
      <c r="C552" s="95"/>
      <c r="D552" s="95"/>
      <c r="F552" s="96"/>
      <c r="G552" s="96"/>
    </row>
    <row r="553">
      <c r="C553" s="95"/>
      <c r="D553" s="95"/>
      <c r="F553" s="96"/>
      <c r="G553" s="96"/>
    </row>
    <row r="554">
      <c r="C554" s="95"/>
      <c r="D554" s="95"/>
      <c r="F554" s="96"/>
      <c r="G554" s="96"/>
    </row>
    <row r="555">
      <c r="C555" s="95"/>
      <c r="D555" s="95"/>
      <c r="F555" s="96"/>
      <c r="G555" s="96"/>
    </row>
    <row r="556">
      <c r="C556" s="95"/>
      <c r="D556" s="95"/>
      <c r="F556" s="96"/>
      <c r="G556" s="96"/>
    </row>
    <row r="557">
      <c r="C557" s="95"/>
      <c r="D557" s="95"/>
      <c r="F557" s="96"/>
      <c r="G557" s="96"/>
    </row>
    <row r="558">
      <c r="C558" s="95"/>
      <c r="D558" s="95"/>
      <c r="F558" s="96"/>
      <c r="G558" s="96"/>
    </row>
    <row r="559">
      <c r="C559" s="95"/>
      <c r="D559" s="95"/>
      <c r="F559" s="96"/>
      <c r="G559" s="96"/>
    </row>
    <row r="560">
      <c r="C560" s="95"/>
      <c r="D560" s="95"/>
      <c r="F560" s="96"/>
      <c r="G560" s="96"/>
    </row>
    <row r="561">
      <c r="C561" s="95"/>
      <c r="D561" s="95"/>
      <c r="F561" s="96"/>
      <c r="G561" s="96"/>
    </row>
    <row r="562">
      <c r="C562" s="95"/>
      <c r="D562" s="95"/>
      <c r="F562" s="96"/>
      <c r="G562" s="96"/>
    </row>
    <row r="563">
      <c r="C563" s="95"/>
      <c r="D563" s="95"/>
      <c r="F563" s="96"/>
      <c r="G563" s="96"/>
    </row>
    <row r="564">
      <c r="C564" s="95"/>
      <c r="D564" s="95"/>
      <c r="F564" s="96"/>
      <c r="G564" s="96"/>
    </row>
    <row r="565">
      <c r="C565" s="95"/>
      <c r="D565" s="95"/>
      <c r="F565" s="96"/>
      <c r="G565" s="96"/>
    </row>
    <row r="566">
      <c r="C566" s="95"/>
      <c r="D566" s="95"/>
      <c r="F566" s="96"/>
      <c r="G566" s="96"/>
    </row>
    <row r="567">
      <c r="C567" s="95"/>
      <c r="D567" s="95"/>
      <c r="F567" s="96"/>
      <c r="G567" s="96"/>
    </row>
    <row r="568">
      <c r="C568" s="95"/>
      <c r="D568" s="95"/>
      <c r="F568" s="96"/>
      <c r="G568" s="96"/>
    </row>
    <row r="569">
      <c r="C569" s="95"/>
      <c r="D569" s="95"/>
      <c r="F569" s="96"/>
      <c r="G569" s="96"/>
    </row>
    <row r="570">
      <c r="C570" s="95"/>
      <c r="D570" s="95"/>
      <c r="F570" s="96"/>
      <c r="G570" s="96"/>
    </row>
    <row r="571">
      <c r="C571" s="95"/>
      <c r="D571" s="95"/>
      <c r="F571" s="96"/>
      <c r="G571" s="96"/>
    </row>
    <row r="572">
      <c r="C572" s="95"/>
      <c r="D572" s="95"/>
      <c r="F572" s="96"/>
      <c r="G572" s="96"/>
    </row>
    <row r="573">
      <c r="C573" s="95"/>
      <c r="D573" s="95"/>
      <c r="F573" s="96"/>
      <c r="G573" s="96"/>
    </row>
    <row r="574">
      <c r="C574" s="95"/>
      <c r="D574" s="95"/>
      <c r="F574" s="96"/>
      <c r="G574" s="96"/>
    </row>
    <row r="575">
      <c r="C575" s="95"/>
      <c r="D575" s="95"/>
      <c r="F575" s="96"/>
      <c r="G575" s="96"/>
    </row>
    <row r="576">
      <c r="C576" s="95"/>
      <c r="D576" s="95"/>
      <c r="F576" s="96"/>
      <c r="G576" s="96"/>
    </row>
    <row r="577">
      <c r="C577" s="95"/>
      <c r="D577" s="95"/>
      <c r="F577" s="96"/>
      <c r="G577" s="96"/>
    </row>
    <row r="578">
      <c r="C578" s="95"/>
      <c r="D578" s="95"/>
      <c r="F578" s="96"/>
      <c r="G578" s="96"/>
    </row>
    <row r="579">
      <c r="C579" s="95"/>
      <c r="D579" s="95"/>
      <c r="F579" s="96"/>
      <c r="G579" s="96"/>
    </row>
    <row r="580">
      <c r="C580" s="95"/>
      <c r="D580" s="95"/>
      <c r="F580" s="96"/>
      <c r="G580" s="96"/>
    </row>
    <row r="581">
      <c r="C581" s="95"/>
      <c r="D581" s="95"/>
      <c r="F581" s="96"/>
      <c r="G581" s="96"/>
    </row>
    <row r="582">
      <c r="C582" s="95"/>
      <c r="D582" s="95"/>
      <c r="F582" s="96"/>
      <c r="G582" s="96"/>
    </row>
    <row r="583">
      <c r="C583" s="95"/>
      <c r="D583" s="95"/>
      <c r="F583" s="96"/>
      <c r="G583" s="96"/>
    </row>
    <row r="584">
      <c r="C584" s="95"/>
      <c r="D584" s="95"/>
      <c r="F584" s="96"/>
      <c r="G584" s="96"/>
    </row>
    <row r="585">
      <c r="C585" s="95"/>
      <c r="D585" s="95"/>
      <c r="F585" s="96"/>
      <c r="G585" s="96"/>
    </row>
    <row r="586">
      <c r="C586" s="95"/>
      <c r="D586" s="95"/>
      <c r="F586" s="96"/>
      <c r="G586" s="96"/>
    </row>
    <row r="587">
      <c r="C587" s="95"/>
      <c r="D587" s="95"/>
      <c r="F587" s="96"/>
      <c r="G587" s="96"/>
    </row>
    <row r="588">
      <c r="C588" s="95"/>
      <c r="D588" s="95"/>
      <c r="F588" s="96"/>
      <c r="G588" s="96"/>
    </row>
    <row r="589">
      <c r="C589" s="95"/>
      <c r="D589" s="95"/>
      <c r="F589" s="96"/>
      <c r="G589" s="96"/>
    </row>
    <row r="590">
      <c r="C590" s="95"/>
      <c r="D590" s="95"/>
      <c r="F590" s="96"/>
      <c r="G590" s="96"/>
    </row>
    <row r="591">
      <c r="C591" s="95"/>
      <c r="D591" s="95"/>
      <c r="F591" s="96"/>
      <c r="G591" s="96"/>
    </row>
    <row r="592">
      <c r="C592" s="95"/>
      <c r="D592" s="95"/>
      <c r="F592" s="96"/>
      <c r="G592" s="96"/>
    </row>
    <row r="593">
      <c r="C593" s="95"/>
      <c r="D593" s="95"/>
      <c r="F593" s="96"/>
      <c r="G593" s="96"/>
    </row>
    <row r="594">
      <c r="C594" s="95"/>
      <c r="D594" s="95"/>
      <c r="F594" s="96"/>
      <c r="G594" s="96"/>
    </row>
    <row r="595">
      <c r="C595" s="95"/>
      <c r="D595" s="95"/>
      <c r="F595" s="96"/>
      <c r="G595" s="96"/>
    </row>
    <row r="596">
      <c r="C596" s="95"/>
      <c r="D596" s="95"/>
      <c r="F596" s="96"/>
      <c r="G596" s="96"/>
    </row>
    <row r="597">
      <c r="C597" s="95"/>
      <c r="D597" s="95"/>
      <c r="F597" s="96"/>
      <c r="G597" s="96"/>
    </row>
    <row r="598">
      <c r="C598" s="95"/>
      <c r="D598" s="95"/>
      <c r="F598" s="96"/>
      <c r="G598" s="96"/>
    </row>
    <row r="599">
      <c r="C599" s="95"/>
      <c r="D599" s="95"/>
      <c r="F599" s="96"/>
      <c r="G599" s="96"/>
    </row>
    <row r="600">
      <c r="C600" s="95"/>
      <c r="D600" s="95"/>
      <c r="F600" s="96"/>
      <c r="G600" s="96"/>
    </row>
    <row r="601">
      <c r="C601" s="95"/>
      <c r="D601" s="95"/>
      <c r="F601" s="96"/>
      <c r="G601" s="96"/>
    </row>
    <row r="602">
      <c r="C602" s="95"/>
      <c r="D602" s="95"/>
      <c r="F602" s="96"/>
      <c r="G602" s="96"/>
    </row>
    <row r="603">
      <c r="C603" s="95"/>
      <c r="D603" s="95"/>
      <c r="F603" s="96"/>
      <c r="G603" s="96"/>
    </row>
    <row r="604">
      <c r="C604" s="95"/>
      <c r="D604" s="95"/>
      <c r="F604" s="96"/>
      <c r="G604" s="96"/>
    </row>
    <row r="605">
      <c r="C605" s="95"/>
      <c r="D605" s="95"/>
      <c r="F605" s="96"/>
      <c r="G605" s="96"/>
    </row>
    <row r="606">
      <c r="C606" s="95"/>
      <c r="D606" s="95"/>
      <c r="F606" s="96"/>
      <c r="G606" s="96"/>
    </row>
    <row r="607">
      <c r="C607" s="95"/>
      <c r="D607" s="95"/>
      <c r="F607" s="96"/>
      <c r="G607" s="96"/>
    </row>
    <row r="608">
      <c r="C608" s="95"/>
      <c r="D608" s="95"/>
      <c r="F608" s="96"/>
      <c r="G608" s="96"/>
    </row>
    <row r="609">
      <c r="C609" s="95"/>
      <c r="D609" s="95"/>
      <c r="F609" s="96"/>
      <c r="G609" s="96"/>
    </row>
    <row r="610">
      <c r="C610" s="95"/>
      <c r="D610" s="95"/>
      <c r="F610" s="96"/>
      <c r="G610" s="96"/>
    </row>
    <row r="611">
      <c r="C611" s="95"/>
      <c r="D611" s="95"/>
      <c r="F611" s="96"/>
      <c r="G611" s="96"/>
    </row>
    <row r="612">
      <c r="C612" s="95"/>
      <c r="D612" s="95"/>
      <c r="F612" s="96"/>
      <c r="G612" s="96"/>
    </row>
    <row r="613">
      <c r="C613" s="95"/>
      <c r="D613" s="95"/>
      <c r="F613" s="96"/>
      <c r="G613" s="96"/>
    </row>
    <row r="614">
      <c r="C614" s="95"/>
      <c r="D614" s="95"/>
      <c r="F614" s="96"/>
      <c r="G614" s="96"/>
    </row>
    <row r="615">
      <c r="C615" s="95"/>
      <c r="D615" s="95"/>
      <c r="F615" s="96"/>
      <c r="G615" s="96"/>
    </row>
    <row r="616">
      <c r="C616" s="95"/>
      <c r="D616" s="95"/>
      <c r="F616" s="96"/>
      <c r="G616" s="96"/>
    </row>
    <row r="617">
      <c r="C617" s="95"/>
      <c r="D617" s="95"/>
      <c r="F617" s="96"/>
      <c r="G617" s="96"/>
    </row>
    <row r="618">
      <c r="C618" s="95"/>
      <c r="D618" s="95"/>
      <c r="F618" s="96"/>
      <c r="G618" s="96"/>
    </row>
    <row r="619">
      <c r="C619" s="95"/>
      <c r="D619" s="95"/>
      <c r="F619" s="96"/>
      <c r="G619" s="96"/>
    </row>
    <row r="620">
      <c r="C620" s="95"/>
      <c r="D620" s="95"/>
      <c r="F620" s="96"/>
      <c r="G620" s="96"/>
    </row>
    <row r="621">
      <c r="C621" s="95"/>
      <c r="D621" s="95"/>
      <c r="F621" s="96"/>
      <c r="G621" s="96"/>
    </row>
    <row r="622">
      <c r="C622" s="95"/>
      <c r="D622" s="95"/>
      <c r="F622" s="96"/>
      <c r="G622" s="96"/>
    </row>
    <row r="623">
      <c r="C623" s="95"/>
      <c r="D623" s="95"/>
      <c r="F623" s="96"/>
      <c r="G623" s="96"/>
    </row>
    <row r="624">
      <c r="C624" s="95"/>
      <c r="D624" s="95"/>
      <c r="F624" s="96"/>
      <c r="G624" s="96"/>
    </row>
    <row r="625">
      <c r="C625" s="95"/>
      <c r="D625" s="95"/>
      <c r="F625" s="96"/>
      <c r="G625" s="96"/>
    </row>
    <row r="626">
      <c r="C626" s="95"/>
      <c r="D626" s="95"/>
      <c r="F626" s="96"/>
      <c r="G626" s="96"/>
    </row>
    <row r="627">
      <c r="C627" s="95"/>
      <c r="D627" s="95"/>
      <c r="F627" s="96"/>
      <c r="G627" s="96"/>
    </row>
    <row r="628">
      <c r="C628" s="95"/>
      <c r="D628" s="95"/>
      <c r="F628" s="96"/>
      <c r="G628" s="96"/>
    </row>
    <row r="629">
      <c r="C629" s="95"/>
      <c r="D629" s="95"/>
      <c r="F629" s="96"/>
      <c r="G629" s="96"/>
    </row>
    <row r="630">
      <c r="C630" s="95"/>
      <c r="D630" s="95"/>
      <c r="F630" s="96"/>
      <c r="G630" s="96"/>
    </row>
    <row r="631">
      <c r="C631" s="95"/>
      <c r="D631" s="95"/>
      <c r="F631" s="96"/>
      <c r="G631" s="96"/>
    </row>
    <row r="632">
      <c r="C632" s="95"/>
      <c r="D632" s="95"/>
      <c r="F632" s="96"/>
      <c r="G632" s="96"/>
    </row>
    <row r="633">
      <c r="C633" s="95"/>
      <c r="D633" s="95"/>
      <c r="F633" s="96"/>
      <c r="G633" s="96"/>
    </row>
    <row r="634">
      <c r="C634" s="95"/>
      <c r="D634" s="95"/>
      <c r="F634" s="96"/>
      <c r="G634" s="96"/>
    </row>
    <row r="635">
      <c r="C635" s="95"/>
      <c r="D635" s="95"/>
      <c r="F635" s="96"/>
      <c r="G635" s="96"/>
    </row>
    <row r="636">
      <c r="C636" s="95"/>
      <c r="D636" s="95"/>
      <c r="F636" s="96"/>
      <c r="G636" s="96"/>
    </row>
    <row r="637">
      <c r="C637" s="95"/>
      <c r="D637" s="95"/>
      <c r="F637" s="96"/>
      <c r="G637" s="96"/>
    </row>
    <row r="638">
      <c r="C638" s="95"/>
      <c r="D638" s="95"/>
      <c r="F638" s="96"/>
      <c r="G638" s="96"/>
    </row>
    <row r="639">
      <c r="C639" s="95"/>
      <c r="D639" s="95"/>
      <c r="F639" s="96"/>
      <c r="G639" s="96"/>
    </row>
    <row r="640">
      <c r="C640" s="95"/>
      <c r="D640" s="95"/>
      <c r="F640" s="96"/>
      <c r="G640" s="96"/>
    </row>
    <row r="641">
      <c r="C641" s="95"/>
      <c r="D641" s="95"/>
      <c r="F641" s="96"/>
      <c r="G641" s="96"/>
    </row>
    <row r="642">
      <c r="C642" s="95"/>
      <c r="D642" s="95"/>
      <c r="F642" s="96"/>
      <c r="G642" s="96"/>
    </row>
    <row r="643">
      <c r="C643" s="95"/>
      <c r="D643" s="95"/>
      <c r="F643" s="96"/>
      <c r="G643" s="96"/>
    </row>
    <row r="644">
      <c r="C644" s="95"/>
      <c r="D644" s="95"/>
      <c r="F644" s="96"/>
      <c r="G644" s="96"/>
    </row>
    <row r="645">
      <c r="C645" s="95"/>
      <c r="D645" s="95"/>
      <c r="F645" s="96"/>
      <c r="G645" s="96"/>
    </row>
    <row r="646">
      <c r="C646" s="95"/>
      <c r="D646" s="95"/>
      <c r="F646" s="96"/>
      <c r="G646" s="96"/>
    </row>
    <row r="647">
      <c r="C647" s="95"/>
      <c r="D647" s="95"/>
      <c r="F647" s="96"/>
      <c r="G647" s="96"/>
    </row>
    <row r="648">
      <c r="C648" s="95"/>
      <c r="D648" s="95"/>
      <c r="F648" s="96"/>
      <c r="G648" s="96"/>
    </row>
    <row r="649">
      <c r="C649" s="95"/>
      <c r="D649" s="95"/>
      <c r="F649" s="96"/>
      <c r="G649" s="96"/>
    </row>
    <row r="650">
      <c r="C650" s="95"/>
      <c r="D650" s="95"/>
      <c r="F650" s="96"/>
      <c r="G650" s="96"/>
    </row>
    <row r="651">
      <c r="C651" s="95"/>
      <c r="D651" s="95"/>
      <c r="F651" s="96"/>
      <c r="G651" s="96"/>
    </row>
    <row r="652">
      <c r="C652" s="95"/>
      <c r="D652" s="95"/>
      <c r="F652" s="96"/>
      <c r="G652" s="96"/>
    </row>
    <row r="653">
      <c r="C653" s="95"/>
      <c r="D653" s="95"/>
      <c r="F653" s="96"/>
      <c r="G653" s="96"/>
    </row>
    <row r="654">
      <c r="C654" s="95"/>
      <c r="D654" s="95"/>
      <c r="F654" s="96"/>
      <c r="G654" s="96"/>
    </row>
    <row r="655">
      <c r="C655" s="95"/>
      <c r="D655" s="95"/>
      <c r="F655" s="96"/>
      <c r="G655" s="96"/>
    </row>
    <row r="656">
      <c r="C656" s="95"/>
      <c r="D656" s="95"/>
      <c r="F656" s="96"/>
      <c r="G656" s="96"/>
    </row>
    <row r="657">
      <c r="C657" s="95"/>
      <c r="D657" s="95"/>
      <c r="F657" s="96"/>
      <c r="G657" s="96"/>
    </row>
    <row r="658">
      <c r="C658" s="95"/>
      <c r="D658" s="95"/>
      <c r="F658" s="96"/>
      <c r="G658" s="96"/>
    </row>
    <row r="659">
      <c r="C659" s="95"/>
      <c r="D659" s="95"/>
      <c r="F659" s="96"/>
      <c r="G659" s="96"/>
    </row>
    <row r="660">
      <c r="C660" s="95"/>
      <c r="D660" s="95"/>
      <c r="F660" s="96"/>
      <c r="G660" s="96"/>
    </row>
    <row r="661">
      <c r="C661" s="95"/>
      <c r="D661" s="95"/>
      <c r="F661" s="96"/>
      <c r="G661" s="96"/>
    </row>
    <row r="662">
      <c r="C662" s="95"/>
      <c r="D662" s="95"/>
      <c r="F662" s="96"/>
      <c r="G662" s="96"/>
    </row>
    <row r="663">
      <c r="C663" s="95"/>
      <c r="D663" s="95"/>
      <c r="F663" s="96"/>
      <c r="G663" s="96"/>
    </row>
    <row r="664">
      <c r="C664" s="95"/>
      <c r="D664" s="95"/>
      <c r="F664" s="96"/>
      <c r="G664" s="96"/>
    </row>
    <row r="665">
      <c r="C665" s="95"/>
      <c r="D665" s="95"/>
      <c r="F665" s="96"/>
      <c r="G665" s="96"/>
    </row>
    <row r="666">
      <c r="C666" s="95"/>
      <c r="D666" s="95"/>
      <c r="F666" s="96"/>
      <c r="G666" s="96"/>
    </row>
    <row r="667">
      <c r="C667" s="95"/>
      <c r="D667" s="95"/>
      <c r="F667" s="96"/>
      <c r="G667" s="96"/>
    </row>
    <row r="668">
      <c r="C668" s="95"/>
      <c r="D668" s="95"/>
      <c r="F668" s="96"/>
      <c r="G668" s="96"/>
    </row>
    <row r="669">
      <c r="C669" s="95"/>
      <c r="D669" s="95"/>
      <c r="F669" s="96"/>
      <c r="G669" s="96"/>
    </row>
    <row r="670">
      <c r="C670" s="95"/>
      <c r="D670" s="95"/>
      <c r="F670" s="96"/>
      <c r="G670" s="96"/>
    </row>
    <row r="671">
      <c r="C671" s="95"/>
      <c r="D671" s="95"/>
      <c r="F671" s="96"/>
      <c r="G671" s="96"/>
    </row>
    <row r="672">
      <c r="C672" s="95"/>
      <c r="D672" s="95"/>
      <c r="F672" s="96"/>
      <c r="G672" s="96"/>
    </row>
    <row r="673">
      <c r="C673" s="95"/>
      <c r="D673" s="95"/>
      <c r="F673" s="96"/>
      <c r="G673" s="96"/>
    </row>
    <row r="674">
      <c r="C674" s="95"/>
      <c r="D674" s="95"/>
      <c r="F674" s="96"/>
      <c r="G674" s="96"/>
    </row>
    <row r="675">
      <c r="C675" s="95"/>
      <c r="D675" s="95"/>
      <c r="F675" s="96"/>
      <c r="G675" s="96"/>
    </row>
    <row r="676">
      <c r="C676" s="95"/>
      <c r="D676" s="95"/>
      <c r="F676" s="96"/>
      <c r="G676" s="96"/>
    </row>
    <row r="677">
      <c r="C677" s="95"/>
      <c r="D677" s="95"/>
      <c r="F677" s="96"/>
      <c r="G677" s="96"/>
    </row>
    <row r="678">
      <c r="C678" s="95"/>
      <c r="D678" s="95"/>
      <c r="F678" s="96"/>
      <c r="G678" s="96"/>
    </row>
    <row r="679">
      <c r="C679" s="95"/>
      <c r="D679" s="95"/>
      <c r="F679" s="96"/>
      <c r="G679" s="96"/>
    </row>
    <row r="680">
      <c r="C680" s="95"/>
      <c r="D680" s="95"/>
      <c r="F680" s="96"/>
      <c r="G680" s="96"/>
    </row>
    <row r="681">
      <c r="C681" s="95"/>
      <c r="D681" s="95"/>
      <c r="F681" s="96"/>
      <c r="G681" s="96"/>
    </row>
    <row r="682">
      <c r="C682" s="95"/>
      <c r="D682" s="95"/>
      <c r="F682" s="96"/>
      <c r="G682" s="96"/>
    </row>
    <row r="683">
      <c r="C683" s="95"/>
      <c r="D683" s="95"/>
      <c r="F683" s="96"/>
      <c r="G683" s="96"/>
    </row>
    <row r="684">
      <c r="C684" s="95"/>
      <c r="D684" s="95"/>
      <c r="F684" s="96"/>
      <c r="G684" s="96"/>
    </row>
    <row r="685">
      <c r="C685" s="95"/>
      <c r="D685" s="95"/>
      <c r="F685" s="96"/>
      <c r="G685" s="96"/>
    </row>
    <row r="686">
      <c r="C686" s="95"/>
      <c r="D686" s="95"/>
      <c r="F686" s="96"/>
      <c r="G686" s="96"/>
    </row>
    <row r="687">
      <c r="C687" s="95"/>
      <c r="D687" s="95"/>
      <c r="F687" s="96"/>
      <c r="G687" s="96"/>
    </row>
    <row r="688">
      <c r="C688" s="95"/>
      <c r="D688" s="95"/>
      <c r="F688" s="96"/>
      <c r="G688" s="96"/>
    </row>
    <row r="689">
      <c r="C689" s="95"/>
      <c r="D689" s="95"/>
      <c r="F689" s="96"/>
      <c r="G689" s="96"/>
    </row>
    <row r="690">
      <c r="C690" s="95"/>
      <c r="D690" s="95"/>
      <c r="F690" s="96"/>
      <c r="G690" s="96"/>
    </row>
    <row r="691">
      <c r="C691" s="95"/>
      <c r="D691" s="95"/>
      <c r="F691" s="96"/>
      <c r="G691" s="96"/>
    </row>
    <row r="692">
      <c r="C692" s="95"/>
      <c r="D692" s="95"/>
      <c r="F692" s="96"/>
      <c r="G692" s="96"/>
    </row>
    <row r="693">
      <c r="C693" s="95"/>
      <c r="D693" s="95"/>
      <c r="F693" s="96"/>
      <c r="G693" s="96"/>
    </row>
    <row r="694">
      <c r="C694" s="95"/>
      <c r="D694" s="95"/>
      <c r="F694" s="96"/>
      <c r="G694" s="96"/>
    </row>
    <row r="695">
      <c r="C695" s="95"/>
      <c r="D695" s="95"/>
      <c r="F695" s="96"/>
      <c r="G695" s="96"/>
    </row>
    <row r="696">
      <c r="C696" s="95"/>
      <c r="D696" s="95"/>
      <c r="F696" s="96"/>
      <c r="G696" s="96"/>
    </row>
    <row r="697">
      <c r="C697" s="95"/>
      <c r="D697" s="95"/>
      <c r="F697" s="96"/>
      <c r="G697" s="96"/>
    </row>
    <row r="698">
      <c r="C698" s="95"/>
      <c r="D698" s="95"/>
      <c r="F698" s="96"/>
      <c r="G698" s="96"/>
    </row>
    <row r="699">
      <c r="C699" s="95"/>
      <c r="D699" s="95"/>
      <c r="F699" s="96"/>
      <c r="G699" s="96"/>
    </row>
    <row r="700">
      <c r="C700" s="95"/>
      <c r="D700" s="95"/>
      <c r="F700" s="96"/>
      <c r="G700" s="96"/>
    </row>
    <row r="701">
      <c r="C701" s="95"/>
      <c r="D701" s="95"/>
      <c r="F701" s="96"/>
      <c r="G701" s="96"/>
    </row>
    <row r="702">
      <c r="C702" s="95"/>
      <c r="D702" s="95"/>
      <c r="F702" s="96"/>
      <c r="G702" s="96"/>
    </row>
    <row r="703">
      <c r="C703" s="95"/>
      <c r="D703" s="95"/>
      <c r="F703" s="96"/>
      <c r="G703" s="96"/>
    </row>
    <row r="704">
      <c r="C704" s="95"/>
      <c r="D704" s="95"/>
      <c r="F704" s="96"/>
      <c r="G704" s="96"/>
    </row>
    <row r="705">
      <c r="C705" s="95"/>
      <c r="D705" s="95"/>
      <c r="F705" s="96"/>
      <c r="G705" s="96"/>
    </row>
    <row r="706">
      <c r="C706" s="95"/>
      <c r="D706" s="95"/>
      <c r="F706" s="96"/>
      <c r="G706" s="96"/>
    </row>
    <row r="707">
      <c r="C707" s="95"/>
      <c r="D707" s="95"/>
      <c r="F707" s="96"/>
      <c r="G707" s="96"/>
    </row>
    <row r="708">
      <c r="C708" s="95"/>
      <c r="D708" s="95"/>
      <c r="F708" s="96"/>
      <c r="G708" s="96"/>
    </row>
    <row r="709">
      <c r="C709" s="95"/>
      <c r="D709" s="95"/>
      <c r="F709" s="96"/>
      <c r="G709" s="96"/>
    </row>
    <row r="710">
      <c r="C710" s="95"/>
      <c r="D710" s="95"/>
      <c r="F710" s="96"/>
      <c r="G710" s="96"/>
    </row>
    <row r="711">
      <c r="C711" s="95"/>
      <c r="D711" s="95"/>
      <c r="F711" s="96"/>
      <c r="G711" s="96"/>
    </row>
    <row r="712">
      <c r="C712" s="95"/>
      <c r="D712" s="95"/>
      <c r="F712" s="96"/>
      <c r="G712" s="96"/>
    </row>
    <row r="713">
      <c r="C713" s="95"/>
      <c r="D713" s="95"/>
      <c r="F713" s="96"/>
      <c r="G713" s="96"/>
    </row>
    <row r="714">
      <c r="C714" s="95"/>
      <c r="D714" s="95"/>
      <c r="F714" s="96"/>
      <c r="G714" s="96"/>
    </row>
    <row r="715">
      <c r="C715" s="95"/>
      <c r="D715" s="95"/>
      <c r="F715" s="96"/>
      <c r="G715" s="96"/>
    </row>
    <row r="716">
      <c r="C716" s="95"/>
      <c r="D716" s="95"/>
      <c r="F716" s="96"/>
      <c r="G716" s="96"/>
    </row>
    <row r="717">
      <c r="C717" s="95"/>
      <c r="D717" s="95"/>
      <c r="F717" s="96"/>
      <c r="G717" s="96"/>
    </row>
    <row r="718">
      <c r="C718" s="95"/>
      <c r="D718" s="95"/>
      <c r="F718" s="96"/>
      <c r="G718" s="96"/>
    </row>
    <row r="719">
      <c r="C719" s="95"/>
      <c r="D719" s="95"/>
      <c r="F719" s="96"/>
      <c r="G719" s="96"/>
    </row>
    <row r="720">
      <c r="C720" s="95"/>
      <c r="D720" s="95"/>
      <c r="F720" s="96"/>
      <c r="G720" s="96"/>
    </row>
    <row r="721">
      <c r="C721" s="95"/>
      <c r="D721" s="95"/>
      <c r="F721" s="96"/>
      <c r="G721" s="96"/>
    </row>
    <row r="722">
      <c r="C722" s="95"/>
      <c r="D722" s="95"/>
      <c r="F722" s="96"/>
      <c r="G722" s="96"/>
    </row>
    <row r="723">
      <c r="C723" s="95"/>
      <c r="D723" s="95"/>
      <c r="F723" s="96"/>
      <c r="G723" s="96"/>
    </row>
    <row r="724">
      <c r="C724" s="95"/>
      <c r="D724" s="95"/>
      <c r="F724" s="96"/>
      <c r="G724" s="96"/>
    </row>
    <row r="725">
      <c r="C725" s="95"/>
      <c r="D725" s="95"/>
      <c r="F725" s="96"/>
      <c r="G725" s="96"/>
    </row>
    <row r="726">
      <c r="C726" s="95"/>
      <c r="D726" s="95"/>
      <c r="F726" s="96"/>
      <c r="G726" s="96"/>
    </row>
    <row r="727">
      <c r="C727" s="95"/>
      <c r="D727" s="95"/>
      <c r="F727" s="96"/>
      <c r="G727" s="96"/>
    </row>
    <row r="728">
      <c r="C728" s="95"/>
      <c r="D728" s="95"/>
      <c r="F728" s="96"/>
      <c r="G728" s="96"/>
    </row>
    <row r="729">
      <c r="C729" s="95"/>
      <c r="D729" s="95"/>
      <c r="F729" s="96"/>
      <c r="G729" s="96"/>
    </row>
    <row r="730">
      <c r="C730" s="95"/>
      <c r="D730" s="95"/>
      <c r="F730" s="96"/>
      <c r="G730" s="96"/>
    </row>
    <row r="731">
      <c r="C731" s="95"/>
      <c r="D731" s="95"/>
      <c r="F731" s="96"/>
      <c r="G731" s="96"/>
    </row>
    <row r="732">
      <c r="C732" s="95"/>
      <c r="D732" s="95"/>
      <c r="F732" s="96"/>
      <c r="G732" s="96"/>
    </row>
    <row r="733">
      <c r="C733" s="95"/>
      <c r="D733" s="95"/>
      <c r="F733" s="96"/>
      <c r="G733" s="96"/>
    </row>
    <row r="734">
      <c r="C734" s="95"/>
      <c r="D734" s="95"/>
      <c r="F734" s="96"/>
      <c r="G734" s="96"/>
    </row>
    <row r="735">
      <c r="C735" s="95"/>
      <c r="D735" s="95"/>
      <c r="F735" s="96"/>
      <c r="G735" s="96"/>
    </row>
    <row r="736">
      <c r="C736" s="95"/>
      <c r="D736" s="95"/>
      <c r="F736" s="96"/>
      <c r="G736" s="96"/>
    </row>
    <row r="737">
      <c r="C737" s="95"/>
      <c r="D737" s="95"/>
      <c r="F737" s="96"/>
      <c r="G737" s="96"/>
    </row>
    <row r="738">
      <c r="C738" s="95"/>
      <c r="D738" s="95"/>
      <c r="F738" s="96"/>
      <c r="G738" s="96"/>
    </row>
    <row r="739">
      <c r="C739" s="95"/>
      <c r="D739" s="95"/>
      <c r="F739" s="96"/>
      <c r="G739" s="96"/>
    </row>
    <row r="740">
      <c r="C740" s="95"/>
      <c r="D740" s="95"/>
      <c r="F740" s="96"/>
      <c r="G740" s="96"/>
    </row>
    <row r="741">
      <c r="C741" s="95"/>
      <c r="D741" s="95"/>
      <c r="F741" s="96"/>
      <c r="G741" s="96"/>
    </row>
    <row r="742">
      <c r="C742" s="95"/>
      <c r="D742" s="95"/>
      <c r="F742" s="96"/>
      <c r="G742" s="96"/>
    </row>
    <row r="743">
      <c r="C743" s="95"/>
      <c r="D743" s="95"/>
      <c r="F743" s="96"/>
      <c r="G743" s="96"/>
    </row>
    <row r="744">
      <c r="C744" s="95"/>
      <c r="D744" s="95"/>
      <c r="F744" s="96"/>
      <c r="G744" s="96"/>
    </row>
    <row r="745">
      <c r="C745" s="95"/>
      <c r="D745" s="95"/>
      <c r="F745" s="96"/>
      <c r="G745" s="96"/>
    </row>
    <row r="746">
      <c r="C746" s="95"/>
      <c r="D746" s="95"/>
      <c r="F746" s="96"/>
      <c r="G746" s="96"/>
    </row>
    <row r="747">
      <c r="C747" s="95"/>
      <c r="D747" s="95"/>
      <c r="F747" s="96"/>
      <c r="G747" s="96"/>
    </row>
    <row r="748">
      <c r="C748" s="95"/>
      <c r="D748" s="95"/>
      <c r="F748" s="96"/>
      <c r="G748" s="96"/>
    </row>
    <row r="749">
      <c r="C749" s="95"/>
      <c r="D749" s="95"/>
      <c r="F749" s="96"/>
      <c r="G749" s="96"/>
    </row>
    <row r="750">
      <c r="C750" s="95"/>
      <c r="D750" s="95"/>
      <c r="F750" s="96"/>
      <c r="G750" s="96"/>
    </row>
    <row r="751">
      <c r="C751" s="95"/>
      <c r="D751" s="95"/>
      <c r="F751" s="96"/>
      <c r="G751" s="96"/>
    </row>
    <row r="752">
      <c r="C752" s="95"/>
      <c r="D752" s="95"/>
      <c r="F752" s="96"/>
      <c r="G752" s="96"/>
    </row>
    <row r="753">
      <c r="C753" s="95"/>
      <c r="D753" s="95"/>
      <c r="F753" s="96"/>
      <c r="G753" s="96"/>
    </row>
    <row r="754">
      <c r="C754" s="95"/>
      <c r="D754" s="95"/>
      <c r="F754" s="96"/>
      <c r="G754" s="96"/>
    </row>
    <row r="755">
      <c r="C755" s="95"/>
      <c r="D755" s="95"/>
      <c r="F755" s="96"/>
      <c r="G755" s="96"/>
    </row>
    <row r="756">
      <c r="C756" s="95"/>
      <c r="D756" s="95"/>
      <c r="F756" s="96"/>
      <c r="G756" s="96"/>
    </row>
    <row r="757">
      <c r="C757" s="95"/>
      <c r="D757" s="95"/>
      <c r="F757" s="96"/>
      <c r="G757" s="96"/>
    </row>
    <row r="758">
      <c r="C758" s="95"/>
      <c r="D758" s="95"/>
      <c r="F758" s="96"/>
      <c r="G758" s="96"/>
    </row>
    <row r="759">
      <c r="C759" s="95"/>
      <c r="D759" s="95"/>
      <c r="F759" s="96"/>
      <c r="G759" s="96"/>
    </row>
    <row r="760">
      <c r="C760" s="95"/>
      <c r="D760" s="95"/>
      <c r="F760" s="96"/>
      <c r="G760" s="96"/>
    </row>
    <row r="761">
      <c r="C761" s="95"/>
      <c r="D761" s="95"/>
      <c r="F761" s="96"/>
      <c r="G761" s="96"/>
    </row>
    <row r="762">
      <c r="C762" s="95"/>
      <c r="D762" s="95"/>
      <c r="F762" s="96"/>
      <c r="G762" s="96"/>
    </row>
    <row r="763">
      <c r="C763" s="95"/>
      <c r="D763" s="95"/>
      <c r="F763" s="96"/>
      <c r="G763" s="96"/>
    </row>
    <row r="764">
      <c r="C764" s="95"/>
      <c r="D764" s="95"/>
      <c r="F764" s="96"/>
      <c r="G764" s="96"/>
    </row>
    <row r="765">
      <c r="C765" s="95"/>
      <c r="D765" s="95"/>
      <c r="F765" s="96"/>
      <c r="G765" s="96"/>
    </row>
    <row r="766">
      <c r="C766" s="95"/>
      <c r="D766" s="95"/>
      <c r="F766" s="96"/>
      <c r="G766" s="96"/>
    </row>
    <row r="767">
      <c r="C767" s="95"/>
      <c r="D767" s="95"/>
      <c r="F767" s="96"/>
      <c r="G767" s="96"/>
    </row>
    <row r="768">
      <c r="C768" s="95"/>
      <c r="D768" s="95"/>
      <c r="F768" s="96"/>
      <c r="G768" s="96"/>
    </row>
    <row r="769">
      <c r="C769" s="95"/>
      <c r="D769" s="95"/>
      <c r="F769" s="96"/>
      <c r="G769" s="96"/>
    </row>
    <row r="770">
      <c r="C770" s="95"/>
      <c r="D770" s="95"/>
      <c r="F770" s="96"/>
      <c r="G770" s="96"/>
    </row>
    <row r="771">
      <c r="C771" s="95"/>
      <c r="D771" s="95"/>
      <c r="F771" s="96"/>
      <c r="G771" s="96"/>
    </row>
    <row r="772">
      <c r="C772" s="95"/>
      <c r="D772" s="95"/>
      <c r="F772" s="96"/>
      <c r="G772" s="96"/>
    </row>
    <row r="773">
      <c r="C773" s="95"/>
      <c r="D773" s="95"/>
      <c r="F773" s="96"/>
      <c r="G773" s="96"/>
    </row>
    <row r="774">
      <c r="C774" s="95"/>
      <c r="D774" s="95"/>
      <c r="F774" s="96"/>
      <c r="G774" s="96"/>
    </row>
    <row r="775">
      <c r="C775" s="95"/>
      <c r="D775" s="95"/>
      <c r="F775" s="96"/>
      <c r="G775" s="96"/>
    </row>
    <row r="776">
      <c r="C776" s="95"/>
      <c r="D776" s="95"/>
      <c r="F776" s="96"/>
      <c r="G776" s="96"/>
    </row>
    <row r="777">
      <c r="C777" s="95"/>
      <c r="D777" s="95"/>
      <c r="F777" s="96"/>
      <c r="G777" s="96"/>
    </row>
    <row r="778">
      <c r="C778" s="95"/>
      <c r="D778" s="95"/>
      <c r="F778" s="96"/>
      <c r="G778" s="96"/>
    </row>
    <row r="779">
      <c r="C779" s="95"/>
      <c r="D779" s="95"/>
      <c r="F779" s="96"/>
      <c r="G779" s="96"/>
    </row>
    <row r="780">
      <c r="C780" s="95"/>
      <c r="D780" s="95"/>
      <c r="F780" s="96"/>
      <c r="G780" s="96"/>
    </row>
    <row r="781">
      <c r="C781" s="95"/>
      <c r="D781" s="95"/>
      <c r="F781" s="96"/>
      <c r="G781" s="96"/>
    </row>
    <row r="782">
      <c r="C782" s="95"/>
      <c r="D782" s="95"/>
      <c r="F782" s="96"/>
      <c r="G782" s="96"/>
    </row>
    <row r="783">
      <c r="C783" s="95"/>
      <c r="D783" s="95"/>
      <c r="F783" s="96"/>
      <c r="G783" s="96"/>
    </row>
    <row r="784">
      <c r="C784" s="95"/>
      <c r="D784" s="95"/>
      <c r="F784" s="96"/>
      <c r="G784" s="96"/>
    </row>
    <row r="785">
      <c r="C785" s="95"/>
      <c r="D785" s="95"/>
      <c r="F785" s="96"/>
      <c r="G785" s="96"/>
    </row>
    <row r="786">
      <c r="C786" s="95"/>
      <c r="D786" s="95"/>
      <c r="F786" s="96"/>
      <c r="G786" s="96"/>
    </row>
    <row r="787">
      <c r="C787" s="95"/>
      <c r="D787" s="95"/>
      <c r="F787" s="96"/>
      <c r="G787" s="96"/>
    </row>
    <row r="788">
      <c r="C788" s="95"/>
      <c r="D788" s="95"/>
      <c r="F788" s="96"/>
      <c r="G788" s="96"/>
    </row>
    <row r="789">
      <c r="C789" s="95"/>
      <c r="D789" s="95"/>
      <c r="F789" s="96"/>
      <c r="G789" s="96"/>
    </row>
    <row r="790">
      <c r="C790" s="95"/>
      <c r="D790" s="95"/>
      <c r="F790" s="96"/>
      <c r="G790" s="96"/>
    </row>
    <row r="791">
      <c r="C791" s="95"/>
      <c r="D791" s="95"/>
      <c r="F791" s="96"/>
      <c r="G791" s="96"/>
    </row>
    <row r="792">
      <c r="C792" s="95"/>
      <c r="D792" s="95"/>
      <c r="F792" s="96"/>
      <c r="G792" s="96"/>
    </row>
    <row r="793">
      <c r="C793" s="95"/>
      <c r="D793" s="95"/>
      <c r="F793" s="96"/>
      <c r="G793" s="96"/>
    </row>
    <row r="794">
      <c r="C794" s="95"/>
      <c r="D794" s="95"/>
      <c r="F794" s="96"/>
      <c r="G794" s="96"/>
    </row>
    <row r="795">
      <c r="C795" s="95"/>
      <c r="D795" s="95"/>
      <c r="F795" s="96"/>
      <c r="G795" s="96"/>
    </row>
    <row r="796">
      <c r="C796" s="95"/>
      <c r="D796" s="95"/>
      <c r="F796" s="96"/>
      <c r="G796" s="96"/>
    </row>
    <row r="797">
      <c r="C797" s="95"/>
      <c r="D797" s="95"/>
      <c r="F797" s="96"/>
      <c r="G797" s="96"/>
    </row>
    <row r="798">
      <c r="C798" s="95"/>
      <c r="D798" s="95"/>
      <c r="F798" s="96"/>
      <c r="G798" s="96"/>
    </row>
    <row r="799">
      <c r="C799" s="95"/>
      <c r="D799" s="95"/>
      <c r="F799" s="96"/>
      <c r="G799" s="96"/>
    </row>
    <row r="800">
      <c r="C800" s="95"/>
      <c r="D800" s="95"/>
      <c r="F800" s="96"/>
      <c r="G800" s="96"/>
    </row>
    <row r="801">
      <c r="C801" s="95"/>
      <c r="D801" s="95"/>
      <c r="F801" s="96"/>
      <c r="G801" s="96"/>
    </row>
    <row r="802">
      <c r="C802" s="95"/>
      <c r="D802" s="95"/>
      <c r="F802" s="96"/>
      <c r="G802" s="96"/>
    </row>
    <row r="803">
      <c r="C803" s="95"/>
      <c r="D803" s="95"/>
      <c r="F803" s="96"/>
      <c r="G803" s="96"/>
    </row>
    <row r="804">
      <c r="C804" s="95"/>
      <c r="D804" s="95"/>
      <c r="F804" s="96"/>
      <c r="G804" s="96"/>
    </row>
    <row r="805">
      <c r="C805" s="95"/>
      <c r="D805" s="95"/>
      <c r="F805" s="96"/>
      <c r="G805" s="96"/>
    </row>
    <row r="806">
      <c r="C806" s="95"/>
      <c r="D806" s="95"/>
      <c r="F806" s="96"/>
      <c r="G806" s="96"/>
    </row>
    <row r="807">
      <c r="C807" s="95"/>
      <c r="D807" s="95"/>
      <c r="F807" s="96"/>
      <c r="G807" s="96"/>
    </row>
    <row r="808">
      <c r="C808" s="95"/>
      <c r="D808" s="95"/>
      <c r="F808" s="96"/>
      <c r="G808" s="96"/>
    </row>
    <row r="809">
      <c r="C809" s="95"/>
      <c r="D809" s="95"/>
      <c r="F809" s="96"/>
      <c r="G809" s="96"/>
    </row>
    <row r="810">
      <c r="C810" s="95"/>
      <c r="D810" s="95"/>
      <c r="F810" s="96"/>
      <c r="G810" s="96"/>
    </row>
    <row r="811">
      <c r="C811" s="95"/>
      <c r="D811" s="95"/>
      <c r="F811" s="96"/>
      <c r="G811" s="96"/>
    </row>
    <row r="812">
      <c r="C812" s="95"/>
      <c r="D812" s="95"/>
      <c r="F812" s="96"/>
      <c r="G812" s="96"/>
    </row>
    <row r="813">
      <c r="C813" s="95"/>
      <c r="D813" s="95"/>
      <c r="F813" s="96"/>
      <c r="G813" s="96"/>
    </row>
    <row r="814">
      <c r="C814" s="95"/>
      <c r="D814" s="95"/>
      <c r="F814" s="96"/>
      <c r="G814" s="96"/>
    </row>
    <row r="815">
      <c r="C815" s="95"/>
      <c r="D815" s="95"/>
      <c r="F815" s="96"/>
      <c r="G815" s="96"/>
    </row>
    <row r="816">
      <c r="C816" s="95"/>
      <c r="D816" s="95"/>
      <c r="F816" s="96"/>
      <c r="G816" s="96"/>
    </row>
    <row r="817">
      <c r="C817" s="95"/>
      <c r="D817" s="95"/>
      <c r="F817" s="96"/>
      <c r="G817" s="96"/>
    </row>
    <row r="818">
      <c r="C818" s="95"/>
      <c r="D818" s="95"/>
      <c r="F818" s="96"/>
      <c r="G818" s="96"/>
    </row>
    <row r="819">
      <c r="C819" s="95"/>
      <c r="D819" s="95"/>
      <c r="F819" s="96"/>
      <c r="G819" s="96"/>
    </row>
    <row r="820">
      <c r="C820" s="95"/>
      <c r="D820" s="95"/>
      <c r="F820" s="96"/>
      <c r="G820" s="96"/>
    </row>
    <row r="821">
      <c r="C821" s="95"/>
      <c r="D821" s="95"/>
      <c r="F821" s="96"/>
      <c r="G821" s="96"/>
    </row>
    <row r="822">
      <c r="C822" s="95"/>
      <c r="D822" s="95"/>
      <c r="F822" s="96"/>
      <c r="G822" s="96"/>
    </row>
    <row r="823">
      <c r="C823" s="95"/>
      <c r="D823" s="95"/>
      <c r="F823" s="96"/>
      <c r="G823" s="96"/>
    </row>
    <row r="824">
      <c r="C824" s="95"/>
      <c r="D824" s="95"/>
      <c r="F824" s="96"/>
      <c r="G824" s="96"/>
    </row>
    <row r="825">
      <c r="C825" s="95"/>
      <c r="D825" s="95"/>
      <c r="F825" s="96"/>
      <c r="G825" s="96"/>
    </row>
    <row r="826">
      <c r="C826" s="95"/>
      <c r="D826" s="95"/>
      <c r="F826" s="96"/>
      <c r="G826" s="96"/>
    </row>
    <row r="827">
      <c r="C827" s="95"/>
      <c r="D827" s="95"/>
      <c r="F827" s="96"/>
      <c r="G827" s="96"/>
    </row>
    <row r="828">
      <c r="C828" s="95"/>
      <c r="D828" s="95"/>
      <c r="F828" s="96"/>
      <c r="G828" s="96"/>
    </row>
    <row r="829">
      <c r="C829" s="95"/>
      <c r="D829" s="95"/>
      <c r="F829" s="96"/>
      <c r="G829" s="96"/>
    </row>
    <row r="830">
      <c r="C830" s="95"/>
      <c r="D830" s="95"/>
      <c r="F830" s="96"/>
      <c r="G830" s="96"/>
    </row>
    <row r="831">
      <c r="C831" s="95"/>
      <c r="D831" s="95"/>
      <c r="F831" s="96"/>
      <c r="G831" s="96"/>
    </row>
    <row r="832">
      <c r="C832" s="95"/>
      <c r="D832" s="95"/>
      <c r="F832" s="96"/>
      <c r="G832" s="96"/>
    </row>
    <row r="833">
      <c r="C833" s="95"/>
      <c r="D833" s="95"/>
      <c r="F833" s="96"/>
      <c r="G833" s="96"/>
    </row>
    <row r="834">
      <c r="C834" s="95"/>
      <c r="D834" s="95"/>
      <c r="F834" s="96"/>
      <c r="G834" s="96"/>
    </row>
    <row r="835">
      <c r="C835" s="95"/>
      <c r="D835" s="95"/>
      <c r="F835" s="96"/>
      <c r="G835" s="96"/>
    </row>
    <row r="836">
      <c r="C836" s="95"/>
      <c r="D836" s="95"/>
      <c r="F836" s="96"/>
      <c r="G836" s="96"/>
    </row>
    <row r="837">
      <c r="C837" s="95"/>
      <c r="D837" s="95"/>
      <c r="F837" s="96"/>
      <c r="G837" s="96"/>
    </row>
    <row r="838">
      <c r="C838" s="95"/>
      <c r="D838" s="95"/>
      <c r="F838" s="96"/>
      <c r="G838" s="96"/>
    </row>
    <row r="839">
      <c r="C839" s="95"/>
      <c r="D839" s="95"/>
      <c r="F839" s="96"/>
      <c r="G839" s="96"/>
    </row>
    <row r="840">
      <c r="C840" s="95"/>
      <c r="D840" s="95"/>
      <c r="F840" s="96"/>
      <c r="G840" s="96"/>
    </row>
    <row r="841">
      <c r="C841" s="95"/>
      <c r="D841" s="95"/>
      <c r="F841" s="96"/>
      <c r="G841" s="96"/>
    </row>
    <row r="842">
      <c r="C842" s="95"/>
      <c r="D842" s="95"/>
      <c r="F842" s="96"/>
      <c r="G842" s="96"/>
    </row>
    <row r="843">
      <c r="C843" s="95"/>
      <c r="D843" s="95"/>
      <c r="F843" s="96"/>
      <c r="G843" s="96"/>
    </row>
    <row r="844">
      <c r="C844" s="95"/>
      <c r="D844" s="95"/>
      <c r="F844" s="96"/>
      <c r="G844" s="96"/>
    </row>
    <row r="845">
      <c r="C845" s="95"/>
      <c r="D845" s="95"/>
      <c r="F845" s="96"/>
      <c r="G845" s="96"/>
    </row>
    <row r="846">
      <c r="C846" s="95"/>
      <c r="D846" s="95"/>
      <c r="F846" s="96"/>
      <c r="G846" s="96"/>
    </row>
    <row r="847">
      <c r="C847" s="95"/>
      <c r="D847" s="95"/>
      <c r="F847" s="96"/>
      <c r="G847" s="96"/>
    </row>
    <row r="848">
      <c r="C848" s="95"/>
      <c r="D848" s="95"/>
      <c r="F848" s="96"/>
      <c r="G848" s="96"/>
    </row>
    <row r="849">
      <c r="C849" s="95"/>
      <c r="D849" s="95"/>
      <c r="F849" s="96"/>
      <c r="G849" s="96"/>
    </row>
    <row r="850">
      <c r="C850" s="95"/>
      <c r="D850" s="95"/>
      <c r="F850" s="96"/>
      <c r="G850" s="96"/>
    </row>
    <row r="851">
      <c r="C851" s="95"/>
      <c r="D851" s="95"/>
      <c r="F851" s="96"/>
      <c r="G851" s="96"/>
    </row>
    <row r="852">
      <c r="C852" s="95"/>
      <c r="D852" s="95"/>
      <c r="F852" s="96"/>
      <c r="G852" s="96"/>
    </row>
    <row r="853">
      <c r="C853" s="95"/>
      <c r="D853" s="95"/>
      <c r="F853" s="96"/>
      <c r="G853" s="96"/>
    </row>
    <row r="854">
      <c r="C854" s="95"/>
      <c r="D854" s="95"/>
      <c r="F854" s="96"/>
      <c r="G854" s="96"/>
    </row>
    <row r="855">
      <c r="C855" s="95"/>
      <c r="D855" s="95"/>
      <c r="F855" s="96"/>
      <c r="G855" s="96"/>
    </row>
    <row r="856">
      <c r="C856" s="95"/>
      <c r="D856" s="95"/>
      <c r="F856" s="96"/>
      <c r="G856" s="96"/>
    </row>
    <row r="857">
      <c r="C857" s="95"/>
      <c r="D857" s="95"/>
      <c r="F857" s="96"/>
      <c r="G857" s="96"/>
    </row>
    <row r="858">
      <c r="C858" s="95"/>
      <c r="D858" s="95"/>
      <c r="F858" s="96"/>
      <c r="G858" s="96"/>
    </row>
    <row r="859">
      <c r="C859" s="95"/>
      <c r="D859" s="95"/>
      <c r="F859" s="96"/>
      <c r="G859" s="96"/>
    </row>
    <row r="860">
      <c r="C860" s="95"/>
      <c r="D860" s="95"/>
      <c r="F860" s="96"/>
      <c r="G860" s="96"/>
    </row>
    <row r="861">
      <c r="C861" s="95"/>
      <c r="D861" s="95"/>
      <c r="F861" s="96"/>
      <c r="G861" s="96"/>
    </row>
    <row r="862">
      <c r="C862" s="95"/>
      <c r="D862" s="95"/>
      <c r="F862" s="96"/>
      <c r="G862" s="96"/>
    </row>
    <row r="863">
      <c r="C863" s="95"/>
      <c r="D863" s="95"/>
      <c r="F863" s="96"/>
      <c r="G863" s="96"/>
    </row>
    <row r="864">
      <c r="C864" s="95"/>
      <c r="D864" s="95"/>
      <c r="F864" s="96"/>
      <c r="G864" s="96"/>
    </row>
    <row r="865">
      <c r="C865" s="95"/>
      <c r="D865" s="95"/>
      <c r="F865" s="96"/>
      <c r="G865" s="96"/>
    </row>
    <row r="866">
      <c r="C866" s="95"/>
      <c r="D866" s="95"/>
      <c r="F866" s="96"/>
      <c r="G866" s="96"/>
    </row>
    <row r="867">
      <c r="C867" s="95"/>
      <c r="D867" s="95"/>
      <c r="F867" s="96"/>
      <c r="G867" s="96"/>
    </row>
    <row r="868">
      <c r="C868" s="95"/>
      <c r="D868" s="95"/>
      <c r="F868" s="96"/>
      <c r="G868" s="96"/>
    </row>
    <row r="869">
      <c r="C869" s="95"/>
      <c r="D869" s="95"/>
      <c r="F869" s="96"/>
      <c r="G869" s="96"/>
    </row>
    <row r="870">
      <c r="C870" s="95"/>
      <c r="D870" s="95"/>
      <c r="F870" s="96"/>
      <c r="G870" s="96"/>
    </row>
    <row r="871">
      <c r="C871" s="95"/>
      <c r="D871" s="95"/>
      <c r="F871" s="96"/>
      <c r="G871" s="96"/>
    </row>
    <row r="872">
      <c r="C872" s="95"/>
      <c r="D872" s="95"/>
      <c r="F872" s="96"/>
      <c r="G872" s="96"/>
    </row>
    <row r="873">
      <c r="C873" s="95"/>
      <c r="D873" s="95"/>
      <c r="F873" s="96"/>
      <c r="G873" s="96"/>
    </row>
    <row r="874">
      <c r="C874" s="95"/>
      <c r="D874" s="95"/>
      <c r="F874" s="96"/>
      <c r="G874" s="96"/>
    </row>
    <row r="875">
      <c r="C875" s="95"/>
      <c r="D875" s="95"/>
      <c r="F875" s="96"/>
      <c r="G875" s="96"/>
    </row>
    <row r="876">
      <c r="C876" s="95"/>
      <c r="D876" s="95"/>
      <c r="F876" s="96"/>
      <c r="G876" s="96"/>
    </row>
    <row r="877">
      <c r="C877" s="95"/>
      <c r="D877" s="95"/>
      <c r="F877" s="96"/>
      <c r="G877" s="96"/>
    </row>
    <row r="878">
      <c r="C878" s="95"/>
      <c r="D878" s="95"/>
      <c r="F878" s="96"/>
      <c r="G878" s="96"/>
    </row>
    <row r="879">
      <c r="C879" s="95"/>
      <c r="D879" s="95"/>
      <c r="F879" s="96"/>
      <c r="G879" s="96"/>
    </row>
    <row r="880">
      <c r="C880" s="95"/>
      <c r="D880" s="95"/>
      <c r="F880" s="96"/>
      <c r="G880" s="96"/>
    </row>
    <row r="881">
      <c r="C881" s="95"/>
      <c r="D881" s="95"/>
      <c r="F881" s="96"/>
      <c r="G881" s="96"/>
    </row>
    <row r="882">
      <c r="C882" s="95"/>
      <c r="D882" s="95"/>
      <c r="F882" s="96"/>
      <c r="G882" s="96"/>
    </row>
    <row r="883">
      <c r="C883" s="95"/>
      <c r="D883" s="95"/>
      <c r="F883" s="96"/>
      <c r="G883" s="96"/>
    </row>
    <row r="884">
      <c r="C884" s="95"/>
      <c r="D884" s="95"/>
      <c r="F884" s="96"/>
      <c r="G884" s="96"/>
    </row>
    <row r="885">
      <c r="C885" s="95"/>
      <c r="D885" s="95"/>
      <c r="F885" s="96"/>
      <c r="G885" s="96"/>
    </row>
    <row r="886">
      <c r="C886" s="95"/>
      <c r="D886" s="95"/>
      <c r="F886" s="96"/>
      <c r="G886" s="96"/>
    </row>
    <row r="887">
      <c r="C887" s="95"/>
      <c r="D887" s="95"/>
      <c r="F887" s="96"/>
      <c r="G887" s="96"/>
    </row>
    <row r="888">
      <c r="C888" s="95"/>
      <c r="D888" s="95"/>
      <c r="F888" s="96"/>
      <c r="G888" s="96"/>
    </row>
    <row r="889">
      <c r="C889" s="95"/>
      <c r="D889" s="95"/>
      <c r="F889" s="96"/>
      <c r="G889" s="96"/>
    </row>
    <row r="890">
      <c r="C890" s="95"/>
      <c r="D890" s="95"/>
      <c r="F890" s="96"/>
      <c r="G890" s="96"/>
    </row>
    <row r="891">
      <c r="C891" s="95"/>
      <c r="D891" s="95"/>
      <c r="F891" s="96"/>
      <c r="G891" s="96"/>
    </row>
    <row r="892">
      <c r="C892" s="95"/>
      <c r="D892" s="95"/>
      <c r="F892" s="96"/>
      <c r="G892" s="96"/>
    </row>
    <row r="893">
      <c r="C893" s="95"/>
      <c r="D893" s="95"/>
      <c r="F893" s="96"/>
      <c r="G893" s="96"/>
    </row>
    <row r="894">
      <c r="C894" s="95"/>
      <c r="D894" s="95"/>
      <c r="F894" s="96"/>
      <c r="G894" s="96"/>
    </row>
    <row r="895">
      <c r="C895" s="95"/>
      <c r="D895" s="95"/>
      <c r="F895" s="96"/>
      <c r="G895" s="96"/>
    </row>
    <row r="896">
      <c r="C896" s="95"/>
      <c r="D896" s="95"/>
      <c r="F896" s="96"/>
      <c r="G896" s="96"/>
    </row>
    <row r="897">
      <c r="C897" s="95"/>
      <c r="D897" s="95"/>
      <c r="F897" s="96"/>
      <c r="G897" s="96"/>
    </row>
    <row r="898">
      <c r="C898" s="95"/>
      <c r="D898" s="95"/>
      <c r="F898" s="96"/>
      <c r="G898" s="96"/>
    </row>
    <row r="899">
      <c r="C899" s="95"/>
      <c r="D899" s="95"/>
      <c r="F899" s="96"/>
      <c r="G899" s="96"/>
    </row>
    <row r="900">
      <c r="C900" s="95"/>
      <c r="D900" s="95"/>
      <c r="F900" s="96"/>
      <c r="G900" s="96"/>
    </row>
    <row r="901">
      <c r="C901" s="95"/>
      <c r="D901" s="95"/>
      <c r="F901" s="96"/>
      <c r="G901" s="96"/>
    </row>
    <row r="902">
      <c r="C902" s="95"/>
      <c r="D902" s="95"/>
      <c r="F902" s="96"/>
      <c r="G902" s="96"/>
    </row>
    <row r="903">
      <c r="C903" s="95"/>
      <c r="D903" s="95"/>
      <c r="F903" s="96"/>
      <c r="G903" s="96"/>
    </row>
    <row r="904">
      <c r="C904" s="95"/>
      <c r="D904" s="95"/>
      <c r="F904" s="96"/>
      <c r="G904" s="96"/>
    </row>
    <row r="905">
      <c r="C905" s="95"/>
      <c r="D905" s="95"/>
      <c r="F905" s="96"/>
      <c r="G905" s="96"/>
    </row>
    <row r="906">
      <c r="C906" s="95"/>
      <c r="D906" s="95"/>
      <c r="F906" s="96"/>
      <c r="G906" s="96"/>
    </row>
    <row r="907">
      <c r="C907" s="95"/>
      <c r="D907" s="95"/>
      <c r="F907" s="96"/>
      <c r="G907" s="96"/>
    </row>
    <row r="908">
      <c r="C908" s="95"/>
      <c r="D908" s="95"/>
      <c r="F908" s="96"/>
      <c r="G908" s="96"/>
    </row>
    <row r="909">
      <c r="C909" s="95"/>
      <c r="D909" s="95"/>
      <c r="F909" s="96"/>
      <c r="G909" s="96"/>
    </row>
    <row r="910">
      <c r="C910" s="95"/>
      <c r="D910" s="95"/>
      <c r="F910" s="96"/>
      <c r="G910" s="96"/>
    </row>
    <row r="911">
      <c r="C911" s="95"/>
      <c r="D911" s="95"/>
      <c r="F911" s="96"/>
      <c r="G911" s="96"/>
    </row>
    <row r="912">
      <c r="C912" s="95"/>
      <c r="D912" s="95"/>
      <c r="F912" s="96"/>
      <c r="G912" s="96"/>
    </row>
    <row r="913">
      <c r="C913" s="95"/>
      <c r="D913" s="95"/>
      <c r="F913" s="96"/>
      <c r="G913" s="96"/>
    </row>
    <row r="914">
      <c r="C914" s="95"/>
      <c r="D914" s="95"/>
      <c r="F914" s="96"/>
      <c r="G914" s="96"/>
    </row>
    <row r="915">
      <c r="C915" s="95"/>
      <c r="D915" s="95"/>
      <c r="F915" s="96"/>
      <c r="G915" s="96"/>
    </row>
    <row r="916">
      <c r="C916" s="95"/>
      <c r="D916" s="95"/>
      <c r="F916" s="96"/>
      <c r="G916" s="96"/>
    </row>
    <row r="917">
      <c r="C917" s="95"/>
      <c r="D917" s="95"/>
      <c r="F917" s="96"/>
      <c r="G917" s="96"/>
    </row>
    <row r="918">
      <c r="C918" s="95"/>
      <c r="D918" s="95"/>
      <c r="F918" s="96"/>
      <c r="G918" s="96"/>
    </row>
    <row r="919">
      <c r="C919" s="95"/>
      <c r="D919" s="95"/>
      <c r="F919" s="96"/>
      <c r="G919" s="96"/>
    </row>
    <row r="920">
      <c r="C920" s="95"/>
      <c r="D920" s="95"/>
      <c r="F920" s="96"/>
      <c r="G920" s="96"/>
    </row>
    <row r="921">
      <c r="C921" s="95"/>
      <c r="D921" s="95"/>
      <c r="F921" s="96"/>
      <c r="G921" s="96"/>
    </row>
    <row r="922">
      <c r="C922" s="95"/>
      <c r="D922" s="95"/>
      <c r="F922" s="96"/>
      <c r="G922" s="96"/>
    </row>
    <row r="923">
      <c r="C923" s="95"/>
      <c r="D923" s="95"/>
      <c r="F923" s="96"/>
      <c r="G923" s="96"/>
    </row>
    <row r="924">
      <c r="C924" s="95"/>
      <c r="D924" s="95"/>
      <c r="F924" s="96"/>
      <c r="G924" s="96"/>
    </row>
    <row r="925">
      <c r="C925" s="95"/>
      <c r="D925" s="95"/>
      <c r="F925" s="96"/>
      <c r="G925" s="96"/>
    </row>
    <row r="926">
      <c r="C926" s="95"/>
      <c r="D926" s="95"/>
      <c r="F926" s="96"/>
      <c r="G926" s="96"/>
    </row>
    <row r="927">
      <c r="C927" s="95"/>
      <c r="D927" s="95"/>
      <c r="F927" s="96"/>
      <c r="G927" s="96"/>
    </row>
    <row r="928">
      <c r="C928" s="95"/>
      <c r="D928" s="95"/>
      <c r="F928" s="96"/>
      <c r="G928" s="96"/>
    </row>
    <row r="929">
      <c r="C929" s="95"/>
      <c r="D929" s="95"/>
      <c r="F929" s="96"/>
      <c r="G929" s="96"/>
    </row>
    <row r="930">
      <c r="C930" s="95"/>
      <c r="D930" s="95"/>
      <c r="F930" s="96"/>
      <c r="G930" s="96"/>
    </row>
    <row r="931">
      <c r="C931" s="95"/>
      <c r="D931" s="95"/>
      <c r="F931" s="96"/>
      <c r="G931" s="96"/>
    </row>
    <row r="932">
      <c r="C932" s="95"/>
      <c r="D932" s="95"/>
      <c r="F932" s="96"/>
      <c r="G932" s="96"/>
    </row>
    <row r="933">
      <c r="C933" s="95"/>
      <c r="D933" s="95"/>
      <c r="F933" s="96"/>
      <c r="G933" s="96"/>
    </row>
    <row r="934">
      <c r="C934" s="95"/>
      <c r="D934" s="95"/>
      <c r="F934" s="96"/>
      <c r="G934" s="96"/>
    </row>
    <row r="935">
      <c r="C935" s="95"/>
      <c r="D935" s="95"/>
      <c r="F935" s="96"/>
      <c r="G935" s="96"/>
    </row>
    <row r="936">
      <c r="C936" s="95"/>
      <c r="D936" s="95"/>
      <c r="F936" s="96"/>
      <c r="G936" s="96"/>
    </row>
    <row r="937">
      <c r="C937" s="95"/>
      <c r="D937" s="95"/>
      <c r="F937" s="96"/>
      <c r="G937" s="96"/>
    </row>
    <row r="938">
      <c r="C938" s="95"/>
      <c r="D938" s="95"/>
      <c r="F938" s="96"/>
      <c r="G938" s="96"/>
    </row>
    <row r="939">
      <c r="C939" s="95"/>
      <c r="D939" s="95"/>
      <c r="F939" s="96"/>
      <c r="G939" s="96"/>
    </row>
    <row r="940">
      <c r="C940" s="95"/>
      <c r="D940" s="95"/>
      <c r="F940" s="96"/>
      <c r="G940" s="96"/>
    </row>
    <row r="941">
      <c r="C941" s="95"/>
      <c r="D941" s="95"/>
      <c r="F941" s="96"/>
      <c r="G941" s="96"/>
    </row>
    <row r="942">
      <c r="C942" s="95"/>
      <c r="D942" s="95"/>
      <c r="F942" s="96"/>
      <c r="G942" s="96"/>
    </row>
    <row r="943">
      <c r="C943" s="95"/>
      <c r="D943" s="95"/>
      <c r="F943" s="96"/>
      <c r="G943" s="96"/>
    </row>
    <row r="944">
      <c r="C944" s="95"/>
      <c r="D944" s="95"/>
      <c r="F944" s="96"/>
      <c r="G944" s="96"/>
    </row>
    <row r="945">
      <c r="C945" s="95"/>
      <c r="D945" s="95"/>
      <c r="F945" s="96"/>
      <c r="G945" s="96"/>
    </row>
    <row r="946">
      <c r="C946" s="95"/>
      <c r="D946" s="95"/>
      <c r="F946" s="96"/>
      <c r="G946" s="96"/>
    </row>
    <row r="947">
      <c r="C947" s="95"/>
      <c r="D947" s="95"/>
      <c r="F947" s="96"/>
      <c r="G947" s="96"/>
    </row>
    <row r="948">
      <c r="C948" s="95"/>
      <c r="D948" s="95"/>
      <c r="F948" s="96"/>
      <c r="G948" s="96"/>
    </row>
    <row r="949">
      <c r="C949" s="95"/>
      <c r="D949" s="95"/>
      <c r="F949" s="96"/>
      <c r="G949" s="96"/>
    </row>
    <row r="950">
      <c r="C950" s="95"/>
      <c r="D950" s="95"/>
      <c r="F950" s="96"/>
      <c r="G950" s="96"/>
    </row>
    <row r="951">
      <c r="C951" s="95"/>
      <c r="D951" s="95"/>
      <c r="F951" s="96"/>
      <c r="G951" s="96"/>
    </row>
    <row r="952">
      <c r="C952" s="95"/>
      <c r="D952" s="95"/>
      <c r="F952" s="96"/>
      <c r="G952" s="96"/>
    </row>
    <row r="953">
      <c r="C953" s="95"/>
      <c r="D953" s="95"/>
      <c r="F953" s="96"/>
      <c r="G953" s="96"/>
    </row>
    <row r="954">
      <c r="C954" s="95"/>
      <c r="D954" s="95"/>
      <c r="F954" s="96"/>
      <c r="G954" s="96"/>
    </row>
    <row r="955">
      <c r="C955" s="95"/>
      <c r="D955" s="95"/>
      <c r="F955" s="96"/>
      <c r="G955" s="96"/>
    </row>
    <row r="956">
      <c r="C956" s="95"/>
      <c r="D956" s="95"/>
      <c r="F956" s="96"/>
      <c r="G956" s="96"/>
    </row>
    <row r="957">
      <c r="C957" s="95"/>
      <c r="D957" s="95"/>
      <c r="F957" s="96"/>
      <c r="G957" s="96"/>
    </row>
    <row r="958">
      <c r="C958" s="95"/>
      <c r="D958" s="95"/>
      <c r="F958" s="96"/>
      <c r="G958" s="96"/>
    </row>
    <row r="959">
      <c r="C959" s="95"/>
      <c r="D959" s="95"/>
      <c r="F959" s="96"/>
      <c r="G959" s="96"/>
    </row>
    <row r="960">
      <c r="C960" s="95"/>
      <c r="D960" s="95"/>
      <c r="F960" s="96"/>
      <c r="G960" s="96"/>
    </row>
    <row r="961">
      <c r="C961" s="95"/>
      <c r="D961" s="95"/>
      <c r="F961" s="96"/>
      <c r="G961" s="96"/>
    </row>
    <row r="962">
      <c r="C962" s="95"/>
      <c r="D962" s="95"/>
      <c r="F962" s="96"/>
      <c r="G962" s="96"/>
    </row>
    <row r="963">
      <c r="C963" s="95"/>
      <c r="D963" s="95"/>
      <c r="F963" s="96"/>
      <c r="G963" s="96"/>
    </row>
    <row r="964">
      <c r="C964" s="95"/>
      <c r="D964" s="95"/>
      <c r="F964" s="96"/>
      <c r="G964" s="96"/>
    </row>
    <row r="965">
      <c r="C965" s="95"/>
      <c r="D965" s="95"/>
      <c r="F965" s="96"/>
      <c r="G965" s="96"/>
    </row>
    <row r="966">
      <c r="C966" s="95"/>
      <c r="D966" s="95"/>
      <c r="F966" s="96"/>
      <c r="G966" s="96"/>
    </row>
    <row r="967">
      <c r="C967" s="95"/>
      <c r="D967" s="95"/>
      <c r="F967" s="96"/>
      <c r="G967" s="96"/>
    </row>
    <row r="968">
      <c r="C968" s="95"/>
      <c r="D968" s="95"/>
      <c r="F968" s="96"/>
      <c r="G968" s="96"/>
    </row>
    <row r="969">
      <c r="C969" s="95"/>
      <c r="D969" s="95"/>
      <c r="F969" s="96"/>
      <c r="G969" s="96"/>
    </row>
    <row r="970">
      <c r="C970" s="95"/>
      <c r="D970" s="95"/>
      <c r="F970" s="96"/>
      <c r="G970" s="96"/>
    </row>
    <row r="971">
      <c r="C971" s="95"/>
      <c r="D971" s="95"/>
      <c r="F971" s="96"/>
      <c r="G971" s="96"/>
    </row>
    <row r="972">
      <c r="C972" s="95"/>
      <c r="D972" s="95"/>
      <c r="F972" s="96"/>
      <c r="G972" s="96"/>
    </row>
    <row r="973">
      <c r="C973" s="95"/>
      <c r="D973" s="95"/>
      <c r="F973" s="96"/>
      <c r="G973" s="96"/>
    </row>
    <row r="974">
      <c r="C974" s="95"/>
      <c r="D974" s="95"/>
      <c r="F974" s="96"/>
      <c r="G974" s="96"/>
    </row>
    <row r="975">
      <c r="C975" s="95"/>
      <c r="D975" s="95"/>
      <c r="F975" s="96"/>
      <c r="G975" s="96"/>
    </row>
    <row r="976">
      <c r="C976" s="95"/>
      <c r="D976" s="95"/>
      <c r="F976" s="96"/>
      <c r="G976" s="96"/>
    </row>
    <row r="977">
      <c r="C977" s="95"/>
      <c r="D977" s="95"/>
      <c r="F977" s="96"/>
      <c r="G977" s="96"/>
    </row>
    <row r="978">
      <c r="C978" s="95"/>
      <c r="D978" s="95"/>
      <c r="F978" s="96"/>
      <c r="G978" s="96"/>
    </row>
    <row r="979">
      <c r="C979" s="95"/>
      <c r="D979" s="95"/>
      <c r="F979" s="96"/>
      <c r="G979" s="96"/>
    </row>
    <row r="980">
      <c r="C980" s="95"/>
      <c r="D980" s="95"/>
      <c r="F980" s="96"/>
      <c r="G980" s="96"/>
    </row>
    <row r="981">
      <c r="C981" s="95"/>
      <c r="D981" s="95"/>
      <c r="F981" s="96"/>
      <c r="G981" s="96"/>
    </row>
    <row r="982">
      <c r="C982" s="95"/>
      <c r="D982" s="95"/>
      <c r="F982" s="96"/>
      <c r="G982" s="96"/>
    </row>
    <row r="983">
      <c r="C983" s="95"/>
      <c r="D983" s="95"/>
      <c r="F983" s="96"/>
      <c r="G983" s="96"/>
    </row>
    <row r="984">
      <c r="C984" s="95"/>
      <c r="D984" s="95"/>
      <c r="F984" s="96"/>
      <c r="G984" s="96"/>
    </row>
    <row r="985">
      <c r="C985" s="95"/>
      <c r="D985" s="95"/>
      <c r="F985" s="96"/>
      <c r="G985" s="96"/>
    </row>
    <row r="986">
      <c r="C986" s="95"/>
      <c r="D986" s="95"/>
      <c r="F986" s="96"/>
      <c r="G986" s="96"/>
    </row>
    <row r="987">
      <c r="C987" s="95"/>
      <c r="D987" s="95"/>
      <c r="F987" s="96"/>
      <c r="G987" s="96"/>
    </row>
    <row r="988">
      <c r="C988" s="95"/>
      <c r="D988" s="95"/>
      <c r="F988" s="96"/>
      <c r="G988" s="96"/>
    </row>
    <row r="989">
      <c r="C989" s="95"/>
      <c r="D989" s="95"/>
      <c r="F989" s="96"/>
      <c r="G989" s="96"/>
    </row>
    <row r="990">
      <c r="C990" s="95"/>
      <c r="D990" s="95"/>
      <c r="F990" s="96"/>
      <c r="G990" s="96"/>
    </row>
    <row r="991">
      <c r="C991" s="95"/>
      <c r="D991" s="95"/>
      <c r="F991" s="96"/>
      <c r="G991" s="96"/>
    </row>
    <row r="992">
      <c r="C992" s="95"/>
      <c r="D992" s="95"/>
      <c r="F992" s="96"/>
      <c r="G992" s="96"/>
    </row>
    <row r="993">
      <c r="C993" s="95"/>
      <c r="D993" s="95"/>
      <c r="F993" s="96"/>
      <c r="G993" s="96"/>
    </row>
    <row r="994">
      <c r="C994" s="95"/>
      <c r="D994" s="95"/>
      <c r="F994" s="96"/>
      <c r="G994" s="96"/>
    </row>
    <row r="995">
      <c r="C995" s="95"/>
      <c r="D995" s="95"/>
      <c r="F995" s="96"/>
      <c r="G995" s="96"/>
    </row>
    <row r="996">
      <c r="C996" s="95"/>
      <c r="D996" s="95"/>
      <c r="F996" s="96"/>
      <c r="G996" s="96"/>
    </row>
    <row r="997">
      <c r="C997" s="95"/>
      <c r="D997" s="95"/>
      <c r="F997" s="96"/>
      <c r="G997" s="96"/>
    </row>
    <row r="998">
      <c r="C998" s="95"/>
      <c r="D998" s="95"/>
      <c r="F998" s="96"/>
      <c r="G998" s="96"/>
    </row>
    <row r="999">
      <c r="C999" s="95"/>
      <c r="D999" s="95"/>
      <c r="F999" s="96"/>
      <c r="G999" s="96"/>
    </row>
    <row r="1000">
      <c r="C1000" s="95"/>
      <c r="D1000" s="95"/>
      <c r="F1000" s="96"/>
      <c r="G1000" s="96"/>
    </row>
    <row r="1001">
      <c r="C1001" s="95"/>
      <c r="D1001" s="95"/>
      <c r="F1001" s="96"/>
      <c r="G1001" s="96"/>
    </row>
    <row r="1002">
      <c r="C1002" s="95"/>
      <c r="D1002" s="95"/>
      <c r="F1002" s="96"/>
      <c r="G1002" s="96"/>
    </row>
  </sheetData>
  <dataValidations>
    <dataValidation type="list" allowBlank="1" showErrorMessage="1" sqref="C2:C1002">
      <formula1>Budget!$B$2:$B1002</formula1>
    </dataValidation>
    <dataValidation type="list" allowBlank="1" sqref="D2:D1002">
      <formula1>Team!$B$2:$B1002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46524"/>
    <outlinePr summaryBelow="0" summaryRight="0"/>
  </sheetPr>
  <sheetViews>
    <sheetView workbookViewId="0"/>
  </sheetViews>
  <sheetFormatPr customHeight="1" defaultColWidth="12.63" defaultRowHeight="15.75"/>
  <cols>
    <col customWidth="1" min="2" max="2" width="28.25"/>
    <col customWidth="1" min="3" max="3" width="17.63"/>
    <col customWidth="1" min="5" max="5" width="18.0"/>
  </cols>
  <sheetData>
    <row r="1">
      <c r="A1" s="97" t="s">
        <v>181</v>
      </c>
      <c r="B1" s="98" t="s">
        <v>182</v>
      </c>
      <c r="C1" s="99" t="s">
        <v>222</v>
      </c>
      <c r="D1" s="99" t="s">
        <v>223</v>
      </c>
      <c r="E1" s="99" t="s">
        <v>224</v>
      </c>
    </row>
    <row r="2">
      <c r="A2" s="89">
        <v>45047.0</v>
      </c>
      <c r="B2" s="90" t="s">
        <v>203</v>
      </c>
      <c r="C2" s="91">
        <v>9000.0</v>
      </c>
      <c r="D2" s="93">
        <f>sumif(Expenses!D$2:D1000,B2,Expenses!F$2:F1000)</f>
        <v>4500</v>
      </c>
      <c r="E2" s="93">
        <f t="shared" ref="E2:E5" si="1">C2-D2</f>
        <v>4500</v>
      </c>
    </row>
    <row r="3">
      <c r="A3" s="89">
        <v>45044.0</v>
      </c>
      <c r="B3" s="90" t="s">
        <v>196</v>
      </c>
      <c r="C3" s="91">
        <v>100000.0</v>
      </c>
      <c r="D3" s="93">
        <f>sumif(Expenses!D$2:D1000,B3,Expenses!F$2:F1000)</f>
        <v>90677</v>
      </c>
      <c r="E3" s="93">
        <f t="shared" si="1"/>
        <v>9323</v>
      </c>
    </row>
    <row r="4">
      <c r="A4" s="89">
        <v>45228.0</v>
      </c>
      <c r="B4" s="90" t="s">
        <v>214</v>
      </c>
      <c r="C4" s="91">
        <v>28650.0</v>
      </c>
      <c r="D4" s="93">
        <f>sumif(Expenses!D$2:D1000,B4,Expenses!F$2:F1000)</f>
        <v>16650</v>
      </c>
      <c r="E4" s="93">
        <f t="shared" si="1"/>
        <v>12000</v>
      </c>
    </row>
    <row r="5">
      <c r="A5" s="89">
        <v>45296.0</v>
      </c>
      <c r="B5" s="90" t="s">
        <v>216</v>
      </c>
      <c r="C5" s="91">
        <v>15000.0</v>
      </c>
      <c r="D5" s="91">
        <v>4000.0</v>
      </c>
      <c r="E5" s="93">
        <f t="shared" si="1"/>
        <v>11000</v>
      </c>
    </row>
    <row r="6">
      <c r="B6" s="95"/>
      <c r="C6" s="96"/>
      <c r="D6" s="96"/>
      <c r="E6" s="96"/>
    </row>
    <row r="7">
      <c r="B7" s="95"/>
      <c r="C7" s="96"/>
      <c r="D7" s="96"/>
      <c r="E7" s="96"/>
    </row>
    <row r="8">
      <c r="B8" s="95"/>
      <c r="C8" s="96"/>
      <c r="D8" s="96"/>
      <c r="E8" s="96"/>
    </row>
    <row r="9">
      <c r="B9" s="95"/>
      <c r="C9" s="96"/>
      <c r="D9" s="96"/>
      <c r="E9" s="96"/>
    </row>
    <row r="10">
      <c r="B10" s="95"/>
      <c r="C10" s="96"/>
      <c r="D10" s="96"/>
      <c r="E10" s="96"/>
    </row>
    <row r="11">
      <c r="B11" s="95"/>
      <c r="C11" s="96"/>
      <c r="D11" s="96"/>
      <c r="E11" s="96"/>
    </row>
    <row r="12">
      <c r="B12" s="95"/>
      <c r="C12" s="96"/>
      <c r="D12" s="96"/>
      <c r="E12" s="96"/>
    </row>
    <row r="13">
      <c r="B13" s="95"/>
      <c r="C13" s="96"/>
      <c r="D13" s="96"/>
      <c r="E13" s="96"/>
    </row>
    <row r="14">
      <c r="B14" s="95"/>
      <c r="C14" s="96"/>
      <c r="D14" s="96"/>
      <c r="E14" s="96"/>
    </row>
    <row r="15">
      <c r="B15" s="95"/>
      <c r="C15" s="96"/>
      <c r="D15" s="96"/>
      <c r="E15" s="96"/>
    </row>
    <row r="16">
      <c r="B16" s="95"/>
      <c r="C16" s="96"/>
      <c r="D16" s="96"/>
      <c r="E16" s="96"/>
    </row>
    <row r="17">
      <c r="B17" s="95"/>
      <c r="C17" s="96"/>
      <c r="D17" s="96"/>
      <c r="E17" s="96"/>
    </row>
    <row r="18">
      <c r="B18" s="95"/>
      <c r="C18" s="96"/>
      <c r="D18" s="96"/>
      <c r="E18" s="96"/>
    </row>
    <row r="19">
      <c r="B19" s="95"/>
      <c r="C19" s="96"/>
      <c r="D19" s="96"/>
      <c r="E19" s="96"/>
    </row>
    <row r="20">
      <c r="B20" s="95"/>
      <c r="C20" s="96"/>
      <c r="D20" s="96"/>
      <c r="E20" s="96"/>
    </row>
    <row r="21">
      <c r="B21" s="95"/>
      <c r="C21" s="96"/>
      <c r="D21" s="96"/>
      <c r="E21" s="96"/>
    </row>
    <row r="22">
      <c r="B22" s="95"/>
      <c r="C22" s="96"/>
      <c r="D22" s="96"/>
      <c r="E22" s="96"/>
    </row>
    <row r="23">
      <c r="B23" s="95"/>
      <c r="C23" s="96"/>
      <c r="D23" s="96"/>
      <c r="E23" s="96"/>
    </row>
    <row r="24">
      <c r="B24" s="95"/>
      <c r="C24" s="96"/>
      <c r="D24" s="96"/>
      <c r="E24" s="96"/>
    </row>
    <row r="25">
      <c r="B25" s="95"/>
      <c r="C25" s="96"/>
      <c r="D25" s="96"/>
      <c r="E25" s="96"/>
    </row>
    <row r="26">
      <c r="B26" s="95"/>
      <c r="C26" s="96"/>
      <c r="D26" s="96"/>
      <c r="E26" s="96"/>
    </row>
    <row r="27">
      <c r="B27" s="95"/>
      <c r="C27" s="96"/>
      <c r="D27" s="96"/>
      <c r="E27" s="96"/>
    </row>
    <row r="28">
      <c r="B28" s="95"/>
      <c r="C28" s="96"/>
      <c r="D28" s="96"/>
      <c r="E28" s="96"/>
    </row>
    <row r="29">
      <c r="B29" s="95"/>
      <c r="C29" s="96"/>
      <c r="D29" s="96"/>
      <c r="E29" s="96"/>
    </row>
    <row r="30">
      <c r="B30" s="95"/>
      <c r="C30" s="96"/>
      <c r="D30" s="96"/>
      <c r="E30" s="96"/>
    </row>
    <row r="31">
      <c r="B31" s="95"/>
      <c r="C31" s="96"/>
      <c r="D31" s="96"/>
      <c r="E31" s="96"/>
    </row>
    <row r="32">
      <c r="B32" s="95"/>
      <c r="C32" s="96"/>
      <c r="D32" s="96"/>
      <c r="E32" s="96"/>
    </row>
    <row r="33">
      <c r="B33" s="95"/>
      <c r="C33" s="96"/>
      <c r="D33" s="96"/>
      <c r="E33" s="96"/>
    </row>
    <row r="34">
      <c r="B34" s="95"/>
      <c r="C34" s="96"/>
      <c r="D34" s="96"/>
      <c r="E34" s="96"/>
    </row>
    <row r="35">
      <c r="B35" s="95"/>
      <c r="C35" s="96"/>
      <c r="D35" s="96"/>
      <c r="E35" s="96"/>
    </row>
    <row r="36">
      <c r="B36" s="95"/>
      <c r="C36" s="96"/>
      <c r="D36" s="96"/>
      <c r="E36" s="96"/>
    </row>
    <row r="37">
      <c r="B37" s="95"/>
      <c r="C37" s="96"/>
      <c r="D37" s="96"/>
      <c r="E37" s="96"/>
    </row>
    <row r="38">
      <c r="B38" s="95"/>
      <c r="C38" s="96"/>
      <c r="D38" s="96"/>
      <c r="E38" s="96"/>
    </row>
    <row r="39">
      <c r="B39" s="95"/>
      <c r="C39" s="96"/>
      <c r="D39" s="96"/>
      <c r="E39" s="96"/>
    </row>
    <row r="40">
      <c r="B40" s="95"/>
      <c r="C40" s="96"/>
      <c r="D40" s="96"/>
      <c r="E40" s="96"/>
    </row>
    <row r="41">
      <c r="B41" s="95"/>
      <c r="C41" s="96"/>
      <c r="D41" s="96"/>
      <c r="E41" s="96"/>
    </row>
    <row r="42">
      <c r="B42" s="95"/>
      <c r="C42" s="96"/>
      <c r="D42" s="96"/>
      <c r="E42" s="96"/>
    </row>
    <row r="43">
      <c r="B43" s="95"/>
      <c r="C43" s="96"/>
      <c r="D43" s="96"/>
      <c r="E43" s="96"/>
    </row>
    <row r="44">
      <c r="B44" s="95"/>
      <c r="C44" s="96"/>
      <c r="D44" s="96"/>
      <c r="E44" s="96"/>
    </row>
    <row r="45">
      <c r="B45" s="95"/>
      <c r="C45" s="96"/>
      <c r="D45" s="96"/>
      <c r="E45" s="96"/>
    </row>
    <row r="46">
      <c r="B46" s="95"/>
      <c r="C46" s="96"/>
      <c r="D46" s="96"/>
      <c r="E46" s="96"/>
    </row>
    <row r="47">
      <c r="B47" s="95"/>
      <c r="C47" s="96"/>
      <c r="D47" s="96"/>
      <c r="E47" s="96"/>
    </row>
    <row r="48">
      <c r="B48" s="95"/>
      <c r="C48" s="96"/>
      <c r="D48" s="96"/>
      <c r="E48" s="96"/>
    </row>
    <row r="49">
      <c r="B49" s="95"/>
      <c r="C49" s="96"/>
      <c r="D49" s="96"/>
      <c r="E49" s="96"/>
    </row>
    <row r="50">
      <c r="B50" s="95"/>
      <c r="C50" s="96"/>
      <c r="D50" s="96"/>
      <c r="E50" s="96"/>
    </row>
    <row r="51">
      <c r="B51" s="95"/>
      <c r="C51" s="96"/>
      <c r="D51" s="96"/>
      <c r="E51" s="96"/>
    </row>
    <row r="52">
      <c r="B52" s="95"/>
      <c r="C52" s="96"/>
      <c r="D52" s="96"/>
      <c r="E52" s="96"/>
    </row>
    <row r="53">
      <c r="B53" s="95"/>
      <c r="C53" s="96"/>
      <c r="D53" s="96"/>
      <c r="E53" s="96"/>
    </row>
    <row r="54">
      <c r="B54" s="95"/>
      <c r="C54" s="96"/>
      <c r="D54" s="96"/>
      <c r="E54" s="96"/>
    </row>
    <row r="55">
      <c r="B55" s="95"/>
      <c r="C55" s="96"/>
      <c r="D55" s="96"/>
      <c r="E55" s="96"/>
    </row>
    <row r="56">
      <c r="B56" s="95"/>
      <c r="C56" s="96"/>
      <c r="D56" s="96"/>
      <c r="E56" s="96"/>
    </row>
    <row r="57">
      <c r="B57" s="95"/>
      <c r="C57" s="96"/>
      <c r="D57" s="96"/>
      <c r="E57" s="96"/>
    </row>
    <row r="58">
      <c r="B58" s="95"/>
      <c r="C58" s="96"/>
      <c r="D58" s="96"/>
      <c r="E58" s="96"/>
    </row>
    <row r="59">
      <c r="B59" s="95"/>
      <c r="C59" s="96"/>
      <c r="D59" s="96"/>
      <c r="E59" s="96"/>
    </row>
    <row r="60">
      <c r="B60" s="95"/>
      <c r="C60" s="96"/>
      <c r="D60" s="96"/>
      <c r="E60" s="96"/>
    </row>
    <row r="61">
      <c r="B61" s="95"/>
      <c r="C61" s="96"/>
      <c r="D61" s="96"/>
      <c r="E61" s="96"/>
    </row>
    <row r="62">
      <c r="B62" s="95"/>
      <c r="C62" s="96"/>
      <c r="D62" s="96"/>
      <c r="E62" s="96"/>
    </row>
    <row r="63">
      <c r="B63" s="95"/>
      <c r="C63" s="96"/>
      <c r="D63" s="96"/>
      <c r="E63" s="96"/>
    </row>
    <row r="64">
      <c r="B64" s="95"/>
      <c r="C64" s="96"/>
      <c r="D64" s="96"/>
      <c r="E64" s="96"/>
    </row>
    <row r="65">
      <c r="B65" s="95"/>
      <c r="C65" s="96"/>
      <c r="D65" s="96"/>
      <c r="E65" s="96"/>
    </row>
    <row r="66">
      <c r="B66" s="95"/>
      <c r="C66" s="96"/>
      <c r="D66" s="96"/>
      <c r="E66" s="96"/>
    </row>
    <row r="67">
      <c r="B67" s="95"/>
      <c r="C67" s="96"/>
      <c r="D67" s="96"/>
      <c r="E67" s="96"/>
    </row>
    <row r="68">
      <c r="B68" s="95"/>
      <c r="C68" s="96"/>
      <c r="D68" s="96"/>
      <c r="E68" s="96"/>
    </row>
    <row r="69">
      <c r="B69" s="95"/>
      <c r="C69" s="96"/>
      <c r="D69" s="96"/>
      <c r="E69" s="96"/>
    </row>
    <row r="70">
      <c r="B70" s="95"/>
      <c r="C70" s="96"/>
      <c r="D70" s="96"/>
      <c r="E70" s="96"/>
    </row>
    <row r="71">
      <c r="B71" s="95"/>
      <c r="C71" s="96"/>
      <c r="D71" s="96"/>
      <c r="E71" s="96"/>
    </row>
    <row r="72">
      <c r="B72" s="95"/>
      <c r="C72" s="96"/>
      <c r="D72" s="96"/>
      <c r="E72" s="96"/>
    </row>
    <row r="73">
      <c r="B73" s="95"/>
      <c r="C73" s="96"/>
      <c r="D73" s="96"/>
      <c r="E73" s="96"/>
    </row>
    <row r="74">
      <c r="B74" s="95"/>
      <c r="C74" s="96"/>
      <c r="D74" s="96"/>
      <c r="E74" s="96"/>
    </row>
    <row r="75">
      <c r="B75" s="95"/>
      <c r="C75" s="96"/>
      <c r="D75" s="96"/>
      <c r="E75" s="96"/>
    </row>
    <row r="76">
      <c r="B76" s="95"/>
      <c r="C76" s="96"/>
      <c r="D76" s="96"/>
      <c r="E76" s="96"/>
    </row>
    <row r="77">
      <c r="B77" s="95"/>
      <c r="C77" s="96"/>
      <c r="D77" s="96"/>
      <c r="E77" s="96"/>
    </row>
    <row r="78">
      <c r="B78" s="95"/>
      <c r="C78" s="96"/>
      <c r="D78" s="96"/>
      <c r="E78" s="96"/>
    </row>
    <row r="79">
      <c r="B79" s="95"/>
      <c r="C79" s="96"/>
      <c r="D79" s="96"/>
      <c r="E79" s="96"/>
    </row>
    <row r="80">
      <c r="B80" s="95"/>
      <c r="C80" s="96"/>
      <c r="D80" s="96"/>
      <c r="E80" s="96"/>
    </row>
    <row r="81">
      <c r="B81" s="95"/>
      <c r="C81" s="96"/>
      <c r="D81" s="96"/>
      <c r="E81" s="96"/>
    </row>
    <row r="82">
      <c r="B82" s="95"/>
      <c r="C82" s="96"/>
      <c r="D82" s="96"/>
      <c r="E82" s="96"/>
    </row>
    <row r="83">
      <c r="B83" s="95"/>
      <c r="C83" s="96"/>
      <c r="D83" s="96"/>
      <c r="E83" s="96"/>
    </row>
    <row r="84">
      <c r="B84" s="95"/>
      <c r="C84" s="96"/>
      <c r="D84" s="96"/>
      <c r="E84" s="96"/>
    </row>
    <row r="85">
      <c r="B85" s="95"/>
      <c r="C85" s="96"/>
      <c r="D85" s="96"/>
      <c r="E85" s="96"/>
    </row>
    <row r="86">
      <c r="B86" s="95"/>
      <c r="C86" s="96"/>
      <c r="D86" s="96"/>
      <c r="E86" s="96"/>
    </row>
    <row r="87">
      <c r="B87" s="95"/>
      <c r="C87" s="96"/>
      <c r="D87" s="96"/>
      <c r="E87" s="96"/>
    </row>
    <row r="88">
      <c r="B88" s="95"/>
      <c r="C88" s="96"/>
      <c r="D88" s="96"/>
      <c r="E88" s="96"/>
    </row>
    <row r="89">
      <c r="B89" s="95"/>
      <c r="C89" s="96"/>
      <c r="D89" s="96"/>
      <c r="E89" s="96"/>
    </row>
    <row r="90">
      <c r="B90" s="95"/>
      <c r="C90" s="96"/>
      <c r="D90" s="96"/>
      <c r="E90" s="96"/>
    </row>
    <row r="91">
      <c r="B91" s="95"/>
      <c r="C91" s="96"/>
      <c r="D91" s="96"/>
      <c r="E91" s="96"/>
    </row>
    <row r="92">
      <c r="B92" s="95"/>
      <c r="C92" s="96"/>
      <c r="D92" s="96"/>
      <c r="E92" s="96"/>
    </row>
    <row r="93">
      <c r="B93" s="95"/>
      <c r="C93" s="96"/>
      <c r="D93" s="96"/>
      <c r="E93" s="96"/>
    </row>
    <row r="94">
      <c r="B94" s="95"/>
      <c r="C94" s="96"/>
      <c r="D94" s="96"/>
      <c r="E94" s="96"/>
    </row>
    <row r="95">
      <c r="B95" s="95"/>
      <c r="C95" s="96"/>
      <c r="D95" s="96"/>
      <c r="E95" s="96"/>
    </row>
    <row r="96">
      <c r="B96" s="95"/>
      <c r="C96" s="96"/>
      <c r="D96" s="96"/>
      <c r="E96" s="96"/>
    </row>
    <row r="97">
      <c r="B97" s="95"/>
      <c r="C97" s="96"/>
      <c r="D97" s="96"/>
      <c r="E97" s="96"/>
    </row>
    <row r="98">
      <c r="B98" s="95"/>
      <c r="C98" s="96"/>
      <c r="D98" s="96"/>
      <c r="E98" s="96"/>
    </row>
    <row r="99">
      <c r="B99" s="95"/>
      <c r="C99" s="96"/>
      <c r="D99" s="96"/>
      <c r="E99" s="96"/>
    </row>
    <row r="100">
      <c r="B100" s="95"/>
      <c r="C100" s="96"/>
      <c r="D100" s="96"/>
      <c r="E100" s="96"/>
    </row>
    <row r="101">
      <c r="B101" s="95"/>
      <c r="C101" s="96"/>
      <c r="D101" s="96"/>
      <c r="E101" s="96"/>
    </row>
    <row r="102">
      <c r="B102" s="95"/>
      <c r="C102" s="96"/>
      <c r="D102" s="96"/>
      <c r="E102" s="96"/>
    </row>
    <row r="103">
      <c r="B103" s="95"/>
      <c r="C103" s="96"/>
      <c r="D103" s="96"/>
      <c r="E103" s="96"/>
    </row>
    <row r="104">
      <c r="B104" s="95"/>
      <c r="C104" s="96"/>
      <c r="D104" s="96"/>
      <c r="E104" s="96"/>
    </row>
    <row r="105">
      <c r="B105" s="95"/>
      <c r="C105" s="96"/>
      <c r="D105" s="96"/>
      <c r="E105" s="96"/>
    </row>
    <row r="106">
      <c r="B106" s="95"/>
      <c r="C106" s="96"/>
      <c r="D106" s="96"/>
      <c r="E106" s="96"/>
    </row>
    <row r="107">
      <c r="B107" s="95"/>
      <c r="C107" s="96"/>
      <c r="D107" s="96"/>
      <c r="E107" s="96"/>
    </row>
    <row r="108">
      <c r="B108" s="95"/>
      <c r="C108" s="96"/>
      <c r="D108" s="96"/>
      <c r="E108" s="96"/>
    </row>
    <row r="109">
      <c r="B109" s="95"/>
      <c r="C109" s="96"/>
      <c r="D109" s="96"/>
      <c r="E109" s="96"/>
    </row>
    <row r="110">
      <c r="B110" s="95"/>
      <c r="C110" s="96"/>
      <c r="D110" s="96"/>
      <c r="E110" s="96"/>
    </row>
    <row r="111">
      <c r="B111" s="95"/>
      <c r="C111" s="96"/>
      <c r="D111" s="96"/>
      <c r="E111" s="96"/>
    </row>
    <row r="112">
      <c r="B112" s="95"/>
      <c r="C112" s="96"/>
      <c r="D112" s="96"/>
      <c r="E112" s="96"/>
    </row>
    <row r="113">
      <c r="B113" s="95"/>
      <c r="C113" s="96"/>
      <c r="D113" s="96"/>
      <c r="E113" s="96"/>
    </row>
    <row r="114">
      <c r="B114" s="95"/>
      <c r="C114" s="96"/>
      <c r="D114" s="96"/>
      <c r="E114" s="96"/>
    </row>
    <row r="115">
      <c r="B115" s="95"/>
      <c r="C115" s="96"/>
      <c r="D115" s="96"/>
      <c r="E115" s="96"/>
    </row>
    <row r="116">
      <c r="B116" s="95"/>
      <c r="C116" s="96"/>
      <c r="D116" s="96"/>
      <c r="E116" s="96"/>
    </row>
    <row r="117">
      <c r="B117" s="95"/>
      <c r="C117" s="96"/>
      <c r="D117" s="96"/>
      <c r="E117" s="96"/>
    </row>
    <row r="118">
      <c r="B118" s="95"/>
      <c r="C118" s="96"/>
      <c r="D118" s="96"/>
      <c r="E118" s="96"/>
    </row>
    <row r="119">
      <c r="B119" s="95"/>
      <c r="C119" s="96"/>
      <c r="D119" s="96"/>
      <c r="E119" s="96"/>
    </row>
    <row r="120">
      <c r="B120" s="95"/>
      <c r="C120" s="96"/>
      <c r="D120" s="96"/>
      <c r="E120" s="96"/>
    </row>
    <row r="121">
      <c r="B121" s="95"/>
      <c r="C121" s="96"/>
      <c r="D121" s="96"/>
      <c r="E121" s="96"/>
    </row>
    <row r="122">
      <c r="B122" s="95"/>
      <c r="C122" s="96"/>
      <c r="D122" s="96"/>
      <c r="E122" s="96"/>
    </row>
    <row r="123">
      <c r="B123" s="95"/>
      <c r="C123" s="96"/>
      <c r="D123" s="96"/>
      <c r="E123" s="96"/>
    </row>
    <row r="124">
      <c r="B124" s="95"/>
      <c r="C124" s="96"/>
      <c r="D124" s="96"/>
      <c r="E124" s="96"/>
    </row>
    <row r="125">
      <c r="B125" s="95"/>
      <c r="C125" s="96"/>
      <c r="D125" s="96"/>
      <c r="E125" s="96"/>
    </row>
    <row r="126">
      <c r="B126" s="95"/>
      <c r="C126" s="96"/>
      <c r="D126" s="96"/>
      <c r="E126" s="96"/>
    </row>
    <row r="127">
      <c r="B127" s="95"/>
      <c r="C127" s="96"/>
      <c r="D127" s="96"/>
      <c r="E127" s="96"/>
    </row>
    <row r="128">
      <c r="B128" s="95"/>
      <c r="C128" s="96"/>
      <c r="D128" s="96"/>
      <c r="E128" s="96"/>
    </row>
    <row r="129">
      <c r="B129" s="95"/>
      <c r="C129" s="96"/>
      <c r="D129" s="96"/>
      <c r="E129" s="96"/>
    </row>
    <row r="130">
      <c r="B130" s="95"/>
      <c r="C130" s="96"/>
      <c r="D130" s="96"/>
      <c r="E130" s="96"/>
    </row>
    <row r="131">
      <c r="B131" s="95"/>
      <c r="C131" s="96"/>
      <c r="D131" s="96"/>
      <c r="E131" s="96"/>
    </row>
    <row r="132">
      <c r="B132" s="95"/>
      <c r="C132" s="96"/>
      <c r="D132" s="96"/>
      <c r="E132" s="96"/>
    </row>
    <row r="133">
      <c r="B133" s="95"/>
      <c r="C133" s="96"/>
      <c r="D133" s="96"/>
      <c r="E133" s="96"/>
    </row>
    <row r="134">
      <c r="B134" s="95"/>
      <c r="C134" s="96"/>
      <c r="D134" s="96"/>
      <c r="E134" s="96"/>
    </row>
    <row r="135">
      <c r="B135" s="95"/>
      <c r="C135" s="96"/>
      <c r="D135" s="96"/>
      <c r="E135" s="96"/>
    </row>
    <row r="136">
      <c r="B136" s="95"/>
      <c r="C136" s="96"/>
      <c r="D136" s="96"/>
      <c r="E136" s="96"/>
    </row>
    <row r="137">
      <c r="B137" s="95"/>
      <c r="C137" s="96"/>
      <c r="D137" s="96"/>
      <c r="E137" s="96"/>
    </row>
    <row r="138">
      <c r="B138" s="95"/>
      <c r="C138" s="96"/>
      <c r="D138" s="96"/>
      <c r="E138" s="96"/>
    </row>
    <row r="139">
      <c r="B139" s="95"/>
      <c r="C139" s="96"/>
      <c r="D139" s="96"/>
      <c r="E139" s="96"/>
    </row>
    <row r="140">
      <c r="B140" s="95"/>
      <c r="C140" s="96"/>
      <c r="D140" s="96"/>
      <c r="E140" s="96"/>
    </row>
    <row r="141">
      <c r="B141" s="95"/>
      <c r="C141" s="96"/>
      <c r="D141" s="96"/>
      <c r="E141" s="96"/>
    </row>
    <row r="142">
      <c r="B142" s="95"/>
      <c r="C142" s="96"/>
      <c r="D142" s="96"/>
      <c r="E142" s="96"/>
    </row>
    <row r="143">
      <c r="B143" s="95"/>
      <c r="C143" s="96"/>
      <c r="D143" s="96"/>
      <c r="E143" s="96"/>
    </row>
    <row r="144">
      <c r="B144" s="95"/>
      <c r="C144" s="96"/>
      <c r="D144" s="96"/>
      <c r="E144" s="96"/>
    </row>
    <row r="145">
      <c r="B145" s="95"/>
      <c r="C145" s="96"/>
      <c r="D145" s="96"/>
      <c r="E145" s="96"/>
    </row>
    <row r="146">
      <c r="B146" s="95"/>
      <c r="C146" s="96"/>
      <c r="D146" s="96"/>
      <c r="E146" s="96"/>
    </row>
    <row r="147">
      <c r="B147" s="95"/>
      <c r="C147" s="96"/>
      <c r="D147" s="96"/>
      <c r="E147" s="96"/>
    </row>
    <row r="148">
      <c r="B148" s="95"/>
      <c r="C148" s="96"/>
      <c r="D148" s="96"/>
      <c r="E148" s="96"/>
    </row>
    <row r="149">
      <c r="B149" s="95"/>
      <c r="C149" s="96"/>
      <c r="D149" s="96"/>
      <c r="E149" s="96"/>
    </row>
    <row r="150">
      <c r="B150" s="95"/>
      <c r="C150" s="96"/>
      <c r="D150" s="96"/>
      <c r="E150" s="96"/>
    </row>
    <row r="151">
      <c r="B151" s="95"/>
      <c r="C151" s="96"/>
      <c r="D151" s="96"/>
      <c r="E151" s="96"/>
    </row>
    <row r="152">
      <c r="B152" s="95"/>
      <c r="C152" s="96"/>
      <c r="D152" s="96"/>
      <c r="E152" s="96"/>
    </row>
    <row r="153">
      <c r="B153" s="95"/>
      <c r="C153" s="96"/>
      <c r="D153" s="96"/>
      <c r="E153" s="96"/>
    </row>
    <row r="154">
      <c r="B154" s="95"/>
      <c r="C154" s="96"/>
      <c r="D154" s="96"/>
      <c r="E154" s="96"/>
    </row>
    <row r="155">
      <c r="B155" s="95"/>
      <c r="C155" s="96"/>
      <c r="D155" s="96"/>
      <c r="E155" s="96"/>
    </row>
    <row r="156">
      <c r="B156" s="95"/>
      <c r="C156" s="96"/>
      <c r="D156" s="96"/>
      <c r="E156" s="96"/>
    </row>
    <row r="157">
      <c r="B157" s="95"/>
      <c r="C157" s="96"/>
      <c r="D157" s="96"/>
      <c r="E157" s="96"/>
    </row>
    <row r="158">
      <c r="B158" s="95"/>
      <c r="C158" s="96"/>
      <c r="D158" s="96"/>
      <c r="E158" s="96"/>
    </row>
    <row r="159">
      <c r="B159" s="95"/>
      <c r="C159" s="96"/>
      <c r="D159" s="96"/>
      <c r="E159" s="96"/>
    </row>
    <row r="160">
      <c r="B160" s="95"/>
      <c r="C160" s="96"/>
      <c r="D160" s="96"/>
      <c r="E160" s="96"/>
    </row>
    <row r="161">
      <c r="B161" s="95"/>
      <c r="C161" s="96"/>
      <c r="D161" s="96"/>
      <c r="E161" s="96"/>
    </row>
    <row r="162">
      <c r="B162" s="95"/>
      <c r="C162" s="96"/>
      <c r="D162" s="96"/>
      <c r="E162" s="96"/>
    </row>
    <row r="163">
      <c r="B163" s="95"/>
      <c r="C163" s="96"/>
      <c r="D163" s="96"/>
      <c r="E163" s="96"/>
    </row>
    <row r="164">
      <c r="B164" s="95"/>
      <c r="C164" s="96"/>
      <c r="D164" s="96"/>
      <c r="E164" s="96"/>
    </row>
    <row r="165">
      <c r="B165" s="95"/>
      <c r="C165" s="96"/>
      <c r="D165" s="96"/>
      <c r="E165" s="96"/>
    </row>
    <row r="166">
      <c r="B166" s="95"/>
      <c r="C166" s="96"/>
      <c r="D166" s="96"/>
      <c r="E166" s="96"/>
    </row>
    <row r="167">
      <c r="B167" s="95"/>
      <c r="C167" s="96"/>
      <c r="D167" s="96"/>
      <c r="E167" s="96"/>
    </row>
    <row r="168">
      <c r="B168" s="95"/>
      <c r="C168" s="96"/>
      <c r="D168" s="96"/>
      <c r="E168" s="96"/>
    </row>
    <row r="169">
      <c r="B169" s="95"/>
      <c r="C169" s="96"/>
      <c r="D169" s="96"/>
      <c r="E169" s="96"/>
    </row>
    <row r="170">
      <c r="B170" s="95"/>
      <c r="C170" s="96"/>
      <c r="D170" s="96"/>
      <c r="E170" s="96"/>
    </row>
    <row r="171">
      <c r="B171" s="95"/>
      <c r="C171" s="96"/>
      <c r="D171" s="96"/>
      <c r="E171" s="96"/>
    </row>
    <row r="172">
      <c r="B172" s="95"/>
      <c r="C172" s="96"/>
      <c r="D172" s="96"/>
      <c r="E172" s="96"/>
    </row>
    <row r="173">
      <c r="B173" s="95"/>
      <c r="C173" s="96"/>
      <c r="D173" s="96"/>
      <c r="E173" s="96"/>
    </row>
    <row r="174">
      <c r="B174" s="95"/>
      <c r="C174" s="96"/>
      <c r="D174" s="96"/>
      <c r="E174" s="96"/>
    </row>
    <row r="175">
      <c r="B175" s="95"/>
      <c r="C175" s="96"/>
      <c r="D175" s="96"/>
      <c r="E175" s="96"/>
    </row>
    <row r="176">
      <c r="B176" s="95"/>
      <c r="C176" s="96"/>
      <c r="D176" s="96"/>
      <c r="E176" s="96"/>
    </row>
    <row r="177">
      <c r="B177" s="95"/>
      <c r="C177" s="96"/>
      <c r="D177" s="96"/>
      <c r="E177" s="96"/>
    </row>
    <row r="178">
      <c r="B178" s="95"/>
      <c r="C178" s="96"/>
      <c r="D178" s="96"/>
      <c r="E178" s="96"/>
    </row>
    <row r="179">
      <c r="B179" s="95"/>
      <c r="C179" s="96"/>
      <c r="D179" s="96"/>
      <c r="E179" s="96"/>
    </row>
    <row r="180">
      <c r="B180" s="95"/>
      <c r="C180" s="96"/>
      <c r="D180" s="96"/>
      <c r="E180" s="96"/>
    </row>
    <row r="181">
      <c r="B181" s="95"/>
      <c r="C181" s="96"/>
      <c r="D181" s="96"/>
      <c r="E181" s="96"/>
    </row>
    <row r="182">
      <c r="B182" s="95"/>
      <c r="C182" s="96"/>
      <c r="D182" s="96"/>
      <c r="E182" s="96"/>
    </row>
    <row r="183">
      <c r="B183" s="95"/>
      <c r="C183" s="96"/>
      <c r="D183" s="96"/>
      <c r="E183" s="96"/>
    </row>
    <row r="184">
      <c r="B184" s="95"/>
      <c r="C184" s="96"/>
      <c r="D184" s="96"/>
      <c r="E184" s="96"/>
    </row>
    <row r="185">
      <c r="B185" s="95"/>
      <c r="C185" s="96"/>
      <c r="D185" s="96"/>
      <c r="E185" s="96"/>
    </row>
    <row r="186">
      <c r="B186" s="95"/>
      <c r="C186" s="96"/>
      <c r="D186" s="96"/>
      <c r="E186" s="96"/>
    </row>
    <row r="187">
      <c r="B187" s="95"/>
      <c r="C187" s="96"/>
      <c r="D187" s="96"/>
      <c r="E187" s="96"/>
    </row>
    <row r="188">
      <c r="B188" s="95"/>
      <c r="C188" s="96"/>
      <c r="D188" s="96"/>
      <c r="E188" s="96"/>
    </row>
    <row r="189">
      <c r="B189" s="95"/>
      <c r="C189" s="96"/>
      <c r="D189" s="96"/>
      <c r="E189" s="96"/>
    </row>
    <row r="190">
      <c r="B190" s="95"/>
      <c r="C190" s="96"/>
      <c r="D190" s="96"/>
      <c r="E190" s="96"/>
    </row>
    <row r="191">
      <c r="B191" s="95"/>
      <c r="C191" s="96"/>
      <c r="D191" s="96"/>
      <c r="E191" s="96"/>
    </row>
    <row r="192">
      <c r="B192" s="95"/>
      <c r="C192" s="96"/>
      <c r="D192" s="96"/>
      <c r="E192" s="96"/>
    </row>
    <row r="193">
      <c r="B193" s="95"/>
      <c r="C193" s="96"/>
      <c r="D193" s="96"/>
      <c r="E193" s="96"/>
    </row>
    <row r="194">
      <c r="B194" s="95"/>
      <c r="C194" s="96"/>
      <c r="D194" s="96"/>
      <c r="E194" s="96"/>
    </row>
    <row r="195">
      <c r="B195" s="95"/>
      <c r="C195" s="96"/>
      <c r="D195" s="96"/>
      <c r="E195" s="96"/>
    </row>
    <row r="196">
      <c r="B196" s="95"/>
      <c r="C196" s="96"/>
      <c r="D196" s="96"/>
      <c r="E196" s="96"/>
    </row>
    <row r="197">
      <c r="B197" s="95"/>
      <c r="C197" s="96"/>
      <c r="D197" s="96"/>
      <c r="E197" s="96"/>
    </row>
    <row r="198">
      <c r="B198" s="95"/>
      <c r="C198" s="96"/>
      <c r="D198" s="96"/>
      <c r="E198" s="96"/>
    </row>
    <row r="199">
      <c r="B199" s="95"/>
      <c r="C199" s="96"/>
      <c r="D199" s="96"/>
      <c r="E199" s="96"/>
    </row>
    <row r="200">
      <c r="B200" s="95"/>
      <c r="C200" s="96"/>
      <c r="D200" s="96"/>
      <c r="E200" s="96"/>
    </row>
    <row r="201">
      <c r="B201" s="95"/>
      <c r="C201" s="96"/>
      <c r="D201" s="96"/>
      <c r="E201" s="96"/>
    </row>
    <row r="202">
      <c r="B202" s="95"/>
      <c r="C202" s="96"/>
      <c r="D202" s="96"/>
      <c r="E202" s="96"/>
    </row>
    <row r="203">
      <c r="B203" s="95"/>
      <c r="C203" s="96"/>
      <c r="D203" s="96"/>
      <c r="E203" s="96"/>
    </row>
    <row r="204">
      <c r="B204" s="95"/>
      <c r="C204" s="96"/>
      <c r="D204" s="96"/>
      <c r="E204" s="96"/>
    </row>
    <row r="205">
      <c r="B205" s="95"/>
      <c r="C205" s="96"/>
      <c r="D205" s="96"/>
      <c r="E205" s="96"/>
    </row>
    <row r="206">
      <c r="B206" s="95"/>
      <c r="C206" s="96"/>
      <c r="D206" s="96"/>
      <c r="E206" s="96"/>
    </row>
    <row r="207">
      <c r="B207" s="95"/>
      <c r="C207" s="96"/>
      <c r="D207" s="96"/>
      <c r="E207" s="96"/>
    </row>
    <row r="208">
      <c r="B208" s="95"/>
      <c r="C208" s="96"/>
      <c r="D208" s="96"/>
      <c r="E208" s="96"/>
    </row>
    <row r="209">
      <c r="B209" s="95"/>
      <c r="C209" s="96"/>
      <c r="D209" s="96"/>
      <c r="E209" s="96"/>
    </row>
    <row r="210">
      <c r="B210" s="95"/>
      <c r="C210" s="96"/>
      <c r="D210" s="96"/>
      <c r="E210" s="96"/>
    </row>
    <row r="211">
      <c r="B211" s="95"/>
      <c r="C211" s="96"/>
      <c r="D211" s="96"/>
      <c r="E211" s="96"/>
    </row>
    <row r="212">
      <c r="B212" s="95"/>
      <c r="C212" s="96"/>
      <c r="D212" s="96"/>
      <c r="E212" s="96"/>
    </row>
    <row r="213">
      <c r="B213" s="95"/>
      <c r="C213" s="96"/>
      <c r="D213" s="96"/>
      <c r="E213" s="96"/>
    </row>
    <row r="214">
      <c r="B214" s="95"/>
      <c r="C214" s="96"/>
      <c r="D214" s="96"/>
      <c r="E214" s="96"/>
    </row>
    <row r="215">
      <c r="B215" s="95"/>
      <c r="C215" s="96"/>
      <c r="D215" s="96"/>
      <c r="E215" s="96"/>
    </row>
    <row r="216">
      <c r="B216" s="95"/>
      <c r="C216" s="96"/>
      <c r="D216" s="96"/>
      <c r="E216" s="96"/>
    </row>
    <row r="217">
      <c r="B217" s="95"/>
      <c r="C217" s="96"/>
      <c r="D217" s="96"/>
      <c r="E217" s="96"/>
    </row>
    <row r="218">
      <c r="B218" s="95"/>
      <c r="C218" s="96"/>
      <c r="D218" s="96"/>
      <c r="E218" s="96"/>
    </row>
    <row r="219">
      <c r="B219" s="95"/>
      <c r="C219" s="96"/>
      <c r="D219" s="96"/>
      <c r="E219" s="96"/>
    </row>
    <row r="220">
      <c r="B220" s="95"/>
      <c r="C220" s="96"/>
      <c r="D220" s="96"/>
      <c r="E220" s="96"/>
    </row>
    <row r="221">
      <c r="B221" s="95"/>
      <c r="C221" s="96"/>
      <c r="D221" s="96"/>
      <c r="E221" s="96"/>
    </row>
    <row r="222">
      <c r="B222" s="95"/>
      <c r="C222" s="96"/>
      <c r="D222" s="96"/>
      <c r="E222" s="96"/>
    </row>
    <row r="223">
      <c r="B223" s="95"/>
      <c r="C223" s="96"/>
      <c r="D223" s="96"/>
      <c r="E223" s="96"/>
    </row>
    <row r="224">
      <c r="B224" s="95"/>
      <c r="C224" s="96"/>
      <c r="D224" s="96"/>
      <c r="E224" s="96"/>
    </row>
    <row r="225">
      <c r="B225" s="95"/>
      <c r="C225" s="96"/>
      <c r="D225" s="96"/>
      <c r="E225" s="96"/>
    </row>
    <row r="226">
      <c r="B226" s="95"/>
      <c r="C226" s="96"/>
      <c r="D226" s="96"/>
      <c r="E226" s="96"/>
    </row>
    <row r="227">
      <c r="B227" s="95"/>
      <c r="C227" s="96"/>
      <c r="D227" s="96"/>
      <c r="E227" s="96"/>
    </row>
    <row r="228">
      <c r="B228" s="95"/>
      <c r="C228" s="96"/>
      <c r="D228" s="96"/>
      <c r="E228" s="96"/>
    </row>
    <row r="229">
      <c r="B229" s="95"/>
      <c r="C229" s="96"/>
      <c r="D229" s="96"/>
      <c r="E229" s="96"/>
    </row>
    <row r="230">
      <c r="B230" s="95"/>
      <c r="C230" s="96"/>
      <c r="D230" s="96"/>
      <c r="E230" s="96"/>
    </row>
    <row r="231">
      <c r="B231" s="95"/>
      <c r="C231" s="96"/>
      <c r="D231" s="96"/>
      <c r="E231" s="96"/>
    </row>
    <row r="232">
      <c r="B232" s="95"/>
      <c r="C232" s="96"/>
      <c r="D232" s="96"/>
      <c r="E232" s="96"/>
    </row>
    <row r="233">
      <c r="B233" s="95"/>
      <c r="C233" s="96"/>
      <c r="D233" s="96"/>
      <c r="E233" s="96"/>
    </row>
    <row r="234">
      <c r="B234" s="95"/>
      <c r="C234" s="96"/>
      <c r="D234" s="96"/>
      <c r="E234" s="96"/>
    </row>
    <row r="235">
      <c r="B235" s="95"/>
      <c r="C235" s="96"/>
      <c r="D235" s="96"/>
      <c r="E235" s="96"/>
    </row>
    <row r="236">
      <c r="B236" s="95"/>
      <c r="C236" s="96"/>
      <c r="D236" s="96"/>
      <c r="E236" s="96"/>
    </row>
    <row r="237">
      <c r="B237" s="95"/>
      <c r="C237" s="96"/>
      <c r="D237" s="96"/>
      <c r="E237" s="96"/>
    </row>
    <row r="238">
      <c r="B238" s="95"/>
      <c r="C238" s="96"/>
      <c r="D238" s="96"/>
      <c r="E238" s="96"/>
    </row>
    <row r="239">
      <c r="B239" s="95"/>
      <c r="C239" s="96"/>
      <c r="D239" s="96"/>
      <c r="E239" s="96"/>
    </row>
    <row r="240">
      <c r="B240" s="95"/>
      <c r="C240" s="96"/>
      <c r="D240" s="96"/>
      <c r="E240" s="96"/>
    </row>
    <row r="241">
      <c r="B241" s="95"/>
      <c r="C241" s="96"/>
      <c r="D241" s="96"/>
      <c r="E241" s="96"/>
    </row>
    <row r="242">
      <c r="B242" s="95"/>
      <c r="C242" s="96"/>
      <c r="D242" s="96"/>
      <c r="E242" s="96"/>
    </row>
    <row r="243">
      <c r="B243" s="95"/>
      <c r="C243" s="96"/>
      <c r="D243" s="96"/>
      <c r="E243" s="96"/>
    </row>
    <row r="244">
      <c r="B244" s="95"/>
      <c r="C244" s="96"/>
      <c r="D244" s="96"/>
      <c r="E244" s="96"/>
    </row>
    <row r="245">
      <c r="B245" s="95"/>
      <c r="C245" s="96"/>
      <c r="D245" s="96"/>
      <c r="E245" s="96"/>
    </row>
    <row r="246">
      <c r="B246" s="95"/>
      <c r="C246" s="96"/>
      <c r="D246" s="96"/>
      <c r="E246" s="96"/>
    </row>
    <row r="247">
      <c r="B247" s="95"/>
      <c r="C247" s="96"/>
      <c r="D247" s="96"/>
      <c r="E247" s="96"/>
    </row>
    <row r="248">
      <c r="B248" s="95"/>
      <c r="C248" s="96"/>
      <c r="D248" s="96"/>
      <c r="E248" s="96"/>
    </row>
    <row r="249">
      <c r="B249" s="95"/>
      <c r="C249" s="96"/>
      <c r="D249" s="96"/>
      <c r="E249" s="96"/>
    </row>
    <row r="250">
      <c r="B250" s="95"/>
      <c r="C250" s="96"/>
      <c r="D250" s="96"/>
      <c r="E250" s="96"/>
    </row>
    <row r="251">
      <c r="B251" s="95"/>
      <c r="C251" s="96"/>
      <c r="D251" s="96"/>
      <c r="E251" s="96"/>
    </row>
    <row r="252">
      <c r="B252" s="95"/>
      <c r="C252" s="96"/>
      <c r="D252" s="96"/>
      <c r="E252" s="96"/>
    </row>
    <row r="253">
      <c r="B253" s="95"/>
      <c r="C253" s="96"/>
      <c r="D253" s="96"/>
      <c r="E253" s="96"/>
    </row>
    <row r="254">
      <c r="B254" s="95"/>
      <c r="C254" s="96"/>
      <c r="D254" s="96"/>
      <c r="E254" s="96"/>
    </row>
    <row r="255">
      <c r="B255" s="95"/>
      <c r="C255" s="96"/>
      <c r="D255" s="96"/>
      <c r="E255" s="96"/>
    </row>
    <row r="256">
      <c r="B256" s="95"/>
      <c r="C256" s="96"/>
      <c r="D256" s="96"/>
      <c r="E256" s="96"/>
    </row>
    <row r="257">
      <c r="B257" s="95"/>
      <c r="C257" s="96"/>
      <c r="D257" s="96"/>
      <c r="E257" s="96"/>
    </row>
    <row r="258">
      <c r="B258" s="95"/>
      <c r="C258" s="96"/>
      <c r="D258" s="96"/>
      <c r="E258" s="96"/>
    </row>
    <row r="259">
      <c r="B259" s="95"/>
      <c r="C259" s="96"/>
      <c r="D259" s="96"/>
      <c r="E259" s="96"/>
    </row>
    <row r="260">
      <c r="B260" s="95"/>
      <c r="C260" s="96"/>
      <c r="D260" s="96"/>
      <c r="E260" s="96"/>
    </row>
    <row r="261">
      <c r="B261" s="95"/>
      <c r="C261" s="96"/>
      <c r="D261" s="96"/>
      <c r="E261" s="96"/>
    </row>
    <row r="262">
      <c r="B262" s="95"/>
      <c r="C262" s="96"/>
      <c r="D262" s="96"/>
      <c r="E262" s="96"/>
    </row>
    <row r="263">
      <c r="B263" s="95"/>
      <c r="C263" s="96"/>
      <c r="D263" s="96"/>
      <c r="E263" s="96"/>
    </row>
    <row r="264">
      <c r="B264" s="95"/>
      <c r="C264" s="96"/>
      <c r="D264" s="96"/>
      <c r="E264" s="96"/>
    </row>
    <row r="265">
      <c r="B265" s="95"/>
      <c r="C265" s="96"/>
      <c r="D265" s="96"/>
      <c r="E265" s="96"/>
    </row>
    <row r="266">
      <c r="B266" s="95"/>
      <c r="C266" s="96"/>
      <c r="D266" s="96"/>
      <c r="E266" s="96"/>
    </row>
    <row r="267">
      <c r="B267" s="95"/>
      <c r="C267" s="96"/>
      <c r="D267" s="96"/>
      <c r="E267" s="96"/>
    </row>
    <row r="268">
      <c r="B268" s="95"/>
      <c r="C268" s="96"/>
      <c r="D268" s="96"/>
      <c r="E268" s="96"/>
    </row>
    <row r="269">
      <c r="B269" s="95"/>
      <c r="C269" s="96"/>
      <c r="D269" s="96"/>
      <c r="E269" s="96"/>
    </row>
    <row r="270">
      <c r="B270" s="95"/>
      <c r="C270" s="96"/>
      <c r="D270" s="96"/>
      <c r="E270" s="96"/>
    </row>
    <row r="271">
      <c r="B271" s="95"/>
      <c r="C271" s="96"/>
      <c r="D271" s="96"/>
      <c r="E271" s="96"/>
    </row>
    <row r="272">
      <c r="B272" s="95"/>
      <c r="C272" s="96"/>
      <c r="D272" s="96"/>
      <c r="E272" s="96"/>
    </row>
    <row r="273">
      <c r="B273" s="95"/>
      <c r="C273" s="96"/>
      <c r="D273" s="96"/>
      <c r="E273" s="96"/>
    </row>
    <row r="274">
      <c r="B274" s="95"/>
      <c r="C274" s="96"/>
      <c r="D274" s="96"/>
      <c r="E274" s="96"/>
    </row>
    <row r="275">
      <c r="B275" s="95"/>
      <c r="C275" s="96"/>
      <c r="D275" s="96"/>
      <c r="E275" s="96"/>
    </row>
    <row r="276">
      <c r="B276" s="95"/>
      <c r="C276" s="96"/>
      <c r="D276" s="96"/>
      <c r="E276" s="96"/>
    </row>
    <row r="277">
      <c r="B277" s="95"/>
      <c r="C277" s="96"/>
      <c r="D277" s="96"/>
      <c r="E277" s="96"/>
    </row>
    <row r="278">
      <c r="B278" s="95"/>
      <c r="C278" s="96"/>
      <c r="D278" s="96"/>
      <c r="E278" s="96"/>
    </row>
    <row r="279">
      <c r="B279" s="95"/>
      <c r="C279" s="96"/>
      <c r="D279" s="96"/>
      <c r="E279" s="96"/>
    </row>
    <row r="280">
      <c r="B280" s="95"/>
      <c r="C280" s="96"/>
      <c r="D280" s="96"/>
      <c r="E280" s="96"/>
    </row>
    <row r="281">
      <c r="B281" s="95"/>
      <c r="C281" s="96"/>
      <c r="D281" s="96"/>
      <c r="E281" s="96"/>
    </row>
    <row r="282">
      <c r="B282" s="95"/>
      <c r="C282" s="96"/>
      <c r="D282" s="96"/>
      <c r="E282" s="96"/>
    </row>
    <row r="283">
      <c r="B283" s="95"/>
      <c r="C283" s="96"/>
      <c r="D283" s="96"/>
      <c r="E283" s="96"/>
    </row>
    <row r="284">
      <c r="B284" s="95"/>
      <c r="C284" s="96"/>
      <c r="D284" s="96"/>
      <c r="E284" s="96"/>
    </row>
    <row r="285">
      <c r="B285" s="95"/>
      <c r="C285" s="96"/>
      <c r="D285" s="96"/>
      <c r="E285" s="96"/>
    </row>
    <row r="286">
      <c r="B286" s="95"/>
      <c r="C286" s="96"/>
      <c r="D286" s="96"/>
      <c r="E286" s="96"/>
    </row>
    <row r="287">
      <c r="B287" s="95"/>
      <c r="C287" s="96"/>
      <c r="D287" s="96"/>
      <c r="E287" s="96"/>
    </row>
    <row r="288">
      <c r="B288" s="95"/>
      <c r="C288" s="96"/>
      <c r="D288" s="96"/>
      <c r="E288" s="96"/>
    </row>
    <row r="289">
      <c r="B289" s="95"/>
      <c r="C289" s="96"/>
      <c r="D289" s="96"/>
      <c r="E289" s="96"/>
    </row>
    <row r="290">
      <c r="B290" s="95"/>
      <c r="C290" s="96"/>
      <c r="D290" s="96"/>
      <c r="E290" s="96"/>
    </row>
    <row r="291">
      <c r="B291" s="95"/>
      <c r="C291" s="96"/>
      <c r="D291" s="96"/>
      <c r="E291" s="96"/>
    </row>
    <row r="292">
      <c r="B292" s="95"/>
      <c r="C292" s="96"/>
      <c r="D292" s="96"/>
      <c r="E292" s="96"/>
    </row>
    <row r="293">
      <c r="B293" s="95"/>
      <c r="C293" s="96"/>
      <c r="D293" s="96"/>
      <c r="E293" s="96"/>
    </row>
    <row r="294">
      <c r="B294" s="95"/>
      <c r="C294" s="96"/>
      <c r="D294" s="96"/>
      <c r="E294" s="96"/>
    </row>
    <row r="295">
      <c r="B295" s="95"/>
      <c r="C295" s="96"/>
      <c r="D295" s="96"/>
      <c r="E295" s="96"/>
    </row>
    <row r="296">
      <c r="B296" s="95"/>
      <c r="C296" s="96"/>
      <c r="D296" s="96"/>
      <c r="E296" s="96"/>
    </row>
    <row r="297">
      <c r="B297" s="95"/>
      <c r="C297" s="96"/>
      <c r="D297" s="96"/>
      <c r="E297" s="96"/>
    </row>
    <row r="298">
      <c r="B298" s="95"/>
      <c r="C298" s="96"/>
      <c r="D298" s="96"/>
      <c r="E298" s="96"/>
    </row>
    <row r="299">
      <c r="B299" s="95"/>
      <c r="C299" s="96"/>
      <c r="D299" s="96"/>
      <c r="E299" s="96"/>
    </row>
    <row r="300">
      <c r="B300" s="95"/>
      <c r="C300" s="96"/>
      <c r="D300" s="96"/>
      <c r="E300" s="96"/>
    </row>
    <row r="301">
      <c r="B301" s="95"/>
      <c r="C301" s="96"/>
      <c r="D301" s="96"/>
      <c r="E301" s="96"/>
    </row>
    <row r="302">
      <c r="B302" s="95"/>
      <c r="C302" s="96"/>
      <c r="D302" s="96"/>
      <c r="E302" s="96"/>
    </row>
    <row r="303">
      <c r="B303" s="95"/>
      <c r="C303" s="96"/>
      <c r="D303" s="96"/>
      <c r="E303" s="96"/>
    </row>
    <row r="304">
      <c r="B304" s="95"/>
      <c r="C304" s="96"/>
      <c r="D304" s="96"/>
      <c r="E304" s="96"/>
    </row>
    <row r="305">
      <c r="B305" s="95"/>
      <c r="C305" s="96"/>
      <c r="D305" s="96"/>
      <c r="E305" s="96"/>
    </row>
    <row r="306">
      <c r="B306" s="95"/>
      <c r="C306" s="96"/>
      <c r="D306" s="96"/>
      <c r="E306" s="96"/>
    </row>
    <row r="307">
      <c r="B307" s="95"/>
      <c r="C307" s="96"/>
      <c r="D307" s="96"/>
      <c r="E307" s="96"/>
    </row>
    <row r="308">
      <c r="B308" s="95"/>
      <c r="C308" s="96"/>
      <c r="D308" s="96"/>
      <c r="E308" s="96"/>
    </row>
    <row r="309">
      <c r="B309" s="95"/>
      <c r="C309" s="96"/>
      <c r="D309" s="96"/>
      <c r="E309" s="96"/>
    </row>
    <row r="310">
      <c r="B310" s="95"/>
      <c r="C310" s="96"/>
      <c r="D310" s="96"/>
      <c r="E310" s="96"/>
    </row>
    <row r="311">
      <c r="B311" s="95"/>
      <c r="C311" s="96"/>
      <c r="D311" s="96"/>
      <c r="E311" s="96"/>
    </row>
    <row r="312">
      <c r="B312" s="95"/>
      <c r="C312" s="96"/>
      <c r="D312" s="96"/>
      <c r="E312" s="96"/>
    </row>
    <row r="313">
      <c r="B313" s="95"/>
      <c r="C313" s="96"/>
      <c r="D313" s="96"/>
      <c r="E313" s="96"/>
    </row>
    <row r="314">
      <c r="B314" s="95"/>
      <c r="C314" s="96"/>
      <c r="D314" s="96"/>
      <c r="E314" s="96"/>
    </row>
    <row r="315">
      <c r="B315" s="95"/>
      <c r="C315" s="96"/>
      <c r="D315" s="96"/>
      <c r="E315" s="96"/>
    </row>
    <row r="316">
      <c r="B316" s="95"/>
      <c r="C316" s="96"/>
      <c r="D316" s="96"/>
      <c r="E316" s="96"/>
    </row>
    <row r="317">
      <c r="B317" s="95"/>
      <c r="C317" s="96"/>
      <c r="D317" s="96"/>
      <c r="E317" s="96"/>
    </row>
    <row r="318">
      <c r="B318" s="95"/>
      <c r="C318" s="96"/>
      <c r="D318" s="96"/>
      <c r="E318" s="96"/>
    </row>
    <row r="319">
      <c r="B319" s="95"/>
      <c r="C319" s="96"/>
      <c r="D319" s="96"/>
      <c r="E319" s="96"/>
    </row>
    <row r="320">
      <c r="B320" s="95"/>
      <c r="C320" s="96"/>
      <c r="D320" s="96"/>
      <c r="E320" s="96"/>
    </row>
    <row r="321">
      <c r="B321" s="95"/>
      <c r="C321" s="96"/>
      <c r="D321" s="96"/>
      <c r="E321" s="96"/>
    </row>
    <row r="322">
      <c r="B322" s="95"/>
      <c r="C322" s="96"/>
      <c r="D322" s="96"/>
      <c r="E322" s="96"/>
    </row>
    <row r="323">
      <c r="B323" s="95"/>
      <c r="C323" s="96"/>
      <c r="D323" s="96"/>
      <c r="E323" s="96"/>
    </row>
    <row r="324">
      <c r="B324" s="95"/>
      <c r="C324" s="96"/>
      <c r="D324" s="96"/>
      <c r="E324" s="96"/>
    </row>
    <row r="325">
      <c r="B325" s="95"/>
      <c r="C325" s="96"/>
      <c r="D325" s="96"/>
      <c r="E325" s="96"/>
    </row>
    <row r="326">
      <c r="B326" s="95"/>
      <c r="C326" s="96"/>
      <c r="D326" s="96"/>
      <c r="E326" s="96"/>
    </row>
    <row r="327">
      <c r="B327" s="95"/>
      <c r="C327" s="96"/>
      <c r="D327" s="96"/>
      <c r="E327" s="96"/>
    </row>
    <row r="328">
      <c r="B328" s="95"/>
      <c r="C328" s="96"/>
      <c r="D328" s="96"/>
      <c r="E328" s="96"/>
    </row>
    <row r="329">
      <c r="B329" s="95"/>
      <c r="C329" s="96"/>
      <c r="D329" s="96"/>
      <c r="E329" s="96"/>
    </row>
    <row r="330">
      <c r="B330" s="95"/>
      <c r="C330" s="96"/>
      <c r="D330" s="96"/>
      <c r="E330" s="96"/>
    </row>
    <row r="331">
      <c r="B331" s="95"/>
      <c r="C331" s="96"/>
      <c r="D331" s="96"/>
      <c r="E331" s="96"/>
    </row>
    <row r="332">
      <c r="B332" s="95"/>
      <c r="C332" s="96"/>
      <c r="D332" s="96"/>
      <c r="E332" s="96"/>
    </row>
    <row r="333">
      <c r="B333" s="95"/>
      <c r="C333" s="96"/>
      <c r="D333" s="96"/>
      <c r="E333" s="96"/>
    </row>
    <row r="334">
      <c r="B334" s="95"/>
      <c r="C334" s="96"/>
      <c r="D334" s="96"/>
      <c r="E334" s="96"/>
    </row>
    <row r="335">
      <c r="B335" s="95"/>
      <c r="C335" s="96"/>
      <c r="D335" s="96"/>
      <c r="E335" s="96"/>
    </row>
    <row r="336">
      <c r="B336" s="95"/>
      <c r="C336" s="96"/>
      <c r="D336" s="96"/>
      <c r="E336" s="96"/>
    </row>
    <row r="337">
      <c r="B337" s="95"/>
      <c r="C337" s="96"/>
      <c r="D337" s="96"/>
      <c r="E337" s="96"/>
    </row>
    <row r="338">
      <c r="B338" s="95"/>
      <c r="C338" s="96"/>
      <c r="D338" s="96"/>
      <c r="E338" s="96"/>
    </row>
    <row r="339">
      <c r="B339" s="95"/>
      <c r="C339" s="96"/>
      <c r="D339" s="96"/>
      <c r="E339" s="96"/>
    </row>
    <row r="340">
      <c r="B340" s="95"/>
      <c r="C340" s="96"/>
      <c r="D340" s="96"/>
      <c r="E340" s="96"/>
    </row>
    <row r="341">
      <c r="B341" s="95"/>
      <c r="C341" s="96"/>
      <c r="D341" s="96"/>
      <c r="E341" s="96"/>
    </row>
    <row r="342">
      <c r="B342" s="95"/>
      <c r="C342" s="96"/>
      <c r="D342" s="96"/>
      <c r="E342" s="96"/>
    </row>
    <row r="343">
      <c r="B343" s="95"/>
      <c r="C343" s="96"/>
      <c r="D343" s="96"/>
      <c r="E343" s="96"/>
    </row>
    <row r="344">
      <c r="B344" s="95"/>
      <c r="C344" s="96"/>
      <c r="D344" s="96"/>
      <c r="E344" s="96"/>
    </row>
    <row r="345">
      <c r="B345" s="95"/>
      <c r="C345" s="96"/>
      <c r="D345" s="96"/>
      <c r="E345" s="96"/>
    </row>
    <row r="346">
      <c r="B346" s="95"/>
      <c r="C346" s="96"/>
      <c r="D346" s="96"/>
      <c r="E346" s="96"/>
    </row>
    <row r="347">
      <c r="B347" s="95"/>
      <c r="C347" s="96"/>
      <c r="D347" s="96"/>
      <c r="E347" s="96"/>
    </row>
    <row r="348">
      <c r="B348" s="95"/>
      <c r="C348" s="96"/>
      <c r="D348" s="96"/>
      <c r="E348" s="96"/>
    </row>
    <row r="349">
      <c r="B349" s="95"/>
      <c r="C349" s="96"/>
      <c r="D349" s="96"/>
      <c r="E349" s="96"/>
    </row>
    <row r="350">
      <c r="B350" s="95"/>
      <c r="C350" s="96"/>
      <c r="D350" s="96"/>
      <c r="E350" s="96"/>
    </row>
    <row r="351">
      <c r="B351" s="95"/>
      <c r="C351" s="96"/>
      <c r="D351" s="96"/>
      <c r="E351" s="96"/>
    </row>
    <row r="352">
      <c r="B352" s="95"/>
      <c r="C352" s="96"/>
      <c r="D352" s="96"/>
      <c r="E352" s="96"/>
    </row>
    <row r="353">
      <c r="B353" s="95"/>
      <c r="C353" s="96"/>
      <c r="D353" s="96"/>
      <c r="E353" s="96"/>
    </row>
    <row r="354">
      <c r="B354" s="95"/>
      <c r="C354" s="96"/>
      <c r="D354" s="96"/>
      <c r="E354" s="96"/>
    </row>
    <row r="355">
      <c r="B355" s="95"/>
      <c r="C355" s="96"/>
      <c r="D355" s="96"/>
      <c r="E355" s="96"/>
    </row>
    <row r="356">
      <c r="B356" s="95"/>
      <c r="C356" s="96"/>
      <c r="D356" s="96"/>
      <c r="E356" s="96"/>
    </row>
    <row r="357">
      <c r="B357" s="95"/>
      <c r="C357" s="96"/>
      <c r="D357" s="96"/>
      <c r="E357" s="96"/>
    </row>
    <row r="358">
      <c r="B358" s="95"/>
      <c r="C358" s="96"/>
      <c r="D358" s="96"/>
      <c r="E358" s="96"/>
    </row>
    <row r="359">
      <c r="B359" s="95"/>
      <c r="C359" s="96"/>
      <c r="D359" s="96"/>
      <c r="E359" s="96"/>
    </row>
    <row r="360">
      <c r="B360" s="95"/>
      <c r="C360" s="96"/>
      <c r="D360" s="96"/>
      <c r="E360" s="96"/>
    </row>
    <row r="361">
      <c r="B361" s="95"/>
      <c r="C361" s="96"/>
      <c r="D361" s="96"/>
      <c r="E361" s="96"/>
    </row>
    <row r="362">
      <c r="B362" s="95"/>
      <c r="C362" s="96"/>
      <c r="D362" s="96"/>
      <c r="E362" s="96"/>
    </row>
    <row r="363">
      <c r="B363" s="95"/>
      <c r="C363" s="96"/>
      <c r="D363" s="96"/>
      <c r="E363" s="96"/>
    </row>
    <row r="364">
      <c r="B364" s="95"/>
      <c r="C364" s="96"/>
      <c r="D364" s="96"/>
      <c r="E364" s="96"/>
    </row>
    <row r="365">
      <c r="B365" s="95"/>
      <c r="C365" s="96"/>
      <c r="D365" s="96"/>
      <c r="E365" s="96"/>
    </row>
    <row r="366">
      <c r="B366" s="95"/>
      <c r="C366" s="96"/>
      <c r="D366" s="96"/>
      <c r="E366" s="96"/>
    </row>
    <row r="367">
      <c r="B367" s="95"/>
      <c r="C367" s="96"/>
      <c r="D367" s="96"/>
      <c r="E367" s="96"/>
    </row>
    <row r="368">
      <c r="B368" s="95"/>
      <c r="C368" s="96"/>
      <c r="D368" s="96"/>
      <c r="E368" s="96"/>
    </row>
    <row r="369">
      <c r="B369" s="95"/>
      <c r="C369" s="96"/>
      <c r="D369" s="96"/>
      <c r="E369" s="96"/>
    </row>
    <row r="370">
      <c r="B370" s="95"/>
      <c r="C370" s="96"/>
      <c r="D370" s="96"/>
      <c r="E370" s="96"/>
    </row>
    <row r="371">
      <c r="B371" s="95"/>
      <c r="C371" s="96"/>
      <c r="D371" s="96"/>
      <c r="E371" s="96"/>
    </row>
    <row r="372">
      <c r="B372" s="95"/>
      <c r="C372" s="96"/>
      <c r="D372" s="96"/>
      <c r="E372" s="96"/>
    </row>
    <row r="373">
      <c r="B373" s="95"/>
      <c r="C373" s="96"/>
      <c r="D373" s="96"/>
      <c r="E373" s="96"/>
    </row>
    <row r="374">
      <c r="B374" s="95"/>
      <c r="C374" s="96"/>
      <c r="D374" s="96"/>
      <c r="E374" s="96"/>
    </row>
    <row r="375">
      <c r="B375" s="95"/>
      <c r="C375" s="96"/>
      <c r="D375" s="96"/>
      <c r="E375" s="96"/>
    </row>
    <row r="376">
      <c r="B376" s="95"/>
      <c r="C376" s="96"/>
      <c r="D376" s="96"/>
      <c r="E376" s="96"/>
    </row>
    <row r="377">
      <c r="B377" s="95"/>
      <c r="C377" s="96"/>
      <c r="D377" s="96"/>
      <c r="E377" s="96"/>
    </row>
    <row r="378">
      <c r="B378" s="95"/>
      <c r="C378" s="96"/>
      <c r="D378" s="96"/>
      <c r="E378" s="96"/>
    </row>
    <row r="379">
      <c r="B379" s="95"/>
      <c r="C379" s="96"/>
      <c r="D379" s="96"/>
      <c r="E379" s="96"/>
    </row>
    <row r="380">
      <c r="B380" s="95"/>
      <c r="C380" s="96"/>
      <c r="D380" s="96"/>
      <c r="E380" s="96"/>
    </row>
    <row r="381">
      <c r="B381" s="95"/>
      <c r="C381" s="96"/>
      <c r="D381" s="96"/>
      <c r="E381" s="96"/>
    </row>
    <row r="382">
      <c r="B382" s="95"/>
      <c r="C382" s="96"/>
      <c r="D382" s="96"/>
      <c r="E382" s="96"/>
    </row>
    <row r="383">
      <c r="B383" s="95"/>
      <c r="C383" s="96"/>
      <c r="D383" s="96"/>
      <c r="E383" s="96"/>
    </row>
    <row r="384">
      <c r="B384" s="95"/>
      <c r="C384" s="96"/>
      <c r="D384" s="96"/>
      <c r="E384" s="96"/>
    </row>
    <row r="385">
      <c r="B385" s="95"/>
      <c r="C385" s="96"/>
      <c r="D385" s="96"/>
      <c r="E385" s="96"/>
    </row>
    <row r="386">
      <c r="B386" s="95"/>
      <c r="C386" s="96"/>
      <c r="D386" s="96"/>
      <c r="E386" s="96"/>
    </row>
    <row r="387">
      <c r="B387" s="95"/>
      <c r="C387" s="96"/>
      <c r="D387" s="96"/>
      <c r="E387" s="96"/>
    </row>
    <row r="388">
      <c r="B388" s="95"/>
      <c r="C388" s="96"/>
      <c r="D388" s="96"/>
      <c r="E388" s="96"/>
    </row>
    <row r="389">
      <c r="B389" s="95"/>
      <c r="C389" s="96"/>
      <c r="D389" s="96"/>
      <c r="E389" s="96"/>
    </row>
    <row r="390">
      <c r="B390" s="95"/>
      <c r="C390" s="96"/>
      <c r="D390" s="96"/>
      <c r="E390" s="96"/>
    </row>
    <row r="391">
      <c r="B391" s="95"/>
      <c r="C391" s="96"/>
      <c r="D391" s="96"/>
      <c r="E391" s="96"/>
    </row>
    <row r="392">
      <c r="B392" s="95"/>
      <c r="C392" s="96"/>
      <c r="D392" s="96"/>
      <c r="E392" s="96"/>
    </row>
    <row r="393">
      <c r="B393" s="95"/>
      <c r="C393" s="96"/>
      <c r="D393" s="96"/>
      <c r="E393" s="96"/>
    </row>
    <row r="394">
      <c r="B394" s="95"/>
      <c r="C394" s="96"/>
      <c r="D394" s="96"/>
      <c r="E394" s="96"/>
    </row>
    <row r="395">
      <c r="B395" s="95"/>
      <c r="C395" s="96"/>
      <c r="D395" s="96"/>
      <c r="E395" s="96"/>
    </row>
    <row r="396">
      <c r="B396" s="95"/>
      <c r="C396" s="96"/>
      <c r="D396" s="96"/>
      <c r="E396" s="96"/>
    </row>
    <row r="397">
      <c r="B397" s="95"/>
      <c r="C397" s="96"/>
      <c r="D397" s="96"/>
      <c r="E397" s="96"/>
    </row>
    <row r="398">
      <c r="B398" s="95"/>
      <c r="C398" s="96"/>
      <c r="D398" s="96"/>
      <c r="E398" s="96"/>
    </row>
    <row r="399">
      <c r="B399" s="95"/>
      <c r="C399" s="96"/>
      <c r="D399" s="96"/>
      <c r="E399" s="96"/>
    </row>
    <row r="400">
      <c r="B400" s="95"/>
      <c r="C400" s="96"/>
      <c r="D400" s="96"/>
      <c r="E400" s="96"/>
    </row>
    <row r="401">
      <c r="B401" s="95"/>
      <c r="C401" s="96"/>
      <c r="D401" s="96"/>
      <c r="E401" s="96"/>
    </row>
    <row r="402">
      <c r="B402" s="95"/>
      <c r="C402" s="96"/>
      <c r="D402" s="96"/>
      <c r="E402" s="96"/>
    </row>
    <row r="403">
      <c r="B403" s="95"/>
      <c r="C403" s="96"/>
      <c r="D403" s="96"/>
      <c r="E403" s="96"/>
    </row>
    <row r="404">
      <c r="B404" s="95"/>
      <c r="C404" s="96"/>
      <c r="D404" s="96"/>
      <c r="E404" s="96"/>
    </row>
    <row r="405">
      <c r="B405" s="95"/>
      <c r="C405" s="96"/>
      <c r="D405" s="96"/>
      <c r="E405" s="96"/>
    </row>
    <row r="406">
      <c r="B406" s="95"/>
      <c r="C406" s="96"/>
      <c r="D406" s="96"/>
      <c r="E406" s="96"/>
    </row>
    <row r="407">
      <c r="B407" s="95"/>
      <c r="C407" s="96"/>
      <c r="D407" s="96"/>
      <c r="E407" s="96"/>
    </row>
    <row r="408">
      <c r="B408" s="95"/>
      <c r="C408" s="96"/>
      <c r="D408" s="96"/>
      <c r="E408" s="96"/>
    </row>
    <row r="409">
      <c r="B409" s="95"/>
      <c r="C409" s="96"/>
      <c r="D409" s="96"/>
      <c r="E409" s="96"/>
    </row>
    <row r="410">
      <c r="B410" s="95"/>
      <c r="C410" s="96"/>
      <c r="D410" s="96"/>
      <c r="E410" s="96"/>
    </row>
    <row r="411">
      <c r="B411" s="95"/>
      <c r="C411" s="96"/>
      <c r="D411" s="96"/>
      <c r="E411" s="96"/>
    </row>
    <row r="412">
      <c r="B412" s="95"/>
      <c r="C412" s="96"/>
      <c r="D412" s="96"/>
      <c r="E412" s="96"/>
    </row>
    <row r="413">
      <c r="B413" s="95"/>
      <c r="C413" s="96"/>
      <c r="D413" s="96"/>
      <c r="E413" s="96"/>
    </row>
    <row r="414">
      <c r="B414" s="95"/>
      <c r="C414" s="96"/>
      <c r="D414" s="96"/>
      <c r="E414" s="96"/>
    </row>
    <row r="415">
      <c r="B415" s="95"/>
      <c r="C415" s="96"/>
      <c r="D415" s="96"/>
      <c r="E415" s="96"/>
    </row>
    <row r="416">
      <c r="B416" s="95"/>
      <c r="C416" s="96"/>
      <c r="D416" s="96"/>
      <c r="E416" s="96"/>
    </row>
    <row r="417">
      <c r="B417" s="95"/>
      <c r="C417" s="96"/>
      <c r="D417" s="96"/>
      <c r="E417" s="96"/>
    </row>
    <row r="418">
      <c r="B418" s="95"/>
      <c r="C418" s="96"/>
      <c r="D418" s="96"/>
      <c r="E418" s="96"/>
    </row>
    <row r="419">
      <c r="B419" s="95"/>
      <c r="C419" s="96"/>
      <c r="D419" s="96"/>
      <c r="E419" s="96"/>
    </row>
    <row r="420">
      <c r="B420" s="95"/>
      <c r="C420" s="96"/>
      <c r="D420" s="96"/>
      <c r="E420" s="96"/>
    </row>
    <row r="421">
      <c r="B421" s="95"/>
      <c r="C421" s="96"/>
      <c r="D421" s="96"/>
      <c r="E421" s="96"/>
    </row>
    <row r="422">
      <c r="B422" s="95"/>
      <c r="C422" s="96"/>
      <c r="D422" s="96"/>
      <c r="E422" s="96"/>
    </row>
    <row r="423">
      <c r="B423" s="95"/>
      <c r="C423" s="96"/>
      <c r="D423" s="96"/>
      <c r="E423" s="96"/>
    </row>
    <row r="424">
      <c r="B424" s="95"/>
      <c r="C424" s="96"/>
      <c r="D424" s="96"/>
      <c r="E424" s="96"/>
    </row>
    <row r="425">
      <c r="B425" s="95"/>
      <c r="C425" s="96"/>
      <c r="D425" s="96"/>
      <c r="E425" s="96"/>
    </row>
    <row r="426">
      <c r="B426" s="95"/>
      <c r="C426" s="96"/>
      <c r="D426" s="96"/>
      <c r="E426" s="96"/>
    </row>
    <row r="427">
      <c r="B427" s="95"/>
      <c r="C427" s="96"/>
      <c r="D427" s="96"/>
      <c r="E427" s="96"/>
    </row>
    <row r="428">
      <c r="B428" s="95"/>
      <c r="C428" s="96"/>
      <c r="D428" s="96"/>
      <c r="E428" s="96"/>
    </row>
    <row r="429">
      <c r="B429" s="95"/>
      <c r="C429" s="96"/>
      <c r="D429" s="96"/>
      <c r="E429" s="96"/>
    </row>
    <row r="430">
      <c r="B430" s="95"/>
      <c r="C430" s="96"/>
      <c r="D430" s="96"/>
      <c r="E430" s="96"/>
    </row>
    <row r="431">
      <c r="B431" s="95"/>
      <c r="C431" s="96"/>
      <c r="D431" s="96"/>
      <c r="E431" s="96"/>
    </row>
    <row r="432">
      <c r="B432" s="95"/>
      <c r="C432" s="96"/>
      <c r="D432" s="96"/>
      <c r="E432" s="96"/>
    </row>
    <row r="433">
      <c r="B433" s="95"/>
      <c r="C433" s="96"/>
      <c r="D433" s="96"/>
      <c r="E433" s="96"/>
    </row>
    <row r="434">
      <c r="B434" s="95"/>
      <c r="C434" s="96"/>
      <c r="D434" s="96"/>
      <c r="E434" s="96"/>
    </row>
    <row r="435">
      <c r="B435" s="95"/>
      <c r="C435" s="96"/>
      <c r="D435" s="96"/>
      <c r="E435" s="96"/>
    </row>
    <row r="436">
      <c r="B436" s="95"/>
      <c r="C436" s="96"/>
      <c r="D436" s="96"/>
      <c r="E436" s="96"/>
    </row>
    <row r="437">
      <c r="B437" s="95"/>
      <c r="C437" s="96"/>
      <c r="D437" s="96"/>
      <c r="E437" s="96"/>
    </row>
    <row r="438">
      <c r="B438" s="95"/>
      <c r="C438" s="96"/>
      <c r="D438" s="96"/>
      <c r="E438" s="96"/>
    </row>
    <row r="439">
      <c r="B439" s="95"/>
      <c r="C439" s="96"/>
      <c r="D439" s="96"/>
      <c r="E439" s="96"/>
    </row>
    <row r="440">
      <c r="B440" s="95"/>
      <c r="C440" s="96"/>
      <c r="D440" s="96"/>
      <c r="E440" s="96"/>
    </row>
    <row r="441">
      <c r="B441" s="95"/>
      <c r="C441" s="96"/>
      <c r="D441" s="96"/>
      <c r="E441" s="96"/>
    </row>
    <row r="442">
      <c r="B442" s="95"/>
      <c r="C442" s="96"/>
      <c r="D442" s="96"/>
      <c r="E442" s="96"/>
    </row>
    <row r="443">
      <c r="B443" s="95"/>
      <c r="C443" s="96"/>
      <c r="D443" s="96"/>
      <c r="E443" s="96"/>
    </row>
    <row r="444">
      <c r="B444" s="95"/>
      <c r="C444" s="96"/>
      <c r="D444" s="96"/>
      <c r="E444" s="96"/>
    </row>
    <row r="445">
      <c r="B445" s="95"/>
      <c r="C445" s="96"/>
      <c r="D445" s="96"/>
      <c r="E445" s="96"/>
    </row>
    <row r="446">
      <c r="B446" s="95"/>
      <c r="C446" s="96"/>
      <c r="D446" s="96"/>
      <c r="E446" s="96"/>
    </row>
    <row r="447">
      <c r="B447" s="95"/>
      <c r="C447" s="96"/>
      <c r="D447" s="96"/>
      <c r="E447" s="96"/>
    </row>
    <row r="448">
      <c r="B448" s="95"/>
      <c r="C448" s="96"/>
      <c r="D448" s="96"/>
      <c r="E448" s="96"/>
    </row>
    <row r="449">
      <c r="B449" s="95"/>
      <c r="C449" s="96"/>
      <c r="D449" s="96"/>
      <c r="E449" s="96"/>
    </row>
    <row r="450">
      <c r="B450" s="95"/>
      <c r="C450" s="96"/>
      <c r="D450" s="96"/>
      <c r="E450" s="96"/>
    </row>
    <row r="451">
      <c r="B451" s="95"/>
      <c r="C451" s="96"/>
      <c r="D451" s="96"/>
      <c r="E451" s="96"/>
    </row>
    <row r="452">
      <c r="B452" s="95"/>
      <c r="C452" s="96"/>
      <c r="D452" s="96"/>
      <c r="E452" s="96"/>
    </row>
    <row r="453">
      <c r="B453" s="95"/>
      <c r="C453" s="96"/>
      <c r="D453" s="96"/>
      <c r="E453" s="96"/>
    </row>
    <row r="454">
      <c r="B454" s="95"/>
      <c r="C454" s="96"/>
      <c r="D454" s="96"/>
      <c r="E454" s="96"/>
    </row>
    <row r="455">
      <c r="B455" s="95"/>
      <c r="C455" s="96"/>
      <c r="D455" s="96"/>
      <c r="E455" s="96"/>
    </row>
    <row r="456">
      <c r="B456" s="95"/>
      <c r="C456" s="96"/>
      <c r="D456" s="96"/>
      <c r="E456" s="96"/>
    </row>
    <row r="457">
      <c r="B457" s="95"/>
      <c r="C457" s="96"/>
      <c r="D457" s="96"/>
      <c r="E457" s="96"/>
    </row>
    <row r="458">
      <c r="B458" s="95"/>
      <c r="C458" s="96"/>
      <c r="D458" s="96"/>
      <c r="E458" s="96"/>
    </row>
    <row r="459">
      <c r="B459" s="95"/>
      <c r="C459" s="96"/>
      <c r="D459" s="96"/>
      <c r="E459" s="96"/>
    </row>
    <row r="460">
      <c r="B460" s="95"/>
      <c r="C460" s="96"/>
      <c r="D460" s="96"/>
      <c r="E460" s="96"/>
    </row>
    <row r="461">
      <c r="B461" s="95"/>
      <c r="C461" s="96"/>
      <c r="D461" s="96"/>
      <c r="E461" s="96"/>
    </row>
    <row r="462">
      <c r="B462" s="95"/>
      <c r="C462" s="96"/>
      <c r="D462" s="96"/>
      <c r="E462" s="96"/>
    </row>
    <row r="463">
      <c r="B463" s="95"/>
      <c r="C463" s="96"/>
      <c r="D463" s="96"/>
      <c r="E463" s="96"/>
    </row>
    <row r="464">
      <c r="B464" s="95"/>
      <c r="C464" s="96"/>
      <c r="D464" s="96"/>
      <c r="E464" s="96"/>
    </row>
    <row r="465">
      <c r="B465" s="95"/>
      <c r="C465" s="96"/>
      <c r="D465" s="96"/>
      <c r="E465" s="96"/>
    </row>
    <row r="466">
      <c r="B466" s="95"/>
      <c r="C466" s="96"/>
      <c r="D466" s="96"/>
      <c r="E466" s="96"/>
    </row>
    <row r="467">
      <c r="B467" s="95"/>
      <c r="C467" s="96"/>
      <c r="D467" s="96"/>
      <c r="E467" s="96"/>
    </row>
    <row r="468">
      <c r="B468" s="95"/>
      <c r="C468" s="96"/>
      <c r="D468" s="96"/>
      <c r="E468" s="96"/>
    </row>
    <row r="469">
      <c r="B469" s="95"/>
      <c r="C469" s="96"/>
      <c r="D469" s="96"/>
      <c r="E469" s="96"/>
    </row>
    <row r="470">
      <c r="B470" s="95"/>
      <c r="C470" s="96"/>
      <c r="D470" s="96"/>
      <c r="E470" s="96"/>
    </row>
    <row r="471">
      <c r="B471" s="95"/>
      <c r="C471" s="96"/>
      <c r="D471" s="96"/>
      <c r="E471" s="96"/>
    </row>
    <row r="472">
      <c r="B472" s="95"/>
      <c r="C472" s="96"/>
      <c r="D472" s="96"/>
      <c r="E472" s="96"/>
    </row>
    <row r="473">
      <c r="B473" s="95"/>
      <c r="C473" s="96"/>
      <c r="D473" s="96"/>
      <c r="E473" s="96"/>
    </row>
    <row r="474">
      <c r="B474" s="95"/>
      <c r="C474" s="96"/>
      <c r="D474" s="96"/>
      <c r="E474" s="96"/>
    </row>
    <row r="475">
      <c r="B475" s="95"/>
      <c r="C475" s="96"/>
      <c r="D475" s="96"/>
      <c r="E475" s="96"/>
    </row>
    <row r="476">
      <c r="B476" s="95"/>
      <c r="C476" s="96"/>
      <c r="D476" s="96"/>
      <c r="E476" s="96"/>
    </row>
    <row r="477">
      <c r="B477" s="95"/>
      <c r="C477" s="96"/>
      <c r="D477" s="96"/>
      <c r="E477" s="96"/>
    </row>
    <row r="478">
      <c r="B478" s="95"/>
      <c r="C478" s="96"/>
      <c r="D478" s="96"/>
      <c r="E478" s="96"/>
    </row>
    <row r="479">
      <c r="B479" s="95"/>
      <c r="C479" s="96"/>
      <c r="D479" s="96"/>
      <c r="E479" s="96"/>
    </row>
    <row r="480">
      <c r="B480" s="95"/>
      <c r="C480" s="96"/>
      <c r="D480" s="96"/>
      <c r="E480" s="96"/>
    </row>
    <row r="481">
      <c r="B481" s="95"/>
      <c r="C481" s="96"/>
      <c r="D481" s="96"/>
      <c r="E481" s="96"/>
    </row>
    <row r="482">
      <c r="B482" s="95"/>
      <c r="C482" s="96"/>
      <c r="D482" s="96"/>
      <c r="E482" s="96"/>
    </row>
    <row r="483">
      <c r="B483" s="95"/>
      <c r="C483" s="96"/>
      <c r="D483" s="96"/>
      <c r="E483" s="96"/>
    </row>
    <row r="484">
      <c r="B484" s="95"/>
      <c r="C484" s="96"/>
      <c r="D484" s="96"/>
      <c r="E484" s="96"/>
    </row>
    <row r="485">
      <c r="B485" s="95"/>
      <c r="C485" s="96"/>
      <c r="D485" s="96"/>
      <c r="E485" s="96"/>
    </row>
    <row r="486">
      <c r="B486" s="95"/>
      <c r="C486" s="96"/>
      <c r="D486" s="96"/>
      <c r="E486" s="96"/>
    </row>
    <row r="487">
      <c r="B487" s="95"/>
      <c r="C487" s="96"/>
      <c r="D487" s="96"/>
      <c r="E487" s="96"/>
    </row>
    <row r="488">
      <c r="B488" s="95"/>
      <c r="C488" s="96"/>
      <c r="D488" s="96"/>
      <c r="E488" s="96"/>
    </row>
    <row r="489">
      <c r="B489" s="95"/>
      <c r="C489" s="96"/>
      <c r="D489" s="96"/>
      <c r="E489" s="96"/>
    </row>
    <row r="490">
      <c r="B490" s="95"/>
      <c r="C490" s="96"/>
      <c r="D490" s="96"/>
      <c r="E490" s="96"/>
    </row>
    <row r="491">
      <c r="B491" s="95"/>
      <c r="C491" s="96"/>
      <c r="D491" s="96"/>
      <c r="E491" s="96"/>
    </row>
    <row r="492">
      <c r="B492" s="95"/>
      <c r="C492" s="96"/>
      <c r="D492" s="96"/>
      <c r="E492" s="96"/>
    </row>
    <row r="493">
      <c r="B493" s="95"/>
      <c r="C493" s="96"/>
      <c r="D493" s="96"/>
      <c r="E493" s="96"/>
    </row>
    <row r="494">
      <c r="B494" s="95"/>
      <c r="C494" s="96"/>
      <c r="D494" s="96"/>
      <c r="E494" s="96"/>
    </row>
    <row r="495">
      <c r="B495" s="95"/>
      <c r="C495" s="96"/>
      <c r="D495" s="96"/>
      <c r="E495" s="96"/>
    </row>
    <row r="496">
      <c r="B496" s="95"/>
      <c r="C496" s="96"/>
      <c r="D496" s="96"/>
      <c r="E496" s="96"/>
    </row>
    <row r="497">
      <c r="B497" s="95"/>
      <c r="C497" s="96"/>
      <c r="D497" s="96"/>
      <c r="E497" s="96"/>
    </row>
    <row r="498">
      <c r="B498" s="95"/>
      <c r="C498" s="96"/>
      <c r="D498" s="96"/>
      <c r="E498" s="96"/>
    </row>
    <row r="499">
      <c r="B499" s="95"/>
      <c r="C499" s="96"/>
      <c r="D499" s="96"/>
      <c r="E499" s="96"/>
    </row>
    <row r="500">
      <c r="B500" s="95"/>
      <c r="C500" s="96"/>
      <c r="D500" s="96"/>
      <c r="E500" s="96"/>
    </row>
    <row r="501">
      <c r="B501" s="95"/>
      <c r="C501" s="96"/>
      <c r="D501" s="96"/>
      <c r="E501" s="96"/>
    </row>
    <row r="502">
      <c r="B502" s="95"/>
      <c r="C502" s="96"/>
      <c r="D502" s="96"/>
      <c r="E502" s="96"/>
    </row>
    <row r="503">
      <c r="B503" s="95"/>
      <c r="C503" s="96"/>
      <c r="D503" s="96"/>
      <c r="E503" s="96"/>
    </row>
    <row r="504">
      <c r="B504" s="95"/>
      <c r="C504" s="96"/>
      <c r="D504" s="96"/>
      <c r="E504" s="96"/>
    </row>
    <row r="505">
      <c r="B505" s="95"/>
      <c r="C505" s="96"/>
      <c r="D505" s="96"/>
      <c r="E505" s="96"/>
    </row>
    <row r="506">
      <c r="B506" s="95"/>
      <c r="C506" s="96"/>
      <c r="D506" s="96"/>
      <c r="E506" s="96"/>
    </row>
    <row r="507">
      <c r="B507" s="95"/>
      <c r="C507" s="96"/>
      <c r="D507" s="96"/>
      <c r="E507" s="96"/>
    </row>
    <row r="508">
      <c r="B508" s="95"/>
      <c r="C508" s="96"/>
      <c r="D508" s="96"/>
      <c r="E508" s="96"/>
    </row>
    <row r="509">
      <c r="B509" s="95"/>
      <c r="C509" s="96"/>
      <c r="D509" s="96"/>
      <c r="E509" s="96"/>
    </row>
    <row r="510">
      <c r="B510" s="95"/>
      <c r="C510" s="96"/>
      <c r="D510" s="96"/>
      <c r="E510" s="96"/>
    </row>
    <row r="511">
      <c r="B511" s="95"/>
      <c r="C511" s="96"/>
      <c r="D511" s="96"/>
      <c r="E511" s="96"/>
    </row>
    <row r="512">
      <c r="B512" s="95"/>
      <c r="C512" s="96"/>
      <c r="D512" s="96"/>
      <c r="E512" s="96"/>
    </row>
    <row r="513">
      <c r="B513" s="95"/>
      <c r="C513" s="96"/>
      <c r="D513" s="96"/>
      <c r="E513" s="96"/>
    </row>
    <row r="514">
      <c r="B514" s="95"/>
      <c r="C514" s="96"/>
      <c r="D514" s="96"/>
      <c r="E514" s="96"/>
    </row>
    <row r="515">
      <c r="B515" s="95"/>
      <c r="C515" s="96"/>
      <c r="D515" s="96"/>
      <c r="E515" s="96"/>
    </row>
    <row r="516">
      <c r="B516" s="95"/>
      <c r="C516" s="96"/>
      <c r="D516" s="96"/>
      <c r="E516" s="96"/>
    </row>
    <row r="517">
      <c r="B517" s="95"/>
      <c r="C517" s="96"/>
      <c r="D517" s="96"/>
      <c r="E517" s="96"/>
    </row>
    <row r="518">
      <c r="B518" s="95"/>
      <c r="C518" s="96"/>
      <c r="D518" s="96"/>
      <c r="E518" s="96"/>
    </row>
    <row r="519">
      <c r="B519" s="95"/>
      <c r="C519" s="96"/>
      <c r="D519" s="96"/>
      <c r="E519" s="96"/>
    </row>
    <row r="520">
      <c r="B520" s="95"/>
      <c r="C520" s="96"/>
      <c r="D520" s="96"/>
      <c r="E520" s="96"/>
    </row>
    <row r="521">
      <c r="B521" s="95"/>
      <c r="C521" s="96"/>
      <c r="D521" s="96"/>
      <c r="E521" s="96"/>
    </row>
    <row r="522">
      <c r="B522" s="95"/>
      <c r="C522" s="96"/>
      <c r="D522" s="96"/>
      <c r="E522" s="96"/>
    </row>
    <row r="523">
      <c r="B523" s="95"/>
      <c r="C523" s="96"/>
      <c r="D523" s="96"/>
      <c r="E523" s="96"/>
    </row>
    <row r="524">
      <c r="B524" s="95"/>
      <c r="C524" s="96"/>
      <c r="D524" s="96"/>
      <c r="E524" s="96"/>
    </row>
    <row r="525">
      <c r="B525" s="95"/>
      <c r="C525" s="96"/>
      <c r="D525" s="96"/>
      <c r="E525" s="96"/>
    </row>
    <row r="526">
      <c r="B526" s="95"/>
      <c r="C526" s="96"/>
      <c r="D526" s="96"/>
      <c r="E526" s="96"/>
    </row>
    <row r="527">
      <c r="B527" s="95"/>
      <c r="C527" s="96"/>
      <c r="D527" s="96"/>
      <c r="E527" s="96"/>
    </row>
    <row r="528">
      <c r="B528" s="95"/>
      <c r="C528" s="96"/>
      <c r="D528" s="96"/>
      <c r="E528" s="96"/>
    </row>
    <row r="529">
      <c r="B529" s="95"/>
      <c r="C529" s="96"/>
      <c r="D529" s="96"/>
      <c r="E529" s="96"/>
    </row>
    <row r="530">
      <c r="B530" s="95"/>
      <c r="C530" s="96"/>
      <c r="D530" s="96"/>
      <c r="E530" s="96"/>
    </row>
    <row r="531">
      <c r="B531" s="95"/>
      <c r="C531" s="96"/>
      <c r="D531" s="96"/>
      <c r="E531" s="96"/>
    </row>
    <row r="532">
      <c r="B532" s="95"/>
      <c r="C532" s="96"/>
      <c r="D532" s="96"/>
      <c r="E532" s="96"/>
    </row>
    <row r="533">
      <c r="B533" s="95"/>
      <c r="C533" s="96"/>
      <c r="D533" s="96"/>
      <c r="E533" s="96"/>
    </row>
    <row r="534">
      <c r="B534" s="95"/>
      <c r="C534" s="96"/>
      <c r="D534" s="96"/>
      <c r="E534" s="96"/>
    </row>
    <row r="535">
      <c r="B535" s="95"/>
      <c r="C535" s="96"/>
      <c r="D535" s="96"/>
      <c r="E535" s="96"/>
    </row>
    <row r="536">
      <c r="B536" s="95"/>
      <c r="C536" s="96"/>
      <c r="D536" s="96"/>
      <c r="E536" s="96"/>
    </row>
    <row r="537">
      <c r="B537" s="95"/>
      <c r="C537" s="96"/>
      <c r="D537" s="96"/>
      <c r="E537" s="96"/>
    </row>
    <row r="538">
      <c r="B538" s="95"/>
      <c r="C538" s="96"/>
      <c r="D538" s="96"/>
      <c r="E538" s="96"/>
    </row>
    <row r="539">
      <c r="B539" s="95"/>
      <c r="C539" s="96"/>
      <c r="D539" s="96"/>
      <c r="E539" s="96"/>
    </row>
    <row r="540">
      <c r="B540" s="95"/>
      <c r="C540" s="96"/>
      <c r="D540" s="96"/>
      <c r="E540" s="96"/>
    </row>
    <row r="541">
      <c r="B541" s="95"/>
      <c r="C541" s="96"/>
      <c r="D541" s="96"/>
      <c r="E541" s="96"/>
    </row>
    <row r="542">
      <c r="B542" s="95"/>
      <c r="C542" s="96"/>
      <c r="D542" s="96"/>
      <c r="E542" s="96"/>
    </row>
    <row r="543">
      <c r="B543" s="95"/>
      <c r="C543" s="96"/>
      <c r="D543" s="96"/>
      <c r="E543" s="96"/>
    </row>
    <row r="544">
      <c r="B544" s="95"/>
      <c r="C544" s="96"/>
      <c r="D544" s="96"/>
      <c r="E544" s="96"/>
    </row>
    <row r="545">
      <c r="B545" s="95"/>
      <c r="C545" s="96"/>
      <c r="D545" s="96"/>
      <c r="E545" s="96"/>
    </row>
    <row r="546">
      <c r="B546" s="95"/>
      <c r="C546" s="96"/>
      <c r="D546" s="96"/>
      <c r="E546" s="96"/>
    </row>
    <row r="547">
      <c r="B547" s="95"/>
      <c r="C547" s="96"/>
      <c r="D547" s="96"/>
      <c r="E547" s="96"/>
    </row>
    <row r="548">
      <c r="B548" s="95"/>
      <c r="C548" s="96"/>
      <c r="D548" s="96"/>
      <c r="E548" s="96"/>
    </row>
    <row r="549">
      <c r="B549" s="95"/>
      <c r="C549" s="96"/>
      <c r="D549" s="96"/>
      <c r="E549" s="96"/>
    </row>
    <row r="550">
      <c r="B550" s="95"/>
      <c r="C550" s="96"/>
      <c r="D550" s="96"/>
      <c r="E550" s="96"/>
    </row>
    <row r="551">
      <c r="B551" s="95"/>
      <c r="C551" s="96"/>
      <c r="D551" s="96"/>
      <c r="E551" s="96"/>
    </row>
    <row r="552">
      <c r="B552" s="95"/>
      <c r="C552" s="96"/>
      <c r="D552" s="96"/>
      <c r="E552" s="96"/>
    </row>
    <row r="553">
      <c r="B553" s="95"/>
      <c r="C553" s="96"/>
      <c r="D553" s="96"/>
      <c r="E553" s="96"/>
    </row>
    <row r="554">
      <c r="B554" s="95"/>
      <c r="C554" s="96"/>
      <c r="D554" s="96"/>
      <c r="E554" s="96"/>
    </row>
    <row r="555">
      <c r="B555" s="95"/>
      <c r="C555" s="96"/>
      <c r="D555" s="96"/>
      <c r="E555" s="96"/>
    </row>
    <row r="556">
      <c r="B556" s="95"/>
      <c r="C556" s="96"/>
      <c r="D556" s="96"/>
      <c r="E556" s="96"/>
    </row>
    <row r="557">
      <c r="B557" s="95"/>
      <c r="C557" s="96"/>
      <c r="D557" s="96"/>
      <c r="E557" s="96"/>
    </row>
    <row r="558">
      <c r="B558" s="95"/>
      <c r="C558" s="96"/>
      <c r="D558" s="96"/>
      <c r="E558" s="96"/>
    </row>
    <row r="559">
      <c r="B559" s="95"/>
      <c r="C559" s="96"/>
      <c r="D559" s="96"/>
      <c r="E559" s="96"/>
    </row>
    <row r="560">
      <c r="B560" s="95"/>
      <c r="C560" s="96"/>
      <c r="D560" s="96"/>
      <c r="E560" s="96"/>
    </row>
    <row r="561">
      <c r="B561" s="95"/>
      <c r="C561" s="96"/>
      <c r="D561" s="96"/>
      <c r="E561" s="96"/>
    </row>
    <row r="562">
      <c r="B562" s="95"/>
      <c r="C562" s="96"/>
      <c r="D562" s="96"/>
      <c r="E562" s="96"/>
    </row>
    <row r="563">
      <c r="B563" s="95"/>
      <c r="C563" s="96"/>
      <c r="D563" s="96"/>
      <c r="E563" s="96"/>
    </row>
    <row r="564">
      <c r="B564" s="95"/>
      <c r="C564" s="96"/>
      <c r="D564" s="96"/>
      <c r="E564" s="96"/>
    </row>
    <row r="565">
      <c r="B565" s="95"/>
      <c r="C565" s="96"/>
      <c r="D565" s="96"/>
      <c r="E565" s="96"/>
    </row>
    <row r="566">
      <c r="B566" s="95"/>
      <c r="C566" s="96"/>
      <c r="D566" s="96"/>
      <c r="E566" s="96"/>
    </row>
    <row r="567">
      <c r="B567" s="95"/>
      <c r="C567" s="96"/>
      <c r="D567" s="96"/>
      <c r="E567" s="96"/>
    </row>
    <row r="568">
      <c r="B568" s="95"/>
      <c r="C568" s="96"/>
      <c r="D568" s="96"/>
      <c r="E568" s="96"/>
    </row>
    <row r="569">
      <c r="B569" s="95"/>
      <c r="C569" s="96"/>
      <c r="D569" s="96"/>
      <c r="E569" s="96"/>
    </row>
    <row r="570">
      <c r="B570" s="95"/>
      <c r="C570" s="96"/>
      <c r="D570" s="96"/>
      <c r="E570" s="96"/>
    </row>
    <row r="571">
      <c r="B571" s="95"/>
      <c r="C571" s="96"/>
      <c r="D571" s="96"/>
      <c r="E571" s="96"/>
    </row>
    <row r="572">
      <c r="B572" s="95"/>
      <c r="C572" s="96"/>
      <c r="D572" s="96"/>
      <c r="E572" s="96"/>
    </row>
    <row r="573">
      <c r="B573" s="95"/>
      <c r="C573" s="96"/>
      <c r="D573" s="96"/>
      <c r="E573" s="96"/>
    </row>
    <row r="574">
      <c r="B574" s="95"/>
      <c r="C574" s="96"/>
      <c r="D574" s="96"/>
      <c r="E574" s="96"/>
    </row>
    <row r="575">
      <c r="B575" s="95"/>
      <c r="C575" s="96"/>
      <c r="D575" s="96"/>
      <c r="E575" s="96"/>
    </row>
    <row r="576">
      <c r="B576" s="95"/>
      <c r="C576" s="96"/>
      <c r="D576" s="96"/>
      <c r="E576" s="96"/>
    </row>
    <row r="577">
      <c r="B577" s="95"/>
      <c r="C577" s="96"/>
      <c r="D577" s="96"/>
      <c r="E577" s="96"/>
    </row>
    <row r="578">
      <c r="B578" s="95"/>
      <c r="C578" s="96"/>
      <c r="D578" s="96"/>
      <c r="E578" s="96"/>
    </row>
    <row r="579">
      <c r="B579" s="95"/>
      <c r="C579" s="96"/>
      <c r="D579" s="96"/>
      <c r="E579" s="96"/>
    </row>
    <row r="580">
      <c r="B580" s="95"/>
      <c r="C580" s="96"/>
      <c r="D580" s="96"/>
      <c r="E580" s="96"/>
    </row>
    <row r="581">
      <c r="B581" s="95"/>
      <c r="C581" s="96"/>
      <c r="D581" s="96"/>
      <c r="E581" s="96"/>
    </row>
    <row r="582">
      <c r="B582" s="95"/>
      <c r="C582" s="96"/>
      <c r="D582" s="96"/>
      <c r="E582" s="96"/>
    </row>
    <row r="583">
      <c r="B583" s="95"/>
      <c r="C583" s="96"/>
      <c r="D583" s="96"/>
      <c r="E583" s="96"/>
    </row>
    <row r="584">
      <c r="B584" s="95"/>
      <c r="C584" s="96"/>
      <c r="D584" s="96"/>
      <c r="E584" s="96"/>
    </row>
    <row r="585">
      <c r="B585" s="95"/>
      <c r="C585" s="96"/>
      <c r="D585" s="96"/>
      <c r="E585" s="96"/>
    </row>
    <row r="586">
      <c r="B586" s="95"/>
      <c r="C586" s="96"/>
      <c r="D586" s="96"/>
      <c r="E586" s="96"/>
    </row>
    <row r="587">
      <c r="B587" s="95"/>
      <c r="C587" s="96"/>
      <c r="D587" s="96"/>
      <c r="E587" s="96"/>
    </row>
    <row r="588">
      <c r="B588" s="95"/>
      <c r="C588" s="96"/>
      <c r="D588" s="96"/>
      <c r="E588" s="96"/>
    </row>
    <row r="589">
      <c r="B589" s="95"/>
      <c r="C589" s="96"/>
      <c r="D589" s="96"/>
      <c r="E589" s="96"/>
    </row>
    <row r="590">
      <c r="B590" s="95"/>
      <c r="C590" s="96"/>
      <c r="D590" s="96"/>
      <c r="E590" s="96"/>
    </row>
    <row r="591">
      <c r="B591" s="95"/>
      <c r="C591" s="96"/>
      <c r="D591" s="96"/>
      <c r="E591" s="96"/>
    </row>
    <row r="592">
      <c r="B592" s="95"/>
      <c r="C592" s="96"/>
      <c r="D592" s="96"/>
      <c r="E592" s="96"/>
    </row>
    <row r="593">
      <c r="B593" s="95"/>
      <c r="C593" s="96"/>
      <c r="D593" s="96"/>
      <c r="E593" s="96"/>
    </row>
    <row r="594">
      <c r="B594" s="95"/>
      <c r="C594" s="96"/>
      <c r="D594" s="96"/>
      <c r="E594" s="96"/>
    </row>
    <row r="595">
      <c r="B595" s="95"/>
      <c r="C595" s="96"/>
      <c r="D595" s="96"/>
      <c r="E595" s="96"/>
    </row>
    <row r="596">
      <c r="B596" s="95"/>
      <c r="C596" s="96"/>
      <c r="D596" s="96"/>
      <c r="E596" s="96"/>
    </row>
    <row r="597">
      <c r="B597" s="95"/>
      <c r="C597" s="96"/>
      <c r="D597" s="96"/>
      <c r="E597" s="96"/>
    </row>
    <row r="598">
      <c r="B598" s="95"/>
      <c r="C598" s="96"/>
      <c r="D598" s="96"/>
      <c r="E598" s="96"/>
    </row>
    <row r="599">
      <c r="B599" s="95"/>
      <c r="C599" s="96"/>
      <c r="D599" s="96"/>
      <c r="E599" s="96"/>
    </row>
    <row r="600">
      <c r="B600" s="95"/>
      <c r="C600" s="96"/>
      <c r="D600" s="96"/>
      <c r="E600" s="96"/>
    </row>
    <row r="601">
      <c r="B601" s="95"/>
      <c r="C601" s="96"/>
      <c r="D601" s="96"/>
      <c r="E601" s="96"/>
    </row>
    <row r="602">
      <c r="B602" s="95"/>
      <c r="C602" s="96"/>
      <c r="D602" s="96"/>
      <c r="E602" s="96"/>
    </row>
    <row r="603">
      <c r="B603" s="95"/>
      <c r="C603" s="96"/>
      <c r="D603" s="96"/>
      <c r="E603" s="96"/>
    </row>
    <row r="604">
      <c r="B604" s="95"/>
      <c r="C604" s="96"/>
      <c r="D604" s="96"/>
      <c r="E604" s="96"/>
    </row>
    <row r="605">
      <c r="B605" s="95"/>
      <c r="C605" s="96"/>
      <c r="D605" s="96"/>
      <c r="E605" s="96"/>
    </row>
    <row r="606">
      <c r="B606" s="95"/>
      <c r="C606" s="96"/>
      <c r="D606" s="96"/>
      <c r="E606" s="96"/>
    </row>
    <row r="607">
      <c r="B607" s="95"/>
      <c r="C607" s="96"/>
      <c r="D607" s="96"/>
      <c r="E607" s="96"/>
    </row>
    <row r="608">
      <c r="B608" s="95"/>
      <c r="C608" s="96"/>
      <c r="D608" s="96"/>
      <c r="E608" s="96"/>
    </row>
    <row r="609">
      <c r="B609" s="95"/>
      <c r="C609" s="96"/>
      <c r="D609" s="96"/>
      <c r="E609" s="96"/>
    </row>
    <row r="610">
      <c r="B610" s="95"/>
      <c r="C610" s="96"/>
      <c r="D610" s="96"/>
      <c r="E610" s="96"/>
    </row>
    <row r="611">
      <c r="B611" s="95"/>
      <c r="C611" s="96"/>
      <c r="D611" s="96"/>
      <c r="E611" s="96"/>
    </row>
    <row r="612">
      <c r="B612" s="95"/>
      <c r="C612" s="96"/>
      <c r="D612" s="96"/>
      <c r="E612" s="96"/>
    </row>
    <row r="613">
      <c r="B613" s="95"/>
      <c r="C613" s="96"/>
      <c r="D613" s="96"/>
      <c r="E613" s="96"/>
    </row>
    <row r="614">
      <c r="B614" s="95"/>
      <c r="C614" s="96"/>
      <c r="D614" s="96"/>
      <c r="E614" s="96"/>
    </row>
    <row r="615">
      <c r="B615" s="95"/>
      <c r="C615" s="96"/>
      <c r="D615" s="96"/>
      <c r="E615" s="96"/>
    </row>
    <row r="616">
      <c r="B616" s="95"/>
      <c r="C616" s="96"/>
      <c r="D616" s="96"/>
      <c r="E616" s="96"/>
    </row>
    <row r="617">
      <c r="B617" s="95"/>
      <c r="C617" s="96"/>
      <c r="D617" s="96"/>
      <c r="E617" s="96"/>
    </row>
    <row r="618">
      <c r="B618" s="95"/>
      <c r="C618" s="96"/>
      <c r="D618" s="96"/>
      <c r="E618" s="96"/>
    </row>
    <row r="619">
      <c r="B619" s="95"/>
      <c r="C619" s="96"/>
      <c r="D619" s="96"/>
      <c r="E619" s="96"/>
    </row>
    <row r="620">
      <c r="B620" s="95"/>
      <c r="C620" s="96"/>
      <c r="D620" s="96"/>
      <c r="E620" s="96"/>
    </row>
    <row r="621">
      <c r="B621" s="95"/>
      <c r="C621" s="96"/>
      <c r="D621" s="96"/>
      <c r="E621" s="96"/>
    </row>
    <row r="622">
      <c r="B622" s="95"/>
      <c r="C622" s="96"/>
      <c r="D622" s="96"/>
      <c r="E622" s="96"/>
    </row>
    <row r="623">
      <c r="B623" s="95"/>
      <c r="C623" s="96"/>
      <c r="D623" s="96"/>
      <c r="E623" s="96"/>
    </row>
    <row r="624">
      <c r="B624" s="95"/>
      <c r="C624" s="96"/>
      <c r="D624" s="96"/>
      <c r="E624" s="96"/>
    </row>
    <row r="625">
      <c r="B625" s="95"/>
      <c r="C625" s="96"/>
      <c r="D625" s="96"/>
      <c r="E625" s="96"/>
    </row>
    <row r="626">
      <c r="B626" s="95"/>
      <c r="C626" s="96"/>
      <c r="D626" s="96"/>
      <c r="E626" s="96"/>
    </row>
    <row r="627">
      <c r="B627" s="95"/>
      <c r="C627" s="96"/>
      <c r="D627" s="96"/>
      <c r="E627" s="96"/>
    </row>
    <row r="628">
      <c r="B628" s="95"/>
      <c r="C628" s="96"/>
      <c r="D628" s="96"/>
      <c r="E628" s="96"/>
    </row>
    <row r="629">
      <c r="B629" s="95"/>
      <c r="C629" s="96"/>
      <c r="D629" s="96"/>
      <c r="E629" s="96"/>
    </row>
    <row r="630">
      <c r="B630" s="95"/>
      <c r="C630" s="96"/>
      <c r="D630" s="96"/>
      <c r="E630" s="96"/>
    </row>
    <row r="631">
      <c r="B631" s="95"/>
      <c r="C631" s="96"/>
      <c r="D631" s="96"/>
      <c r="E631" s="96"/>
    </row>
    <row r="632">
      <c r="B632" s="95"/>
      <c r="C632" s="96"/>
      <c r="D632" s="96"/>
      <c r="E632" s="96"/>
    </row>
    <row r="633">
      <c r="B633" s="95"/>
      <c r="C633" s="96"/>
      <c r="D633" s="96"/>
      <c r="E633" s="96"/>
    </row>
    <row r="634">
      <c r="B634" s="95"/>
      <c r="C634" s="96"/>
      <c r="D634" s="96"/>
      <c r="E634" s="96"/>
    </row>
    <row r="635">
      <c r="B635" s="95"/>
      <c r="C635" s="96"/>
      <c r="D635" s="96"/>
      <c r="E635" s="96"/>
    </row>
    <row r="636">
      <c r="B636" s="95"/>
      <c r="C636" s="96"/>
      <c r="D636" s="96"/>
      <c r="E636" s="96"/>
    </row>
    <row r="637">
      <c r="B637" s="95"/>
      <c r="C637" s="96"/>
      <c r="D637" s="96"/>
      <c r="E637" s="96"/>
    </row>
    <row r="638">
      <c r="B638" s="95"/>
      <c r="C638" s="96"/>
      <c r="D638" s="96"/>
      <c r="E638" s="96"/>
    </row>
    <row r="639">
      <c r="B639" s="95"/>
      <c r="C639" s="96"/>
      <c r="D639" s="96"/>
      <c r="E639" s="96"/>
    </row>
    <row r="640">
      <c r="B640" s="95"/>
      <c r="C640" s="96"/>
      <c r="D640" s="96"/>
      <c r="E640" s="96"/>
    </row>
    <row r="641">
      <c r="B641" s="95"/>
      <c r="C641" s="96"/>
      <c r="D641" s="96"/>
      <c r="E641" s="96"/>
    </row>
    <row r="642">
      <c r="B642" s="95"/>
      <c r="C642" s="96"/>
      <c r="D642" s="96"/>
      <c r="E642" s="96"/>
    </row>
    <row r="643">
      <c r="B643" s="95"/>
      <c r="C643" s="96"/>
      <c r="D643" s="96"/>
      <c r="E643" s="96"/>
    </row>
    <row r="644">
      <c r="B644" s="95"/>
      <c r="C644" s="96"/>
      <c r="D644" s="96"/>
      <c r="E644" s="96"/>
    </row>
    <row r="645">
      <c r="B645" s="95"/>
      <c r="C645" s="96"/>
      <c r="D645" s="96"/>
      <c r="E645" s="96"/>
    </row>
    <row r="646">
      <c r="B646" s="95"/>
      <c r="C646" s="96"/>
      <c r="D646" s="96"/>
      <c r="E646" s="96"/>
    </row>
    <row r="647">
      <c r="B647" s="95"/>
      <c r="C647" s="96"/>
      <c r="D647" s="96"/>
      <c r="E647" s="96"/>
    </row>
    <row r="648">
      <c r="B648" s="95"/>
      <c r="C648" s="96"/>
      <c r="D648" s="96"/>
      <c r="E648" s="96"/>
    </row>
    <row r="649">
      <c r="B649" s="95"/>
      <c r="C649" s="96"/>
      <c r="D649" s="96"/>
      <c r="E649" s="96"/>
    </row>
    <row r="650">
      <c r="B650" s="95"/>
      <c r="C650" s="96"/>
      <c r="D650" s="96"/>
      <c r="E650" s="96"/>
    </row>
    <row r="651">
      <c r="B651" s="95"/>
      <c r="C651" s="96"/>
      <c r="D651" s="96"/>
      <c r="E651" s="96"/>
    </row>
    <row r="652">
      <c r="B652" s="95"/>
      <c r="C652" s="96"/>
      <c r="D652" s="96"/>
      <c r="E652" s="96"/>
    </row>
    <row r="653">
      <c r="B653" s="95"/>
      <c r="C653" s="96"/>
      <c r="D653" s="96"/>
      <c r="E653" s="96"/>
    </row>
    <row r="654">
      <c r="B654" s="95"/>
      <c r="C654" s="96"/>
      <c r="D654" s="96"/>
      <c r="E654" s="96"/>
    </row>
    <row r="655">
      <c r="B655" s="95"/>
      <c r="C655" s="96"/>
      <c r="D655" s="96"/>
      <c r="E655" s="96"/>
    </row>
    <row r="656">
      <c r="B656" s="95"/>
      <c r="C656" s="96"/>
      <c r="D656" s="96"/>
      <c r="E656" s="96"/>
    </row>
    <row r="657">
      <c r="B657" s="95"/>
      <c r="C657" s="96"/>
      <c r="D657" s="96"/>
      <c r="E657" s="96"/>
    </row>
    <row r="658">
      <c r="B658" s="95"/>
      <c r="C658" s="96"/>
      <c r="D658" s="96"/>
      <c r="E658" s="96"/>
    </row>
    <row r="659">
      <c r="B659" s="95"/>
      <c r="C659" s="96"/>
      <c r="D659" s="96"/>
      <c r="E659" s="96"/>
    </row>
    <row r="660">
      <c r="B660" s="95"/>
      <c r="C660" s="96"/>
      <c r="D660" s="96"/>
      <c r="E660" s="96"/>
    </row>
    <row r="661">
      <c r="B661" s="95"/>
      <c r="C661" s="96"/>
      <c r="D661" s="96"/>
      <c r="E661" s="96"/>
    </row>
    <row r="662">
      <c r="B662" s="95"/>
      <c r="C662" s="96"/>
      <c r="D662" s="96"/>
      <c r="E662" s="96"/>
    </row>
    <row r="663">
      <c r="B663" s="95"/>
      <c r="C663" s="96"/>
      <c r="D663" s="96"/>
      <c r="E663" s="96"/>
    </row>
    <row r="664">
      <c r="B664" s="95"/>
      <c r="C664" s="96"/>
      <c r="D664" s="96"/>
      <c r="E664" s="96"/>
    </row>
    <row r="665">
      <c r="B665" s="95"/>
      <c r="C665" s="96"/>
      <c r="D665" s="96"/>
      <c r="E665" s="96"/>
    </row>
    <row r="666">
      <c r="B666" s="95"/>
      <c r="C666" s="96"/>
      <c r="D666" s="96"/>
      <c r="E666" s="96"/>
    </row>
    <row r="667">
      <c r="B667" s="95"/>
      <c r="C667" s="96"/>
      <c r="D667" s="96"/>
      <c r="E667" s="96"/>
    </row>
    <row r="668">
      <c r="B668" s="95"/>
      <c r="C668" s="96"/>
      <c r="D668" s="96"/>
      <c r="E668" s="96"/>
    </row>
    <row r="669">
      <c r="B669" s="95"/>
      <c r="C669" s="96"/>
      <c r="D669" s="96"/>
      <c r="E669" s="96"/>
    </row>
    <row r="670">
      <c r="B670" s="95"/>
      <c r="C670" s="96"/>
      <c r="D670" s="96"/>
      <c r="E670" s="96"/>
    </row>
    <row r="671">
      <c r="B671" s="95"/>
      <c r="C671" s="96"/>
      <c r="D671" s="96"/>
      <c r="E671" s="96"/>
    </row>
    <row r="672">
      <c r="B672" s="95"/>
      <c r="C672" s="96"/>
      <c r="D672" s="96"/>
      <c r="E672" s="96"/>
    </row>
    <row r="673">
      <c r="B673" s="95"/>
      <c r="C673" s="96"/>
      <c r="D673" s="96"/>
      <c r="E673" s="96"/>
    </row>
    <row r="674">
      <c r="B674" s="95"/>
      <c r="C674" s="96"/>
      <c r="D674" s="96"/>
      <c r="E674" s="96"/>
    </row>
    <row r="675">
      <c r="B675" s="95"/>
      <c r="C675" s="96"/>
      <c r="D675" s="96"/>
      <c r="E675" s="96"/>
    </row>
    <row r="676">
      <c r="B676" s="95"/>
      <c r="C676" s="96"/>
      <c r="D676" s="96"/>
      <c r="E676" s="96"/>
    </row>
    <row r="677">
      <c r="B677" s="95"/>
      <c r="C677" s="96"/>
      <c r="D677" s="96"/>
      <c r="E677" s="96"/>
    </row>
    <row r="678">
      <c r="B678" s="95"/>
      <c r="C678" s="96"/>
      <c r="D678" s="96"/>
      <c r="E678" s="96"/>
    </row>
    <row r="679">
      <c r="B679" s="95"/>
      <c r="C679" s="96"/>
      <c r="D679" s="96"/>
      <c r="E679" s="96"/>
    </row>
    <row r="680">
      <c r="B680" s="95"/>
      <c r="C680" s="96"/>
      <c r="D680" s="96"/>
      <c r="E680" s="96"/>
    </row>
    <row r="681">
      <c r="B681" s="95"/>
      <c r="C681" s="96"/>
      <c r="D681" s="96"/>
      <c r="E681" s="96"/>
    </row>
    <row r="682">
      <c r="B682" s="95"/>
      <c r="C682" s="96"/>
      <c r="D682" s="96"/>
      <c r="E682" s="96"/>
    </row>
    <row r="683">
      <c r="B683" s="95"/>
      <c r="C683" s="96"/>
      <c r="D683" s="96"/>
      <c r="E683" s="96"/>
    </row>
    <row r="684">
      <c r="B684" s="95"/>
      <c r="C684" s="96"/>
      <c r="D684" s="96"/>
      <c r="E684" s="96"/>
    </row>
    <row r="685">
      <c r="B685" s="95"/>
      <c r="C685" s="96"/>
      <c r="D685" s="96"/>
      <c r="E685" s="96"/>
    </row>
    <row r="686">
      <c r="B686" s="95"/>
      <c r="C686" s="96"/>
      <c r="D686" s="96"/>
      <c r="E686" s="96"/>
    </row>
    <row r="687">
      <c r="B687" s="95"/>
      <c r="C687" s="96"/>
      <c r="D687" s="96"/>
      <c r="E687" s="96"/>
    </row>
    <row r="688">
      <c r="B688" s="95"/>
      <c r="C688" s="96"/>
      <c r="D688" s="96"/>
      <c r="E688" s="96"/>
    </row>
    <row r="689">
      <c r="B689" s="95"/>
      <c r="C689" s="96"/>
      <c r="D689" s="96"/>
      <c r="E689" s="96"/>
    </row>
    <row r="690">
      <c r="B690" s="95"/>
      <c r="C690" s="96"/>
      <c r="D690" s="96"/>
      <c r="E690" s="96"/>
    </row>
    <row r="691">
      <c r="B691" s="95"/>
      <c r="C691" s="96"/>
      <c r="D691" s="96"/>
      <c r="E691" s="96"/>
    </row>
    <row r="692">
      <c r="B692" s="95"/>
      <c r="C692" s="96"/>
      <c r="D692" s="96"/>
      <c r="E692" s="96"/>
    </row>
    <row r="693">
      <c r="B693" s="95"/>
      <c r="C693" s="96"/>
      <c r="D693" s="96"/>
      <c r="E693" s="96"/>
    </row>
    <row r="694">
      <c r="B694" s="95"/>
      <c r="C694" s="96"/>
      <c r="D694" s="96"/>
      <c r="E694" s="96"/>
    </row>
    <row r="695">
      <c r="B695" s="95"/>
      <c r="C695" s="96"/>
      <c r="D695" s="96"/>
      <c r="E695" s="96"/>
    </row>
    <row r="696">
      <c r="B696" s="95"/>
      <c r="C696" s="96"/>
      <c r="D696" s="96"/>
      <c r="E696" s="96"/>
    </row>
    <row r="697">
      <c r="B697" s="95"/>
      <c r="C697" s="96"/>
      <c r="D697" s="96"/>
      <c r="E697" s="96"/>
    </row>
    <row r="698">
      <c r="B698" s="95"/>
      <c r="C698" s="96"/>
      <c r="D698" s="96"/>
      <c r="E698" s="96"/>
    </row>
    <row r="699">
      <c r="B699" s="95"/>
      <c r="C699" s="96"/>
      <c r="D699" s="96"/>
      <c r="E699" s="96"/>
    </row>
    <row r="700">
      <c r="B700" s="95"/>
      <c r="C700" s="96"/>
      <c r="D700" s="96"/>
      <c r="E700" s="96"/>
    </row>
    <row r="701">
      <c r="B701" s="95"/>
      <c r="C701" s="96"/>
      <c r="D701" s="96"/>
      <c r="E701" s="96"/>
    </row>
    <row r="702">
      <c r="B702" s="95"/>
      <c r="C702" s="96"/>
      <c r="D702" s="96"/>
      <c r="E702" s="96"/>
    </row>
    <row r="703">
      <c r="B703" s="95"/>
      <c r="C703" s="96"/>
      <c r="D703" s="96"/>
      <c r="E703" s="96"/>
    </row>
    <row r="704">
      <c r="B704" s="95"/>
      <c r="C704" s="96"/>
      <c r="D704" s="96"/>
      <c r="E704" s="96"/>
    </row>
    <row r="705">
      <c r="B705" s="95"/>
      <c r="C705" s="96"/>
      <c r="D705" s="96"/>
      <c r="E705" s="96"/>
    </row>
    <row r="706">
      <c r="B706" s="95"/>
      <c r="C706" s="96"/>
      <c r="D706" s="96"/>
      <c r="E706" s="96"/>
    </row>
    <row r="707">
      <c r="B707" s="95"/>
      <c r="C707" s="96"/>
      <c r="D707" s="96"/>
      <c r="E707" s="96"/>
    </row>
    <row r="708">
      <c r="B708" s="95"/>
      <c r="C708" s="96"/>
      <c r="D708" s="96"/>
      <c r="E708" s="96"/>
    </row>
    <row r="709">
      <c r="B709" s="95"/>
      <c r="C709" s="96"/>
      <c r="D709" s="96"/>
      <c r="E709" s="96"/>
    </row>
    <row r="710">
      <c r="B710" s="95"/>
      <c r="C710" s="96"/>
      <c r="D710" s="96"/>
      <c r="E710" s="96"/>
    </row>
    <row r="711">
      <c r="B711" s="95"/>
      <c r="C711" s="96"/>
      <c r="D711" s="96"/>
      <c r="E711" s="96"/>
    </row>
    <row r="712">
      <c r="B712" s="95"/>
      <c r="C712" s="96"/>
      <c r="D712" s="96"/>
      <c r="E712" s="96"/>
    </row>
    <row r="713">
      <c r="B713" s="95"/>
      <c r="C713" s="96"/>
      <c r="D713" s="96"/>
      <c r="E713" s="96"/>
    </row>
    <row r="714">
      <c r="B714" s="95"/>
      <c r="C714" s="96"/>
      <c r="D714" s="96"/>
      <c r="E714" s="96"/>
    </row>
    <row r="715">
      <c r="B715" s="95"/>
      <c r="C715" s="96"/>
      <c r="D715" s="96"/>
      <c r="E715" s="96"/>
    </row>
    <row r="716">
      <c r="B716" s="95"/>
      <c r="C716" s="96"/>
      <c r="D716" s="96"/>
      <c r="E716" s="96"/>
    </row>
    <row r="717">
      <c r="B717" s="95"/>
      <c r="C717" s="96"/>
      <c r="D717" s="96"/>
      <c r="E717" s="96"/>
    </row>
    <row r="718">
      <c r="B718" s="95"/>
      <c r="C718" s="96"/>
      <c r="D718" s="96"/>
      <c r="E718" s="96"/>
    </row>
    <row r="719">
      <c r="B719" s="95"/>
      <c r="C719" s="96"/>
      <c r="D719" s="96"/>
      <c r="E719" s="96"/>
    </row>
    <row r="720">
      <c r="B720" s="95"/>
      <c r="C720" s="96"/>
      <c r="D720" s="96"/>
      <c r="E720" s="96"/>
    </row>
    <row r="721">
      <c r="B721" s="95"/>
      <c r="C721" s="96"/>
      <c r="D721" s="96"/>
      <c r="E721" s="96"/>
    </row>
    <row r="722">
      <c r="B722" s="95"/>
      <c r="C722" s="96"/>
      <c r="D722" s="96"/>
      <c r="E722" s="96"/>
    </row>
    <row r="723">
      <c r="B723" s="95"/>
      <c r="C723" s="96"/>
      <c r="D723" s="96"/>
      <c r="E723" s="96"/>
    </row>
    <row r="724">
      <c r="B724" s="95"/>
      <c r="C724" s="96"/>
      <c r="D724" s="96"/>
      <c r="E724" s="96"/>
    </row>
    <row r="725">
      <c r="B725" s="95"/>
      <c r="C725" s="96"/>
      <c r="D725" s="96"/>
      <c r="E725" s="96"/>
    </row>
    <row r="726">
      <c r="B726" s="95"/>
      <c r="C726" s="96"/>
      <c r="D726" s="96"/>
      <c r="E726" s="96"/>
    </row>
    <row r="727">
      <c r="B727" s="95"/>
      <c r="C727" s="96"/>
      <c r="D727" s="96"/>
      <c r="E727" s="96"/>
    </row>
    <row r="728">
      <c r="B728" s="95"/>
      <c r="C728" s="96"/>
      <c r="D728" s="96"/>
      <c r="E728" s="96"/>
    </row>
    <row r="729">
      <c r="B729" s="95"/>
      <c r="C729" s="96"/>
      <c r="D729" s="96"/>
      <c r="E729" s="96"/>
    </row>
    <row r="730">
      <c r="B730" s="95"/>
      <c r="C730" s="96"/>
      <c r="D730" s="96"/>
      <c r="E730" s="96"/>
    </row>
    <row r="731">
      <c r="B731" s="95"/>
      <c r="C731" s="96"/>
      <c r="D731" s="96"/>
      <c r="E731" s="96"/>
    </row>
    <row r="732">
      <c r="B732" s="95"/>
      <c r="C732" s="96"/>
      <c r="D732" s="96"/>
      <c r="E732" s="96"/>
    </row>
    <row r="733">
      <c r="B733" s="95"/>
      <c r="C733" s="96"/>
      <c r="D733" s="96"/>
      <c r="E733" s="96"/>
    </row>
    <row r="734">
      <c r="B734" s="95"/>
      <c r="C734" s="96"/>
      <c r="D734" s="96"/>
      <c r="E734" s="96"/>
    </row>
    <row r="735">
      <c r="B735" s="95"/>
      <c r="C735" s="96"/>
      <c r="D735" s="96"/>
      <c r="E735" s="96"/>
    </row>
    <row r="736">
      <c r="B736" s="95"/>
      <c r="C736" s="96"/>
      <c r="D736" s="96"/>
      <c r="E736" s="96"/>
    </row>
    <row r="737">
      <c r="B737" s="95"/>
      <c r="C737" s="96"/>
      <c r="D737" s="96"/>
      <c r="E737" s="96"/>
    </row>
    <row r="738">
      <c r="B738" s="95"/>
      <c r="C738" s="96"/>
      <c r="D738" s="96"/>
      <c r="E738" s="96"/>
    </row>
    <row r="739">
      <c r="B739" s="95"/>
      <c r="C739" s="96"/>
      <c r="D739" s="96"/>
      <c r="E739" s="96"/>
    </row>
    <row r="740">
      <c r="B740" s="95"/>
      <c r="C740" s="96"/>
      <c r="D740" s="96"/>
      <c r="E740" s="96"/>
    </row>
    <row r="741">
      <c r="B741" s="95"/>
      <c r="C741" s="96"/>
      <c r="D741" s="96"/>
      <c r="E741" s="96"/>
    </row>
    <row r="742">
      <c r="B742" s="95"/>
      <c r="C742" s="96"/>
      <c r="D742" s="96"/>
      <c r="E742" s="96"/>
    </row>
    <row r="743">
      <c r="B743" s="95"/>
      <c r="C743" s="96"/>
      <c r="D743" s="96"/>
      <c r="E743" s="96"/>
    </row>
    <row r="744">
      <c r="B744" s="95"/>
      <c r="C744" s="96"/>
      <c r="D744" s="96"/>
      <c r="E744" s="96"/>
    </row>
    <row r="745">
      <c r="B745" s="95"/>
      <c r="C745" s="96"/>
      <c r="D745" s="96"/>
      <c r="E745" s="96"/>
    </row>
    <row r="746">
      <c r="B746" s="95"/>
      <c r="C746" s="96"/>
      <c r="D746" s="96"/>
      <c r="E746" s="96"/>
    </row>
    <row r="747">
      <c r="B747" s="95"/>
      <c r="C747" s="96"/>
      <c r="D747" s="96"/>
      <c r="E747" s="96"/>
    </row>
    <row r="748">
      <c r="B748" s="95"/>
      <c r="C748" s="96"/>
      <c r="D748" s="96"/>
      <c r="E748" s="96"/>
    </row>
    <row r="749">
      <c r="B749" s="95"/>
      <c r="C749" s="96"/>
      <c r="D749" s="96"/>
      <c r="E749" s="96"/>
    </row>
    <row r="750">
      <c r="B750" s="95"/>
      <c r="C750" s="96"/>
      <c r="D750" s="96"/>
      <c r="E750" s="96"/>
    </row>
    <row r="751">
      <c r="B751" s="95"/>
      <c r="C751" s="96"/>
      <c r="D751" s="96"/>
      <c r="E751" s="96"/>
    </row>
    <row r="752">
      <c r="B752" s="95"/>
      <c r="C752" s="96"/>
      <c r="D752" s="96"/>
      <c r="E752" s="96"/>
    </row>
    <row r="753">
      <c r="B753" s="95"/>
      <c r="C753" s="96"/>
      <c r="D753" s="96"/>
      <c r="E753" s="96"/>
    </row>
    <row r="754">
      <c r="B754" s="95"/>
      <c r="C754" s="96"/>
      <c r="D754" s="96"/>
      <c r="E754" s="96"/>
    </row>
    <row r="755">
      <c r="B755" s="95"/>
      <c r="C755" s="96"/>
      <c r="D755" s="96"/>
      <c r="E755" s="96"/>
    </row>
    <row r="756">
      <c r="B756" s="95"/>
      <c r="C756" s="96"/>
      <c r="D756" s="96"/>
      <c r="E756" s="96"/>
    </row>
    <row r="757">
      <c r="B757" s="95"/>
      <c r="C757" s="96"/>
      <c r="D757" s="96"/>
      <c r="E757" s="96"/>
    </row>
    <row r="758">
      <c r="B758" s="95"/>
      <c r="C758" s="96"/>
      <c r="D758" s="96"/>
      <c r="E758" s="96"/>
    </row>
    <row r="759">
      <c r="B759" s="95"/>
      <c r="C759" s="96"/>
      <c r="D759" s="96"/>
      <c r="E759" s="96"/>
    </row>
    <row r="760">
      <c r="B760" s="95"/>
      <c r="C760" s="96"/>
      <c r="D760" s="96"/>
      <c r="E760" s="96"/>
    </row>
    <row r="761">
      <c r="B761" s="95"/>
      <c r="C761" s="96"/>
      <c r="D761" s="96"/>
      <c r="E761" s="96"/>
    </row>
    <row r="762">
      <c r="B762" s="95"/>
      <c r="C762" s="96"/>
      <c r="D762" s="96"/>
      <c r="E762" s="96"/>
    </row>
    <row r="763">
      <c r="B763" s="95"/>
      <c r="C763" s="96"/>
      <c r="D763" s="96"/>
      <c r="E763" s="96"/>
    </row>
    <row r="764">
      <c r="B764" s="95"/>
      <c r="C764" s="96"/>
      <c r="D764" s="96"/>
      <c r="E764" s="96"/>
    </row>
    <row r="765">
      <c r="B765" s="95"/>
      <c r="C765" s="96"/>
      <c r="D765" s="96"/>
      <c r="E765" s="96"/>
    </row>
    <row r="766">
      <c r="B766" s="95"/>
      <c r="C766" s="96"/>
      <c r="D766" s="96"/>
      <c r="E766" s="96"/>
    </row>
    <row r="767">
      <c r="B767" s="95"/>
      <c r="C767" s="96"/>
      <c r="D767" s="96"/>
      <c r="E767" s="96"/>
    </row>
    <row r="768">
      <c r="B768" s="95"/>
      <c r="C768" s="96"/>
      <c r="D768" s="96"/>
      <c r="E768" s="96"/>
    </row>
    <row r="769">
      <c r="B769" s="95"/>
      <c r="C769" s="96"/>
      <c r="D769" s="96"/>
      <c r="E769" s="96"/>
    </row>
    <row r="770">
      <c r="B770" s="95"/>
      <c r="C770" s="96"/>
      <c r="D770" s="96"/>
      <c r="E770" s="96"/>
    </row>
    <row r="771">
      <c r="B771" s="95"/>
      <c r="C771" s="96"/>
      <c r="D771" s="96"/>
      <c r="E771" s="96"/>
    </row>
    <row r="772">
      <c r="B772" s="95"/>
      <c r="C772" s="96"/>
      <c r="D772" s="96"/>
      <c r="E772" s="96"/>
    </row>
    <row r="773">
      <c r="B773" s="95"/>
      <c r="C773" s="96"/>
      <c r="D773" s="96"/>
      <c r="E773" s="96"/>
    </row>
    <row r="774">
      <c r="B774" s="95"/>
      <c r="C774" s="96"/>
      <c r="D774" s="96"/>
      <c r="E774" s="96"/>
    </row>
    <row r="775">
      <c r="B775" s="95"/>
      <c r="C775" s="96"/>
      <c r="D775" s="96"/>
      <c r="E775" s="96"/>
    </row>
    <row r="776">
      <c r="B776" s="95"/>
      <c r="C776" s="96"/>
      <c r="D776" s="96"/>
      <c r="E776" s="96"/>
    </row>
    <row r="777">
      <c r="B777" s="95"/>
      <c r="C777" s="96"/>
      <c r="D777" s="96"/>
      <c r="E777" s="96"/>
    </row>
    <row r="778">
      <c r="B778" s="95"/>
      <c r="C778" s="96"/>
      <c r="D778" s="96"/>
      <c r="E778" s="96"/>
    </row>
    <row r="779">
      <c r="B779" s="95"/>
      <c r="C779" s="96"/>
      <c r="D779" s="96"/>
      <c r="E779" s="96"/>
    </row>
    <row r="780">
      <c r="B780" s="95"/>
      <c r="C780" s="96"/>
      <c r="D780" s="96"/>
      <c r="E780" s="96"/>
    </row>
    <row r="781">
      <c r="B781" s="95"/>
      <c r="C781" s="96"/>
      <c r="D781" s="96"/>
      <c r="E781" s="96"/>
    </row>
    <row r="782">
      <c r="B782" s="95"/>
      <c r="C782" s="96"/>
      <c r="D782" s="96"/>
      <c r="E782" s="96"/>
    </row>
    <row r="783">
      <c r="B783" s="95"/>
      <c r="C783" s="96"/>
      <c r="D783" s="96"/>
      <c r="E783" s="96"/>
    </row>
    <row r="784">
      <c r="B784" s="95"/>
      <c r="C784" s="96"/>
      <c r="D784" s="96"/>
      <c r="E784" s="96"/>
    </row>
    <row r="785">
      <c r="B785" s="95"/>
      <c r="C785" s="96"/>
      <c r="D785" s="96"/>
      <c r="E785" s="96"/>
    </row>
    <row r="786">
      <c r="B786" s="95"/>
      <c r="C786" s="96"/>
      <c r="D786" s="96"/>
      <c r="E786" s="96"/>
    </row>
    <row r="787">
      <c r="B787" s="95"/>
      <c r="C787" s="96"/>
      <c r="D787" s="96"/>
      <c r="E787" s="96"/>
    </row>
    <row r="788">
      <c r="B788" s="95"/>
      <c r="C788" s="96"/>
      <c r="D788" s="96"/>
      <c r="E788" s="96"/>
    </row>
    <row r="789">
      <c r="B789" s="95"/>
      <c r="C789" s="96"/>
      <c r="D789" s="96"/>
      <c r="E789" s="96"/>
    </row>
    <row r="790">
      <c r="B790" s="95"/>
      <c r="C790" s="96"/>
      <c r="D790" s="96"/>
      <c r="E790" s="96"/>
    </row>
    <row r="791">
      <c r="B791" s="95"/>
      <c r="C791" s="96"/>
      <c r="D791" s="96"/>
      <c r="E791" s="96"/>
    </row>
    <row r="792">
      <c r="B792" s="95"/>
      <c r="C792" s="96"/>
      <c r="D792" s="96"/>
      <c r="E792" s="96"/>
    </row>
    <row r="793">
      <c r="B793" s="95"/>
      <c r="C793" s="96"/>
      <c r="D793" s="96"/>
      <c r="E793" s="96"/>
    </row>
    <row r="794">
      <c r="B794" s="95"/>
      <c r="C794" s="96"/>
      <c r="D794" s="96"/>
      <c r="E794" s="96"/>
    </row>
    <row r="795">
      <c r="B795" s="95"/>
      <c r="C795" s="96"/>
      <c r="D795" s="96"/>
      <c r="E795" s="96"/>
    </row>
    <row r="796">
      <c r="B796" s="95"/>
      <c r="C796" s="96"/>
      <c r="D796" s="96"/>
      <c r="E796" s="96"/>
    </row>
    <row r="797">
      <c r="B797" s="95"/>
      <c r="C797" s="96"/>
      <c r="D797" s="96"/>
      <c r="E797" s="96"/>
    </row>
    <row r="798">
      <c r="B798" s="95"/>
      <c r="C798" s="96"/>
      <c r="D798" s="96"/>
      <c r="E798" s="96"/>
    </row>
    <row r="799">
      <c r="B799" s="95"/>
      <c r="C799" s="96"/>
      <c r="D799" s="96"/>
      <c r="E799" s="96"/>
    </row>
    <row r="800">
      <c r="B800" s="95"/>
      <c r="C800" s="96"/>
      <c r="D800" s="96"/>
      <c r="E800" s="96"/>
    </row>
    <row r="801">
      <c r="B801" s="95"/>
      <c r="C801" s="96"/>
      <c r="D801" s="96"/>
      <c r="E801" s="96"/>
    </row>
    <row r="802">
      <c r="B802" s="95"/>
      <c r="C802" s="96"/>
      <c r="D802" s="96"/>
      <c r="E802" s="96"/>
    </row>
    <row r="803">
      <c r="B803" s="95"/>
      <c r="C803" s="96"/>
      <c r="D803" s="96"/>
      <c r="E803" s="96"/>
    </row>
    <row r="804">
      <c r="B804" s="95"/>
      <c r="C804" s="96"/>
      <c r="D804" s="96"/>
      <c r="E804" s="96"/>
    </row>
    <row r="805">
      <c r="B805" s="95"/>
      <c r="C805" s="96"/>
      <c r="D805" s="96"/>
      <c r="E805" s="96"/>
    </row>
    <row r="806">
      <c r="B806" s="95"/>
      <c r="C806" s="96"/>
      <c r="D806" s="96"/>
      <c r="E806" s="96"/>
    </row>
    <row r="807">
      <c r="B807" s="95"/>
      <c r="C807" s="96"/>
      <c r="D807" s="96"/>
      <c r="E807" s="96"/>
    </row>
    <row r="808">
      <c r="B808" s="95"/>
      <c r="C808" s="96"/>
      <c r="D808" s="96"/>
      <c r="E808" s="96"/>
    </row>
    <row r="809">
      <c r="B809" s="95"/>
      <c r="C809" s="96"/>
      <c r="D809" s="96"/>
      <c r="E809" s="96"/>
    </row>
    <row r="810">
      <c r="B810" s="95"/>
      <c r="C810" s="96"/>
      <c r="D810" s="96"/>
      <c r="E810" s="96"/>
    </row>
    <row r="811">
      <c r="B811" s="95"/>
      <c r="C811" s="96"/>
      <c r="D811" s="96"/>
      <c r="E811" s="96"/>
    </row>
    <row r="812">
      <c r="B812" s="95"/>
      <c r="C812" s="96"/>
      <c r="D812" s="96"/>
      <c r="E812" s="96"/>
    </row>
    <row r="813">
      <c r="B813" s="95"/>
      <c r="C813" s="96"/>
      <c r="D813" s="96"/>
      <c r="E813" s="96"/>
    </row>
    <row r="814">
      <c r="B814" s="95"/>
      <c r="C814" s="96"/>
      <c r="D814" s="96"/>
      <c r="E814" s="96"/>
    </row>
    <row r="815">
      <c r="B815" s="95"/>
      <c r="C815" s="96"/>
      <c r="D815" s="96"/>
      <c r="E815" s="96"/>
    </row>
    <row r="816">
      <c r="B816" s="95"/>
      <c r="C816" s="96"/>
      <c r="D816" s="96"/>
      <c r="E816" s="96"/>
    </row>
    <row r="817">
      <c r="B817" s="95"/>
      <c r="C817" s="96"/>
      <c r="D817" s="96"/>
      <c r="E817" s="96"/>
    </row>
    <row r="818">
      <c r="B818" s="95"/>
      <c r="C818" s="96"/>
      <c r="D818" s="96"/>
      <c r="E818" s="96"/>
    </row>
    <row r="819">
      <c r="B819" s="95"/>
      <c r="C819" s="96"/>
      <c r="D819" s="96"/>
      <c r="E819" s="96"/>
    </row>
    <row r="820">
      <c r="B820" s="95"/>
      <c r="C820" s="96"/>
      <c r="D820" s="96"/>
      <c r="E820" s="96"/>
    </row>
    <row r="821">
      <c r="B821" s="95"/>
      <c r="C821" s="96"/>
      <c r="D821" s="96"/>
      <c r="E821" s="96"/>
    </row>
    <row r="822">
      <c r="B822" s="95"/>
      <c r="C822" s="96"/>
      <c r="D822" s="96"/>
      <c r="E822" s="96"/>
    </row>
    <row r="823">
      <c r="B823" s="95"/>
      <c r="C823" s="96"/>
      <c r="D823" s="96"/>
      <c r="E823" s="96"/>
    </row>
    <row r="824">
      <c r="B824" s="95"/>
      <c r="C824" s="96"/>
      <c r="D824" s="96"/>
      <c r="E824" s="96"/>
    </row>
    <row r="825">
      <c r="B825" s="95"/>
      <c r="C825" s="96"/>
      <c r="D825" s="96"/>
      <c r="E825" s="96"/>
    </row>
    <row r="826">
      <c r="B826" s="95"/>
      <c r="C826" s="96"/>
      <c r="D826" s="96"/>
      <c r="E826" s="96"/>
    </row>
    <row r="827">
      <c r="B827" s="95"/>
      <c r="C827" s="96"/>
      <c r="D827" s="96"/>
      <c r="E827" s="96"/>
    </row>
    <row r="828">
      <c r="B828" s="95"/>
      <c r="C828" s="96"/>
      <c r="D828" s="96"/>
      <c r="E828" s="96"/>
    </row>
    <row r="829">
      <c r="B829" s="95"/>
      <c r="C829" s="96"/>
      <c r="D829" s="96"/>
      <c r="E829" s="96"/>
    </row>
    <row r="830">
      <c r="B830" s="95"/>
      <c r="C830" s="96"/>
      <c r="D830" s="96"/>
      <c r="E830" s="96"/>
    </row>
    <row r="831">
      <c r="B831" s="95"/>
      <c r="C831" s="96"/>
      <c r="D831" s="96"/>
      <c r="E831" s="96"/>
    </row>
    <row r="832">
      <c r="B832" s="95"/>
      <c r="C832" s="96"/>
      <c r="D832" s="96"/>
      <c r="E832" s="96"/>
    </row>
    <row r="833">
      <c r="B833" s="95"/>
      <c r="C833" s="96"/>
      <c r="D833" s="96"/>
      <c r="E833" s="96"/>
    </row>
    <row r="834">
      <c r="B834" s="95"/>
      <c r="C834" s="96"/>
      <c r="D834" s="96"/>
      <c r="E834" s="96"/>
    </row>
    <row r="835">
      <c r="B835" s="95"/>
      <c r="C835" s="96"/>
      <c r="D835" s="96"/>
      <c r="E835" s="96"/>
    </row>
    <row r="836">
      <c r="B836" s="95"/>
      <c r="C836" s="96"/>
      <c r="D836" s="96"/>
      <c r="E836" s="96"/>
    </row>
    <row r="837">
      <c r="B837" s="95"/>
      <c r="C837" s="96"/>
      <c r="D837" s="96"/>
      <c r="E837" s="96"/>
    </row>
    <row r="838">
      <c r="B838" s="95"/>
      <c r="C838" s="96"/>
      <c r="D838" s="96"/>
      <c r="E838" s="96"/>
    </row>
    <row r="839">
      <c r="B839" s="95"/>
      <c r="C839" s="96"/>
      <c r="D839" s="96"/>
      <c r="E839" s="96"/>
    </row>
    <row r="840">
      <c r="B840" s="95"/>
      <c r="C840" s="96"/>
      <c r="D840" s="96"/>
      <c r="E840" s="96"/>
    </row>
    <row r="841">
      <c r="B841" s="95"/>
      <c r="C841" s="96"/>
      <c r="D841" s="96"/>
      <c r="E841" s="96"/>
    </row>
    <row r="842">
      <c r="B842" s="95"/>
      <c r="C842" s="96"/>
      <c r="D842" s="96"/>
      <c r="E842" s="96"/>
    </row>
    <row r="843">
      <c r="B843" s="95"/>
      <c r="C843" s="96"/>
      <c r="D843" s="96"/>
      <c r="E843" s="96"/>
    </row>
    <row r="844">
      <c r="B844" s="95"/>
      <c r="C844" s="96"/>
      <c r="D844" s="96"/>
      <c r="E844" s="96"/>
    </row>
    <row r="845">
      <c r="B845" s="95"/>
      <c r="C845" s="96"/>
      <c r="D845" s="96"/>
      <c r="E845" s="96"/>
    </row>
    <row r="846">
      <c r="B846" s="95"/>
      <c r="C846" s="96"/>
      <c r="D846" s="96"/>
      <c r="E846" s="96"/>
    </row>
    <row r="847">
      <c r="B847" s="95"/>
      <c r="C847" s="96"/>
      <c r="D847" s="96"/>
      <c r="E847" s="96"/>
    </row>
    <row r="848">
      <c r="B848" s="95"/>
      <c r="C848" s="96"/>
      <c r="D848" s="96"/>
      <c r="E848" s="96"/>
    </row>
    <row r="849">
      <c r="B849" s="95"/>
      <c r="C849" s="96"/>
      <c r="D849" s="96"/>
      <c r="E849" s="96"/>
    </row>
    <row r="850">
      <c r="B850" s="95"/>
      <c r="C850" s="96"/>
      <c r="D850" s="96"/>
      <c r="E850" s="96"/>
    </row>
    <row r="851">
      <c r="B851" s="95"/>
      <c r="C851" s="96"/>
      <c r="D851" s="96"/>
      <c r="E851" s="96"/>
    </row>
    <row r="852">
      <c r="B852" s="95"/>
      <c r="C852" s="96"/>
      <c r="D852" s="96"/>
      <c r="E852" s="96"/>
    </row>
    <row r="853">
      <c r="B853" s="95"/>
      <c r="C853" s="96"/>
      <c r="D853" s="96"/>
      <c r="E853" s="96"/>
    </row>
    <row r="854">
      <c r="B854" s="95"/>
      <c r="C854" s="96"/>
      <c r="D854" s="96"/>
      <c r="E854" s="96"/>
    </row>
    <row r="855">
      <c r="B855" s="95"/>
      <c r="C855" s="96"/>
      <c r="D855" s="96"/>
      <c r="E855" s="96"/>
    </row>
    <row r="856">
      <c r="B856" s="95"/>
      <c r="C856" s="96"/>
      <c r="D856" s="96"/>
      <c r="E856" s="96"/>
    </row>
    <row r="857">
      <c r="B857" s="95"/>
      <c r="C857" s="96"/>
      <c r="D857" s="96"/>
      <c r="E857" s="96"/>
    </row>
    <row r="858">
      <c r="B858" s="95"/>
      <c r="C858" s="96"/>
      <c r="D858" s="96"/>
      <c r="E858" s="96"/>
    </row>
    <row r="859">
      <c r="B859" s="95"/>
      <c r="C859" s="96"/>
      <c r="D859" s="96"/>
      <c r="E859" s="96"/>
    </row>
    <row r="860">
      <c r="B860" s="95"/>
      <c r="C860" s="96"/>
      <c r="D860" s="96"/>
      <c r="E860" s="96"/>
    </row>
    <row r="861">
      <c r="B861" s="95"/>
      <c r="C861" s="96"/>
      <c r="D861" s="96"/>
      <c r="E861" s="96"/>
    </row>
    <row r="862">
      <c r="B862" s="95"/>
      <c r="C862" s="96"/>
      <c r="D862" s="96"/>
      <c r="E862" s="96"/>
    </row>
    <row r="863">
      <c r="B863" s="95"/>
      <c r="C863" s="96"/>
      <c r="D863" s="96"/>
      <c r="E863" s="96"/>
    </row>
    <row r="864">
      <c r="B864" s="95"/>
      <c r="C864" s="96"/>
      <c r="D864" s="96"/>
      <c r="E864" s="96"/>
    </row>
    <row r="865">
      <c r="B865" s="95"/>
      <c r="C865" s="96"/>
      <c r="D865" s="96"/>
      <c r="E865" s="96"/>
    </row>
    <row r="866">
      <c r="B866" s="95"/>
      <c r="C866" s="96"/>
      <c r="D866" s="96"/>
      <c r="E866" s="96"/>
    </row>
    <row r="867">
      <c r="B867" s="95"/>
      <c r="C867" s="96"/>
      <c r="D867" s="96"/>
      <c r="E867" s="96"/>
    </row>
    <row r="868">
      <c r="B868" s="95"/>
      <c r="C868" s="96"/>
      <c r="D868" s="96"/>
      <c r="E868" s="96"/>
    </row>
    <row r="869">
      <c r="B869" s="95"/>
      <c r="C869" s="96"/>
      <c r="D869" s="96"/>
      <c r="E869" s="96"/>
    </row>
    <row r="870">
      <c r="B870" s="95"/>
      <c r="C870" s="96"/>
      <c r="D870" s="96"/>
      <c r="E870" s="96"/>
    </row>
    <row r="871">
      <c r="B871" s="95"/>
      <c r="C871" s="96"/>
      <c r="D871" s="96"/>
      <c r="E871" s="96"/>
    </row>
    <row r="872">
      <c r="B872" s="95"/>
      <c r="C872" s="96"/>
      <c r="D872" s="96"/>
      <c r="E872" s="96"/>
    </row>
    <row r="873">
      <c r="B873" s="95"/>
      <c r="C873" s="96"/>
      <c r="D873" s="96"/>
      <c r="E873" s="96"/>
    </row>
    <row r="874">
      <c r="B874" s="95"/>
      <c r="C874" s="96"/>
      <c r="D874" s="96"/>
      <c r="E874" s="96"/>
    </row>
    <row r="875">
      <c r="B875" s="95"/>
      <c r="C875" s="96"/>
      <c r="D875" s="96"/>
      <c r="E875" s="96"/>
    </row>
    <row r="876">
      <c r="B876" s="95"/>
      <c r="C876" s="96"/>
      <c r="D876" s="96"/>
      <c r="E876" s="96"/>
    </row>
    <row r="877">
      <c r="B877" s="95"/>
      <c r="C877" s="96"/>
      <c r="D877" s="96"/>
      <c r="E877" s="96"/>
    </row>
    <row r="878">
      <c r="B878" s="95"/>
      <c r="C878" s="96"/>
      <c r="D878" s="96"/>
      <c r="E878" s="96"/>
    </row>
    <row r="879">
      <c r="B879" s="95"/>
      <c r="C879" s="96"/>
      <c r="D879" s="96"/>
      <c r="E879" s="96"/>
    </row>
    <row r="880">
      <c r="B880" s="95"/>
      <c r="C880" s="96"/>
      <c r="D880" s="96"/>
      <c r="E880" s="96"/>
    </row>
    <row r="881">
      <c r="B881" s="95"/>
      <c r="C881" s="96"/>
      <c r="D881" s="96"/>
      <c r="E881" s="96"/>
    </row>
    <row r="882">
      <c r="B882" s="95"/>
      <c r="C882" s="96"/>
      <c r="D882" s="96"/>
      <c r="E882" s="96"/>
    </row>
    <row r="883">
      <c r="B883" s="95"/>
      <c r="C883" s="96"/>
      <c r="D883" s="96"/>
      <c r="E883" s="96"/>
    </row>
    <row r="884">
      <c r="B884" s="95"/>
      <c r="C884" s="96"/>
      <c r="D884" s="96"/>
      <c r="E884" s="96"/>
    </row>
    <row r="885">
      <c r="B885" s="95"/>
      <c r="C885" s="96"/>
      <c r="D885" s="96"/>
      <c r="E885" s="96"/>
    </row>
    <row r="886">
      <c r="B886" s="95"/>
      <c r="C886" s="96"/>
      <c r="D886" s="96"/>
      <c r="E886" s="96"/>
    </row>
    <row r="887">
      <c r="B887" s="95"/>
      <c r="C887" s="96"/>
      <c r="D887" s="96"/>
      <c r="E887" s="96"/>
    </row>
    <row r="888">
      <c r="B888" s="95"/>
      <c r="C888" s="96"/>
      <c r="D888" s="96"/>
      <c r="E888" s="96"/>
    </row>
    <row r="889">
      <c r="B889" s="95"/>
      <c r="C889" s="96"/>
      <c r="D889" s="96"/>
      <c r="E889" s="96"/>
    </row>
    <row r="890">
      <c r="B890" s="95"/>
      <c r="C890" s="96"/>
      <c r="D890" s="96"/>
      <c r="E890" s="96"/>
    </row>
    <row r="891">
      <c r="B891" s="95"/>
      <c r="C891" s="96"/>
      <c r="D891" s="96"/>
      <c r="E891" s="96"/>
    </row>
    <row r="892">
      <c r="B892" s="95"/>
      <c r="C892" s="96"/>
      <c r="D892" s="96"/>
      <c r="E892" s="96"/>
    </row>
    <row r="893">
      <c r="B893" s="95"/>
      <c r="C893" s="96"/>
      <c r="D893" s="96"/>
      <c r="E893" s="96"/>
    </row>
    <row r="894">
      <c r="B894" s="95"/>
      <c r="C894" s="96"/>
      <c r="D894" s="96"/>
      <c r="E894" s="96"/>
    </row>
    <row r="895">
      <c r="B895" s="95"/>
      <c r="C895" s="96"/>
      <c r="D895" s="96"/>
      <c r="E895" s="96"/>
    </row>
    <row r="896">
      <c r="B896" s="95"/>
      <c r="C896" s="96"/>
      <c r="D896" s="96"/>
      <c r="E896" s="96"/>
    </row>
    <row r="897">
      <c r="B897" s="95"/>
      <c r="C897" s="96"/>
      <c r="D897" s="96"/>
      <c r="E897" s="96"/>
    </row>
    <row r="898">
      <c r="B898" s="95"/>
      <c r="C898" s="96"/>
      <c r="D898" s="96"/>
      <c r="E898" s="96"/>
    </row>
    <row r="899">
      <c r="B899" s="95"/>
      <c r="C899" s="96"/>
      <c r="D899" s="96"/>
      <c r="E899" s="96"/>
    </row>
    <row r="900">
      <c r="B900" s="95"/>
      <c r="C900" s="96"/>
      <c r="D900" s="96"/>
      <c r="E900" s="96"/>
    </row>
    <row r="901">
      <c r="B901" s="95"/>
      <c r="C901" s="96"/>
      <c r="D901" s="96"/>
      <c r="E901" s="96"/>
    </row>
    <row r="902">
      <c r="B902" s="95"/>
      <c r="C902" s="96"/>
      <c r="D902" s="96"/>
      <c r="E902" s="96"/>
    </row>
    <row r="903">
      <c r="B903" s="95"/>
      <c r="C903" s="96"/>
      <c r="D903" s="96"/>
      <c r="E903" s="96"/>
    </row>
    <row r="904">
      <c r="B904" s="95"/>
      <c r="C904" s="96"/>
      <c r="D904" s="96"/>
      <c r="E904" s="96"/>
    </row>
    <row r="905">
      <c r="B905" s="95"/>
      <c r="C905" s="96"/>
      <c r="D905" s="96"/>
      <c r="E905" s="96"/>
    </row>
    <row r="906">
      <c r="B906" s="95"/>
      <c r="C906" s="96"/>
      <c r="D906" s="96"/>
      <c r="E906" s="96"/>
    </row>
    <row r="907">
      <c r="B907" s="95"/>
      <c r="C907" s="96"/>
      <c r="D907" s="96"/>
      <c r="E907" s="96"/>
    </row>
    <row r="908">
      <c r="B908" s="95"/>
      <c r="C908" s="96"/>
      <c r="D908" s="96"/>
      <c r="E908" s="96"/>
    </row>
    <row r="909">
      <c r="B909" s="95"/>
      <c r="C909" s="96"/>
      <c r="D909" s="96"/>
      <c r="E909" s="96"/>
    </row>
    <row r="910">
      <c r="B910" s="95"/>
      <c r="C910" s="96"/>
      <c r="D910" s="96"/>
      <c r="E910" s="96"/>
    </row>
    <row r="911">
      <c r="B911" s="95"/>
      <c r="C911" s="96"/>
      <c r="D911" s="96"/>
      <c r="E911" s="96"/>
    </row>
    <row r="912">
      <c r="B912" s="95"/>
      <c r="C912" s="96"/>
      <c r="D912" s="96"/>
      <c r="E912" s="96"/>
    </row>
    <row r="913">
      <c r="B913" s="95"/>
      <c r="C913" s="96"/>
      <c r="D913" s="96"/>
      <c r="E913" s="96"/>
    </row>
    <row r="914">
      <c r="B914" s="95"/>
      <c r="C914" s="96"/>
      <c r="D914" s="96"/>
      <c r="E914" s="96"/>
    </row>
    <row r="915">
      <c r="B915" s="95"/>
      <c r="C915" s="96"/>
      <c r="D915" s="96"/>
      <c r="E915" s="96"/>
    </row>
    <row r="916">
      <c r="B916" s="95"/>
      <c r="C916" s="96"/>
      <c r="D916" s="96"/>
      <c r="E916" s="96"/>
    </row>
    <row r="917">
      <c r="B917" s="95"/>
      <c r="C917" s="96"/>
      <c r="D917" s="96"/>
      <c r="E917" s="96"/>
    </row>
    <row r="918">
      <c r="B918" s="95"/>
      <c r="C918" s="96"/>
      <c r="D918" s="96"/>
      <c r="E918" s="96"/>
    </row>
    <row r="919">
      <c r="B919" s="95"/>
      <c r="C919" s="96"/>
      <c r="D919" s="96"/>
      <c r="E919" s="96"/>
    </row>
    <row r="920">
      <c r="B920" s="95"/>
      <c r="C920" s="96"/>
      <c r="D920" s="96"/>
      <c r="E920" s="96"/>
    </row>
    <row r="921">
      <c r="B921" s="95"/>
      <c r="C921" s="96"/>
      <c r="D921" s="96"/>
      <c r="E921" s="96"/>
    </row>
    <row r="922">
      <c r="B922" s="95"/>
      <c r="C922" s="96"/>
      <c r="D922" s="96"/>
      <c r="E922" s="96"/>
    </row>
    <row r="923">
      <c r="B923" s="95"/>
      <c r="C923" s="96"/>
      <c r="D923" s="96"/>
      <c r="E923" s="96"/>
    </row>
    <row r="924">
      <c r="B924" s="95"/>
      <c r="C924" s="96"/>
      <c r="D924" s="96"/>
      <c r="E924" s="96"/>
    </row>
    <row r="925">
      <c r="B925" s="95"/>
      <c r="C925" s="96"/>
      <c r="D925" s="96"/>
      <c r="E925" s="96"/>
    </row>
    <row r="926">
      <c r="B926" s="95"/>
      <c r="C926" s="96"/>
      <c r="D926" s="96"/>
      <c r="E926" s="96"/>
    </row>
    <row r="927">
      <c r="B927" s="95"/>
      <c r="C927" s="96"/>
      <c r="D927" s="96"/>
      <c r="E927" s="96"/>
    </row>
    <row r="928">
      <c r="B928" s="95"/>
      <c r="C928" s="96"/>
      <c r="D928" s="96"/>
      <c r="E928" s="96"/>
    </row>
    <row r="929">
      <c r="B929" s="95"/>
      <c r="C929" s="96"/>
      <c r="D929" s="96"/>
      <c r="E929" s="96"/>
    </row>
    <row r="930">
      <c r="B930" s="95"/>
      <c r="C930" s="96"/>
      <c r="D930" s="96"/>
      <c r="E930" s="96"/>
    </row>
    <row r="931">
      <c r="B931" s="95"/>
      <c r="C931" s="96"/>
      <c r="D931" s="96"/>
      <c r="E931" s="96"/>
    </row>
    <row r="932">
      <c r="B932" s="95"/>
      <c r="C932" s="96"/>
      <c r="D932" s="96"/>
      <c r="E932" s="96"/>
    </row>
    <row r="933">
      <c r="B933" s="95"/>
      <c r="C933" s="96"/>
      <c r="D933" s="96"/>
      <c r="E933" s="96"/>
    </row>
    <row r="934">
      <c r="B934" s="95"/>
      <c r="C934" s="96"/>
      <c r="D934" s="96"/>
      <c r="E934" s="96"/>
    </row>
    <row r="935">
      <c r="B935" s="95"/>
      <c r="C935" s="96"/>
      <c r="D935" s="96"/>
      <c r="E935" s="96"/>
    </row>
    <row r="936">
      <c r="B936" s="95"/>
      <c r="C936" s="96"/>
      <c r="D936" s="96"/>
      <c r="E936" s="96"/>
    </row>
    <row r="937">
      <c r="B937" s="95"/>
      <c r="C937" s="96"/>
      <c r="D937" s="96"/>
      <c r="E937" s="96"/>
    </row>
    <row r="938">
      <c r="B938" s="95"/>
      <c r="C938" s="96"/>
      <c r="D938" s="96"/>
      <c r="E938" s="96"/>
    </row>
    <row r="939">
      <c r="B939" s="95"/>
      <c r="C939" s="96"/>
      <c r="D939" s="96"/>
      <c r="E939" s="96"/>
    </row>
    <row r="940">
      <c r="B940" s="95"/>
      <c r="C940" s="96"/>
      <c r="D940" s="96"/>
      <c r="E940" s="96"/>
    </row>
    <row r="941">
      <c r="B941" s="95"/>
      <c r="C941" s="96"/>
      <c r="D941" s="96"/>
      <c r="E941" s="96"/>
    </row>
    <row r="942">
      <c r="B942" s="95"/>
      <c r="C942" s="96"/>
      <c r="D942" s="96"/>
      <c r="E942" s="96"/>
    </row>
    <row r="943">
      <c r="B943" s="95"/>
      <c r="C943" s="96"/>
      <c r="D943" s="96"/>
      <c r="E943" s="96"/>
    </row>
    <row r="944">
      <c r="B944" s="95"/>
      <c r="C944" s="96"/>
      <c r="D944" s="96"/>
      <c r="E944" s="96"/>
    </row>
    <row r="945">
      <c r="B945" s="95"/>
      <c r="C945" s="96"/>
      <c r="D945" s="96"/>
      <c r="E945" s="96"/>
    </row>
    <row r="946">
      <c r="B946" s="95"/>
      <c r="C946" s="96"/>
      <c r="D946" s="96"/>
      <c r="E946" s="96"/>
    </row>
    <row r="947">
      <c r="B947" s="95"/>
      <c r="C947" s="96"/>
      <c r="D947" s="96"/>
      <c r="E947" s="96"/>
    </row>
    <row r="948">
      <c r="B948" s="95"/>
      <c r="C948" s="96"/>
      <c r="D948" s="96"/>
      <c r="E948" s="96"/>
    </row>
    <row r="949">
      <c r="B949" s="95"/>
      <c r="C949" s="96"/>
      <c r="D949" s="96"/>
      <c r="E949" s="96"/>
    </row>
    <row r="950">
      <c r="B950" s="95"/>
      <c r="C950" s="96"/>
      <c r="D950" s="96"/>
      <c r="E950" s="96"/>
    </row>
    <row r="951">
      <c r="B951" s="95"/>
      <c r="C951" s="96"/>
      <c r="D951" s="96"/>
      <c r="E951" s="96"/>
    </row>
    <row r="952">
      <c r="B952" s="95"/>
      <c r="C952" s="96"/>
      <c r="D952" s="96"/>
      <c r="E952" s="96"/>
    </row>
    <row r="953">
      <c r="B953" s="95"/>
      <c r="C953" s="96"/>
      <c r="D953" s="96"/>
      <c r="E953" s="96"/>
    </row>
    <row r="954">
      <c r="B954" s="95"/>
      <c r="C954" s="96"/>
      <c r="D954" s="96"/>
      <c r="E954" s="96"/>
    </row>
    <row r="955">
      <c r="B955" s="95"/>
      <c r="C955" s="96"/>
      <c r="D955" s="96"/>
      <c r="E955" s="96"/>
    </row>
    <row r="956">
      <c r="B956" s="95"/>
      <c r="C956" s="96"/>
      <c r="D956" s="96"/>
      <c r="E956" s="96"/>
    </row>
    <row r="957">
      <c r="B957" s="95"/>
      <c r="C957" s="96"/>
      <c r="D957" s="96"/>
      <c r="E957" s="96"/>
    </row>
    <row r="958">
      <c r="B958" s="95"/>
      <c r="C958" s="96"/>
      <c r="D958" s="96"/>
      <c r="E958" s="96"/>
    </row>
    <row r="959">
      <c r="B959" s="95"/>
      <c r="C959" s="96"/>
      <c r="D959" s="96"/>
      <c r="E959" s="96"/>
    </row>
    <row r="960">
      <c r="B960" s="95"/>
      <c r="C960" s="96"/>
      <c r="D960" s="96"/>
      <c r="E960" s="96"/>
    </row>
    <row r="961">
      <c r="B961" s="95"/>
      <c r="C961" s="96"/>
      <c r="D961" s="96"/>
      <c r="E961" s="96"/>
    </row>
    <row r="962">
      <c r="B962" s="95"/>
      <c r="C962" s="96"/>
      <c r="D962" s="96"/>
      <c r="E962" s="96"/>
    </row>
    <row r="963">
      <c r="B963" s="95"/>
      <c r="C963" s="96"/>
      <c r="D963" s="96"/>
      <c r="E963" s="96"/>
    </row>
    <row r="964">
      <c r="B964" s="95"/>
      <c r="C964" s="96"/>
      <c r="D964" s="96"/>
      <c r="E964" s="96"/>
    </row>
    <row r="965">
      <c r="B965" s="95"/>
      <c r="C965" s="96"/>
      <c r="D965" s="96"/>
      <c r="E965" s="96"/>
    </row>
    <row r="966">
      <c r="B966" s="95"/>
      <c r="C966" s="96"/>
      <c r="D966" s="96"/>
      <c r="E966" s="96"/>
    </row>
    <row r="967">
      <c r="B967" s="95"/>
      <c r="C967" s="96"/>
      <c r="D967" s="96"/>
      <c r="E967" s="96"/>
    </row>
    <row r="968">
      <c r="B968" s="95"/>
      <c r="C968" s="96"/>
      <c r="D968" s="96"/>
      <c r="E968" s="96"/>
    </row>
    <row r="969">
      <c r="B969" s="95"/>
      <c r="C969" s="96"/>
      <c r="D969" s="96"/>
      <c r="E969" s="96"/>
    </row>
    <row r="970">
      <c r="B970" s="95"/>
      <c r="C970" s="96"/>
      <c r="D970" s="96"/>
      <c r="E970" s="96"/>
    </row>
    <row r="971">
      <c r="B971" s="95"/>
      <c r="C971" s="96"/>
      <c r="D971" s="96"/>
      <c r="E971" s="96"/>
    </row>
    <row r="972">
      <c r="B972" s="95"/>
      <c r="C972" s="96"/>
      <c r="D972" s="96"/>
      <c r="E972" s="96"/>
    </row>
    <row r="973">
      <c r="B973" s="95"/>
      <c r="C973" s="96"/>
      <c r="D973" s="96"/>
      <c r="E973" s="96"/>
    </row>
    <row r="974">
      <c r="B974" s="95"/>
      <c r="C974" s="96"/>
      <c r="D974" s="96"/>
      <c r="E974" s="96"/>
    </row>
    <row r="975">
      <c r="B975" s="95"/>
      <c r="C975" s="96"/>
      <c r="D975" s="96"/>
      <c r="E975" s="96"/>
    </row>
    <row r="976">
      <c r="B976" s="95"/>
      <c r="C976" s="96"/>
      <c r="D976" s="96"/>
      <c r="E976" s="96"/>
    </row>
    <row r="977">
      <c r="B977" s="95"/>
      <c r="C977" s="96"/>
      <c r="D977" s="96"/>
      <c r="E977" s="96"/>
    </row>
    <row r="978">
      <c r="B978" s="95"/>
      <c r="C978" s="96"/>
      <c r="D978" s="96"/>
      <c r="E978" s="96"/>
    </row>
    <row r="979">
      <c r="B979" s="95"/>
      <c r="C979" s="96"/>
      <c r="D979" s="96"/>
      <c r="E979" s="96"/>
    </row>
    <row r="980">
      <c r="B980" s="95"/>
      <c r="C980" s="96"/>
      <c r="D980" s="96"/>
      <c r="E980" s="96"/>
    </row>
    <row r="981">
      <c r="B981" s="95"/>
      <c r="C981" s="96"/>
      <c r="D981" s="96"/>
      <c r="E981" s="96"/>
    </row>
    <row r="982">
      <c r="B982" s="95"/>
      <c r="C982" s="96"/>
      <c r="D982" s="96"/>
      <c r="E982" s="96"/>
    </row>
    <row r="983">
      <c r="B983" s="95"/>
      <c r="C983" s="96"/>
      <c r="D983" s="96"/>
      <c r="E983" s="96"/>
    </row>
    <row r="984">
      <c r="B984" s="95"/>
      <c r="C984" s="96"/>
      <c r="D984" s="96"/>
      <c r="E984" s="96"/>
    </row>
    <row r="985">
      <c r="B985" s="95"/>
      <c r="C985" s="96"/>
      <c r="D985" s="96"/>
      <c r="E985" s="96"/>
    </row>
    <row r="986">
      <c r="B986" s="95"/>
      <c r="C986" s="96"/>
      <c r="D986" s="96"/>
      <c r="E986" s="96"/>
    </row>
    <row r="987">
      <c r="B987" s="95"/>
      <c r="C987" s="96"/>
      <c r="D987" s="96"/>
      <c r="E987" s="96"/>
    </row>
    <row r="988">
      <c r="B988" s="95"/>
      <c r="C988" s="96"/>
      <c r="D988" s="96"/>
      <c r="E988" s="96"/>
    </row>
    <row r="989">
      <c r="B989" s="95"/>
      <c r="C989" s="96"/>
      <c r="D989" s="96"/>
      <c r="E989" s="96"/>
    </row>
    <row r="990">
      <c r="B990" s="95"/>
      <c r="C990" s="96"/>
      <c r="D990" s="96"/>
      <c r="E990" s="96"/>
    </row>
    <row r="991">
      <c r="B991" s="95"/>
      <c r="C991" s="96"/>
      <c r="D991" s="96"/>
      <c r="E991" s="96"/>
    </row>
    <row r="992">
      <c r="B992" s="95"/>
      <c r="C992" s="96"/>
      <c r="D992" s="96"/>
      <c r="E992" s="96"/>
    </row>
    <row r="993">
      <c r="B993" s="95"/>
      <c r="C993" s="96"/>
      <c r="D993" s="96"/>
      <c r="E993" s="96"/>
    </row>
    <row r="994">
      <c r="B994" s="95"/>
      <c r="C994" s="96"/>
      <c r="D994" s="96"/>
      <c r="E994" s="96"/>
    </row>
    <row r="995">
      <c r="B995" s="95"/>
      <c r="C995" s="96"/>
      <c r="D995" s="96"/>
      <c r="E995" s="96"/>
    </row>
    <row r="996">
      <c r="B996" s="95"/>
      <c r="C996" s="96"/>
      <c r="D996" s="96"/>
      <c r="E996" s="96"/>
    </row>
    <row r="997">
      <c r="B997" s="95"/>
      <c r="C997" s="96"/>
      <c r="D997" s="96"/>
      <c r="E997" s="96"/>
    </row>
    <row r="998">
      <c r="B998" s="95"/>
      <c r="C998" s="96"/>
      <c r="D998" s="96"/>
      <c r="E998" s="96"/>
    </row>
    <row r="999">
      <c r="B999" s="95"/>
      <c r="C999" s="96"/>
      <c r="D999" s="96"/>
      <c r="E999" s="96"/>
    </row>
    <row r="1000">
      <c r="B1000" s="95"/>
      <c r="C1000" s="96"/>
      <c r="D1000" s="96"/>
      <c r="E1000" s="96"/>
    </row>
  </sheetData>
  <dataValidations>
    <dataValidation type="list" allowBlank="1" sqref="B2:B1000">
      <formula1>Team!$B$2:$B1000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44.63"/>
    <col customWidth="1" min="4" max="4" width="16.5"/>
    <col customWidth="1" min="5" max="5" width="27.5"/>
    <col customWidth="1" min="7" max="7" width="37.63"/>
    <col customWidth="1" min="9" max="9" width="22.38"/>
  </cols>
  <sheetData>
    <row r="1">
      <c r="A1" s="100"/>
      <c r="B1" s="100"/>
      <c r="C1" s="101"/>
      <c r="D1" s="101"/>
      <c r="E1" s="101"/>
      <c r="F1" s="101"/>
      <c r="G1" s="101"/>
      <c r="H1" s="101"/>
      <c r="I1" s="101"/>
      <c r="J1" s="101"/>
      <c r="K1" s="101"/>
    </row>
    <row r="2">
      <c r="A2" s="102" t="s">
        <v>225</v>
      </c>
      <c r="C2" s="101"/>
      <c r="D2" s="101"/>
      <c r="E2" s="101"/>
      <c r="F2" s="101"/>
      <c r="G2" s="101"/>
      <c r="H2" s="101"/>
      <c r="I2" s="101"/>
      <c r="J2" s="101"/>
      <c r="K2" s="101"/>
    </row>
    <row r="3">
      <c r="A3" s="103" t="s">
        <v>15</v>
      </c>
      <c r="B3" s="103" t="s">
        <v>226</v>
      </c>
      <c r="C3" s="104" t="s">
        <v>227</v>
      </c>
      <c r="D3" s="104" t="s">
        <v>228</v>
      </c>
      <c r="E3" s="104" t="s">
        <v>229</v>
      </c>
      <c r="F3" s="105" t="s">
        <v>230</v>
      </c>
      <c r="G3" s="105" t="s">
        <v>231</v>
      </c>
      <c r="H3" s="105" t="s">
        <v>232</v>
      </c>
      <c r="I3" s="105" t="s">
        <v>233</v>
      </c>
      <c r="J3" s="105" t="s">
        <v>234</v>
      </c>
      <c r="K3" s="105" t="s">
        <v>235</v>
      </c>
    </row>
    <row r="4">
      <c r="A4" s="106" t="s">
        <v>236</v>
      </c>
      <c r="B4" s="106" t="s">
        <v>237</v>
      </c>
      <c r="C4" s="107" t="s">
        <v>238</v>
      </c>
      <c r="D4" s="107" t="s">
        <v>238</v>
      </c>
      <c r="E4" s="107" t="s">
        <v>238</v>
      </c>
      <c r="F4" s="107" t="s">
        <v>238</v>
      </c>
      <c r="G4" s="108" t="s">
        <v>239</v>
      </c>
      <c r="H4" s="109">
        <v>44866.0</v>
      </c>
      <c r="I4" s="110">
        <f t="shared" ref="I4:I9" si="1">IF(H4="","",ROUNDUP($H4-today(),0))</f>
        <v>-1283</v>
      </c>
      <c r="J4" s="109">
        <v>44961.0</v>
      </c>
      <c r="K4" s="110">
        <f t="shared" ref="K4:K9" si="2">IF(J4="","",ROUNDUP(J4-today(),0))</f>
        <v>-1188</v>
      </c>
    </row>
    <row r="5">
      <c r="A5" s="106" t="s">
        <v>240</v>
      </c>
      <c r="B5" s="106" t="s">
        <v>241</v>
      </c>
      <c r="C5" s="107" t="s">
        <v>238</v>
      </c>
      <c r="D5" s="107" t="s">
        <v>242</v>
      </c>
      <c r="E5" s="107" t="s">
        <v>242</v>
      </c>
      <c r="F5" s="107" t="s">
        <v>242</v>
      </c>
      <c r="G5" s="111"/>
      <c r="H5" s="112"/>
      <c r="I5" s="110" t="str">
        <f t="shared" si="1"/>
        <v/>
      </c>
      <c r="J5" s="112"/>
      <c r="K5" s="110" t="str">
        <f t="shared" si="2"/>
        <v/>
      </c>
    </row>
    <row r="6">
      <c r="A6" s="106" t="s">
        <v>243</v>
      </c>
      <c r="B6" s="106" t="s">
        <v>244</v>
      </c>
      <c r="C6" s="107" t="s">
        <v>238</v>
      </c>
      <c r="D6" s="107" t="s">
        <v>238</v>
      </c>
      <c r="E6" s="107" t="s">
        <v>238</v>
      </c>
      <c r="F6" s="107" t="s">
        <v>238</v>
      </c>
      <c r="G6" s="108" t="s">
        <v>245</v>
      </c>
      <c r="H6" s="109">
        <v>44779.0</v>
      </c>
      <c r="I6" s="110">
        <f t="shared" si="1"/>
        <v>-1370</v>
      </c>
      <c r="J6" s="109">
        <v>44779.0</v>
      </c>
      <c r="K6" s="110">
        <f t="shared" si="2"/>
        <v>-1370</v>
      </c>
    </row>
    <row r="7">
      <c r="A7" s="106" t="s">
        <v>246</v>
      </c>
      <c r="B7" s="106" t="s">
        <v>82</v>
      </c>
      <c r="C7" s="107" t="s">
        <v>238</v>
      </c>
      <c r="D7" s="107" t="s">
        <v>242</v>
      </c>
      <c r="E7" s="107" t="s">
        <v>238</v>
      </c>
      <c r="F7" s="107" t="s">
        <v>238</v>
      </c>
      <c r="G7" s="111"/>
      <c r="H7" s="112"/>
      <c r="I7" s="110" t="str">
        <f t="shared" si="1"/>
        <v/>
      </c>
      <c r="J7" s="112"/>
      <c r="K7" s="110" t="str">
        <f t="shared" si="2"/>
        <v/>
      </c>
    </row>
    <row r="8">
      <c r="A8" s="106" t="s">
        <v>247</v>
      </c>
      <c r="B8" s="106" t="s">
        <v>248</v>
      </c>
      <c r="C8" s="107" t="s">
        <v>238</v>
      </c>
      <c r="D8" s="107" t="s">
        <v>242</v>
      </c>
      <c r="E8" s="113"/>
      <c r="F8" s="112"/>
      <c r="G8" s="111"/>
      <c r="H8" s="112"/>
      <c r="I8" s="110" t="str">
        <f t="shared" si="1"/>
        <v/>
      </c>
      <c r="J8" s="112"/>
      <c r="K8" s="110" t="str">
        <f t="shared" si="2"/>
        <v/>
      </c>
    </row>
    <row r="9">
      <c r="A9" s="106" t="s">
        <v>249</v>
      </c>
      <c r="B9" s="106" t="s">
        <v>250</v>
      </c>
      <c r="C9" s="107" t="s">
        <v>242</v>
      </c>
      <c r="D9" s="107" t="s">
        <v>242</v>
      </c>
      <c r="E9" s="107" t="s">
        <v>238</v>
      </c>
      <c r="F9" s="107" t="s">
        <v>238</v>
      </c>
      <c r="G9" s="108" t="s">
        <v>251</v>
      </c>
      <c r="H9" s="109">
        <v>44927.0</v>
      </c>
      <c r="I9" s="110">
        <f t="shared" si="1"/>
        <v>-1222</v>
      </c>
      <c r="J9" s="109">
        <v>44828.0</v>
      </c>
      <c r="K9" s="110">
        <f t="shared" si="2"/>
        <v>-1321</v>
      </c>
    </row>
    <row r="14">
      <c r="A14" s="102" t="s">
        <v>252</v>
      </c>
      <c r="B14" s="101"/>
      <c r="C14" s="101"/>
      <c r="D14" s="101"/>
      <c r="E14" s="101"/>
      <c r="F14" s="101"/>
      <c r="G14" s="101"/>
      <c r="H14" s="101"/>
      <c r="I14" s="101"/>
    </row>
    <row r="15">
      <c r="A15" s="114" t="s">
        <v>2</v>
      </c>
      <c r="B15" s="114" t="s">
        <v>253</v>
      </c>
      <c r="C15" s="114" t="s">
        <v>254</v>
      </c>
      <c r="D15" s="114" t="s">
        <v>255</v>
      </c>
      <c r="E15" s="114" t="s">
        <v>256</v>
      </c>
      <c r="F15" s="114" t="s">
        <v>14</v>
      </c>
      <c r="G15" s="114" t="s">
        <v>257</v>
      </c>
      <c r="H15" s="114" t="s">
        <v>258</v>
      </c>
      <c r="I15" s="115" t="s">
        <v>259</v>
      </c>
    </row>
    <row r="17">
      <c r="A17" s="116" t="s">
        <v>260</v>
      </c>
      <c r="B17" s="116" t="s">
        <v>261</v>
      </c>
      <c r="C17" s="116" t="s">
        <v>262</v>
      </c>
      <c r="D17" s="117" t="s">
        <v>263</v>
      </c>
      <c r="E17" s="116" t="s">
        <v>264</v>
      </c>
      <c r="F17" s="116" t="s">
        <v>265</v>
      </c>
      <c r="G17" s="116"/>
      <c r="H17" s="118">
        <v>44866.0</v>
      </c>
      <c r="I17" s="119">
        <f t="shared" ref="I17:I28" si="3">IF(H17="","",ROUNDUP($H17-today(),0))</f>
        <v>-1283</v>
      </c>
    </row>
    <row r="18">
      <c r="A18" s="120" t="s">
        <v>260</v>
      </c>
      <c r="B18" s="120" t="s">
        <v>266</v>
      </c>
      <c r="C18" s="120" t="s">
        <v>262</v>
      </c>
      <c r="D18" s="120" t="s">
        <v>267</v>
      </c>
      <c r="E18" s="120" t="s">
        <v>264</v>
      </c>
      <c r="F18" s="120" t="s">
        <v>265</v>
      </c>
      <c r="G18" s="120"/>
      <c r="H18" s="121">
        <v>44866.0</v>
      </c>
      <c r="I18" s="122">
        <f t="shared" si="3"/>
        <v>-1283</v>
      </c>
    </row>
    <row r="19">
      <c r="A19" s="116" t="s">
        <v>260</v>
      </c>
      <c r="B19" s="116" t="s">
        <v>268</v>
      </c>
      <c r="C19" s="116" t="s">
        <v>262</v>
      </c>
      <c r="D19" s="116" t="s">
        <v>269</v>
      </c>
      <c r="E19" s="116" t="s">
        <v>270</v>
      </c>
      <c r="F19" s="116" t="s">
        <v>271</v>
      </c>
      <c r="G19" s="116"/>
      <c r="H19" s="118">
        <v>44762.0</v>
      </c>
      <c r="I19" s="119">
        <f t="shared" si="3"/>
        <v>-1387</v>
      </c>
    </row>
    <row r="20">
      <c r="A20" s="120" t="s">
        <v>260</v>
      </c>
      <c r="B20" s="120" t="s">
        <v>272</v>
      </c>
      <c r="C20" s="120" t="s">
        <v>262</v>
      </c>
      <c r="D20" s="120" t="s">
        <v>273</v>
      </c>
      <c r="E20" s="120" t="s">
        <v>274</v>
      </c>
      <c r="F20" s="120" t="s">
        <v>271</v>
      </c>
      <c r="G20" s="120"/>
      <c r="H20" s="121">
        <v>44733.0</v>
      </c>
      <c r="I20" s="122">
        <f t="shared" si="3"/>
        <v>-1416</v>
      </c>
    </row>
    <row r="21">
      <c r="A21" s="116" t="s">
        <v>260</v>
      </c>
      <c r="B21" s="116" t="s">
        <v>275</v>
      </c>
      <c r="C21" s="116" t="s">
        <v>262</v>
      </c>
      <c r="D21" s="116" t="s">
        <v>276</v>
      </c>
      <c r="E21" s="116" t="s">
        <v>274</v>
      </c>
      <c r="F21" s="116" t="s">
        <v>271</v>
      </c>
      <c r="G21" s="116"/>
      <c r="H21" s="118">
        <v>44733.0</v>
      </c>
      <c r="I21" s="119">
        <f t="shared" si="3"/>
        <v>-1416</v>
      </c>
    </row>
    <row r="22">
      <c r="A22" s="120" t="s">
        <v>260</v>
      </c>
      <c r="B22" s="120" t="s">
        <v>277</v>
      </c>
      <c r="C22" s="120" t="s">
        <v>262</v>
      </c>
      <c r="D22" s="120" t="s">
        <v>278</v>
      </c>
      <c r="E22" s="120" t="s">
        <v>279</v>
      </c>
      <c r="F22" s="120" t="s">
        <v>280</v>
      </c>
      <c r="G22" s="120"/>
      <c r="H22" s="121">
        <v>44779.0</v>
      </c>
      <c r="I22" s="122">
        <f t="shared" si="3"/>
        <v>-1370</v>
      </c>
    </row>
    <row r="23">
      <c r="A23" s="116" t="s">
        <v>260</v>
      </c>
      <c r="B23" s="116" t="s">
        <v>281</v>
      </c>
      <c r="C23" s="116" t="s">
        <v>282</v>
      </c>
      <c r="D23" s="116" t="s">
        <v>283</v>
      </c>
      <c r="E23" s="116" t="s">
        <v>264</v>
      </c>
      <c r="F23" s="116" t="s">
        <v>265</v>
      </c>
      <c r="G23" s="116"/>
      <c r="H23" s="118">
        <v>44646.0</v>
      </c>
      <c r="I23" s="119">
        <f t="shared" si="3"/>
        <v>-1503</v>
      </c>
    </row>
    <row r="24">
      <c r="A24" s="120" t="s">
        <v>260</v>
      </c>
      <c r="B24" s="120" t="s">
        <v>284</v>
      </c>
      <c r="C24" s="120" t="s">
        <v>282</v>
      </c>
      <c r="D24" s="120" t="s">
        <v>285</v>
      </c>
      <c r="E24" s="120" t="s">
        <v>264</v>
      </c>
      <c r="F24" s="120" t="s">
        <v>265</v>
      </c>
      <c r="G24" s="120"/>
      <c r="H24" s="121">
        <v>44698.0</v>
      </c>
      <c r="I24" s="122">
        <f t="shared" si="3"/>
        <v>-1451</v>
      </c>
    </row>
    <row r="25">
      <c r="A25" s="116" t="s">
        <v>260</v>
      </c>
      <c r="B25" s="116" t="s">
        <v>286</v>
      </c>
      <c r="C25" s="116" t="s">
        <v>282</v>
      </c>
      <c r="D25" s="116" t="s">
        <v>287</v>
      </c>
      <c r="E25" s="116" t="s">
        <v>264</v>
      </c>
      <c r="F25" s="116" t="s">
        <v>265</v>
      </c>
      <c r="G25" s="116"/>
      <c r="H25" s="118">
        <v>44698.0</v>
      </c>
      <c r="I25" s="119">
        <f t="shared" si="3"/>
        <v>-1451</v>
      </c>
    </row>
    <row r="26">
      <c r="A26" s="120" t="s">
        <v>260</v>
      </c>
      <c r="B26" s="120" t="s">
        <v>288</v>
      </c>
      <c r="C26" s="120" t="s">
        <v>282</v>
      </c>
      <c r="D26" s="120" t="s">
        <v>289</v>
      </c>
      <c r="E26" s="120" t="s">
        <v>264</v>
      </c>
      <c r="F26" s="120" t="s">
        <v>265</v>
      </c>
      <c r="G26" s="120"/>
      <c r="H26" s="121">
        <v>44722.0</v>
      </c>
      <c r="I26" s="122">
        <f t="shared" si="3"/>
        <v>-1427</v>
      </c>
    </row>
    <row r="27">
      <c r="A27" s="116" t="s">
        <v>260</v>
      </c>
      <c r="B27" s="116" t="s">
        <v>290</v>
      </c>
      <c r="C27" s="116" t="s">
        <v>282</v>
      </c>
      <c r="D27" s="116" t="s">
        <v>291</v>
      </c>
      <c r="E27" s="116" t="s">
        <v>264</v>
      </c>
      <c r="F27" s="116" t="s">
        <v>265</v>
      </c>
      <c r="G27" s="116"/>
      <c r="H27" s="118">
        <v>44790.0</v>
      </c>
      <c r="I27" s="119">
        <f t="shared" si="3"/>
        <v>-1359</v>
      </c>
    </row>
    <row r="28">
      <c r="A28" s="120" t="s">
        <v>260</v>
      </c>
      <c r="B28" s="120" t="s">
        <v>292</v>
      </c>
      <c r="C28" s="120" t="s">
        <v>282</v>
      </c>
      <c r="D28" s="120" t="s">
        <v>293</v>
      </c>
      <c r="E28" s="120" t="s">
        <v>264</v>
      </c>
      <c r="F28" s="120" t="s">
        <v>265</v>
      </c>
      <c r="G28" s="120"/>
      <c r="H28" s="121">
        <v>44698.0</v>
      </c>
      <c r="I28" s="122">
        <f t="shared" si="3"/>
        <v>-1451</v>
      </c>
    </row>
  </sheetData>
  <mergeCells count="10">
    <mergeCell ref="G15:G16"/>
    <mergeCell ref="H15:H16"/>
    <mergeCell ref="I15:I16"/>
    <mergeCell ref="A2:B2"/>
    <mergeCell ref="A15:A16"/>
    <mergeCell ref="B15:B16"/>
    <mergeCell ref="C15:C16"/>
    <mergeCell ref="D15:D16"/>
    <mergeCell ref="E15:E16"/>
    <mergeCell ref="F15:F16"/>
  </mergeCells>
  <conditionalFormatting sqref="I4:I9 K4:K9 I17:I28">
    <cfRule type="cellIs" dxfId="13" priority="1" operator="greaterThan">
      <formula>10</formula>
    </cfRule>
  </conditionalFormatting>
  <conditionalFormatting sqref="I4:I9 K4:K9 I17:I28">
    <cfRule type="cellIs" dxfId="14" priority="2" operator="between">
      <formula>0</formula>
      <formula>10</formula>
    </cfRule>
  </conditionalFormatting>
  <conditionalFormatting sqref="I4:I9 K4:K9 I17:I28">
    <cfRule type="cellIs" dxfId="15" priority="3" operator="lessThan">
      <formula>"I27&lt;0"</formula>
    </cfRule>
  </conditionalFormatting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3.0"/>
    <col customWidth="1" min="3" max="3" width="26.38"/>
    <col customWidth="1" min="4" max="4" width="20.5"/>
    <col customWidth="1" min="6" max="6" width="21.25"/>
  </cols>
  <sheetData>
    <row r="1">
      <c r="A1" s="4" t="s">
        <v>294</v>
      </c>
      <c r="B1" s="10" t="str">
        <f>IFERROR(__xludf.DUMMYFUNCTION("IMPORTRANGE(""https://docs.google.com/spreadsheets/d/1QohlZC4KvRNd994pgsw7OAWCfv3QU1As0i-jXf_d4kQ/edit#gid=0"", ""Contact List!A1:E"")"),"Name")</f>
        <v>Name</v>
      </c>
      <c r="C1" s="10" t="str">
        <f>IFERROR(__xludf.DUMMYFUNCTION("""COMPUTED_VALUE"""),"Company Name")</f>
        <v>Company Name</v>
      </c>
      <c r="D1" s="10" t="str">
        <f>IFERROR(__xludf.DUMMYFUNCTION("""COMPUTED_VALUE"""),"Office")</f>
        <v>Office</v>
      </c>
      <c r="E1" s="10" t="str">
        <f>IFERROR(__xludf.DUMMYFUNCTION("""COMPUTED_VALUE"""),"Mobile")</f>
        <v>Mobile</v>
      </c>
      <c r="F1" s="10" t="str">
        <f>IFERROR(__xludf.DUMMYFUNCTION("""COMPUTED_VALUE"""),"Email")</f>
        <v>Email</v>
      </c>
      <c r="G1" s="2"/>
      <c r="H1" s="4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</row>
    <row r="2">
      <c r="A2" s="2" t="str">
        <f t="shared" ref="A2:A38" si="1">if(len(B2&gt;0),CONCATENATE(C2," | ",B2),"")</f>
        <v>Brookside Environmental | Richard Taylor</v>
      </c>
      <c r="B2" s="2" t="str">
        <f>IFERROR(__xludf.DUMMYFUNCTION("""COMPUTED_VALUE"""),"Richard Taylor")</f>
        <v>Richard Taylor</v>
      </c>
      <c r="C2" s="2" t="str">
        <f>IFERROR(__xludf.DUMMYFUNCTION("""COMPUTED_VALUE"""),"Brookside Environmental")</f>
        <v>Brookside Environmental</v>
      </c>
      <c r="D2" s="2" t="str">
        <f>IFERROR(__xludf.DUMMYFUNCTION("""COMPUTED_VALUE"""),"(631) 608-8810")</f>
        <v>(631) 608-8810</v>
      </c>
      <c r="E2" s="2" t="str">
        <f>IFERROR(__xludf.DUMMYFUNCTION("""COMPUTED_VALUE"""),"516-852-1631")</f>
        <v>516-852-1631</v>
      </c>
      <c r="F2" s="2" t="str">
        <f>IFERROR(__xludf.DUMMYFUNCTION("""COMPUTED_VALUE"""),"rtaylor@brooksideweb.com")</f>
        <v>rtaylor@brooksideweb.com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</row>
    <row r="3">
      <c r="A3" s="2" t="str">
        <f t="shared" si="1"/>
        <v>Design Studio Associates NY Inc. | Renzo Bolarte</v>
      </c>
      <c r="B3" s="2" t="str">
        <f>IFERROR(__xludf.DUMMYFUNCTION("""COMPUTED_VALUE"""),"Renzo Bolarte")</f>
        <v>Renzo Bolarte</v>
      </c>
      <c r="C3" s="2" t="str">
        <f>IFERROR(__xludf.DUMMYFUNCTION("""COMPUTED_VALUE"""),"Design Studio Associates NY Inc.")</f>
        <v>Design Studio Associates NY Inc.</v>
      </c>
      <c r="D3" s="2" t="str">
        <f>IFERROR(__xludf.DUMMYFUNCTION("""COMPUTED_VALUE"""),"(718) 569-2112")</f>
        <v>(718) 569-2112</v>
      </c>
      <c r="E3" s="2" t="str">
        <f>IFERROR(__xludf.DUMMYFUNCTION("""COMPUTED_VALUE"""),"(516) 642-6960")</f>
        <v>(516) 642-6960</v>
      </c>
      <c r="F3" s="2" t="str">
        <f>IFERROR(__xludf.DUMMYFUNCTION("""COMPUTED_VALUE"""),"renzo@dsany.com")</f>
        <v>renzo@dsany.com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</row>
    <row r="4">
      <c r="A4" s="2" t="str">
        <f t="shared" si="1"/>
        <v>Engineering Solutions | Jeffrey Spivak</v>
      </c>
      <c r="B4" s="2" t="str">
        <f>IFERROR(__xludf.DUMMYFUNCTION("""COMPUTED_VALUE"""),"Jeffrey Spivak")</f>
        <v>Jeffrey Spivak</v>
      </c>
      <c r="C4" s="2" t="str">
        <f>IFERROR(__xludf.DUMMYFUNCTION("""COMPUTED_VALUE"""),"Engineering Solutions")</f>
        <v>Engineering Solutions</v>
      </c>
      <c r="D4" s="2" t="str">
        <f>IFERROR(__xludf.DUMMYFUNCTION("""COMPUTED_VALUE"""),"212-840-1030 x204")</f>
        <v>212-840-1030 x204</v>
      </c>
      <c r="E4" s="2"/>
      <c r="F4" s="2" t="str">
        <f>IFERROR(__xludf.DUMMYFUNCTION("""COMPUTED_VALUE"""),"jeff@engsolu.com")</f>
        <v>jeff@engsolu.com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</row>
    <row r="5">
      <c r="A5" s="2" t="str">
        <f t="shared" si="1"/>
        <v>Greenworks Lending from Nuveen | Crystal Smith</v>
      </c>
      <c r="B5" s="2" t="str">
        <f>IFERROR(__xludf.DUMMYFUNCTION("""COMPUTED_VALUE"""),"Crystal Smith")</f>
        <v>Crystal Smith</v>
      </c>
      <c r="C5" s="2" t="str">
        <f>IFERROR(__xludf.DUMMYFUNCTION("""COMPUTED_VALUE"""),"Greenworks Lending from Nuveen")</f>
        <v>Greenworks Lending from Nuveen</v>
      </c>
      <c r="D5" s="2" t="str">
        <f>IFERROR(__xludf.DUMMYFUNCTION("""COMPUTED_VALUE"""),"(212) 731-2717")</f>
        <v>(212) 731-2717</v>
      </c>
      <c r="E5" s="2"/>
      <c r="F5" s="2" t="str">
        <f>IFERROR(__xludf.DUMMYFUNCTION("""COMPUTED_VALUE"""),"crystal.smith@nuveen.com")</f>
        <v>crystal.smith@nuveen.com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</row>
    <row r="6">
      <c r="A6" s="2" t="str">
        <f t="shared" si="1"/>
        <v>International Office of Architects | Murat Mutlu</v>
      </c>
      <c r="B6" s="2" t="str">
        <f>IFERROR(__xludf.DUMMYFUNCTION("""COMPUTED_VALUE"""),"Murat Mutlu")</f>
        <v>Murat Mutlu</v>
      </c>
      <c r="C6" s="2" t="str">
        <f>IFERROR(__xludf.DUMMYFUNCTION("""COMPUTED_VALUE"""),"International Office of Architects")</f>
        <v>International Office of Architects</v>
      </c>
      <c r="D6" s="2" t="str">
        <f>IFERROR(__xludf.DUMMYFUNCTION("""COMPUTED_VALUE"""),"(212) 564-0094")</f>
        <v>(212) 564-0094</v>
      </c>
      <c r="E6" s="2" t="str">
        <f>IFERROR(__xludf.DUMMYFUNCTION("""COMPUTED_VALUE"""),"(607) 262-0368")</f>
        <v>(607) 262-0368</v>
      </c>
      <c r="F6" s="2" t="str">
        <f>IFERROR(__xludf.DUMMYFUNCTION("""COMPUTED_VALUE"""),"murat@in-oa.com")</f>
        <v>murat@in-oa.com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</row>
    <row r="7">
      <c r="A7" s="2" t="str">
        <f t="shared" si="1"/>
        <v>IRL Systems | Brendan Lally </v>
      </c>
      <c r="B7" s="2" t="str">
        <f>IFERROR(__xludf.DUMMYFUNCTION("""COMPUTED_VALUE"""),"Brendan Lally ")</f>
        <v>Brendan Lally </v>
      </c>
      <c r="C7" s="2" t="str">
        <f>IFERROR(__xludf.DUMMYFUNCTION("""COMPUTED_VALUE"""),"IRL Systems")</f>
        <v>IRL Systems</v>
      </c>
      <c r="D7" s="2"/>
      <c r="E7" s="2"/>
      <c r="F7" s="2" t="str">
        <f>IFERROR(__xludf.DUMMYFUNCTION("""COMPUTED_VALUE"""),"brendanl@irlsystems.com")</f>
        <v>brendanl@irlsystems.com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</row>
    <row r="8">
      <c r="A8" s="2" t="str">
        <f t="shared" si="1"/>
        <v>Middleton Environmental | Thomas R. Tompkins</v>
      </c>
      <c r="B8" s="2" t="str">
        <f>IFERROR(__xludf.DUMMYFUNCTION("""COMPUTED_VALUE"""),"Thomas R. Tompkins")</f>
        <v>Thomas R. Tompkins</v>
      </c>
      <c r="C8" s="2" t="str">
        <f>IFERROR(__xludf.DUMMYFUNCTION("""COMPUTED_VALUE"""),"Middleton Environmental")</f>
        <v>Middleton Environmental</v>
      </c>
      <c r="D8" s="2" t="str">
        <f>IFERROR(__xludf.DUMMYFUNCTION("""COMPUTED_VALUE"""),"(631) 321-4300")</f>
        <v>(631) 321-4300</v>
      </c>
      <c r="E8" s="2"/>
      <c r="F8" s="2" t="str">
        <f>IFERROR(__xludf.DUMMYFUNCTION("""COMPUTED_VALUE"""),"info@midenv.com")</f>
        <v>info@midenv.com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</row>
    <row r="9">
      <c r="A9" s="2" t="str">
        <f t="shared" si="1"/>
        <v>One Concrete | Izzy Lubart</v>
      </c>
      <c r="B9" s="2" t="str">
        <f>IFERROR(__xludf.DUMMYFUNCTION("""COMPUTED_VALUE"""),"Izzy Lubart")</f>
        <v>Izzy Lubart</v>
      </c>
      <c r="C9" s="2" t="str">
        <f>IFERROR(__xludf.DUMMYFUNCTION("""COMPUTED_VALUE"""),"One Concrete")</f>
        <v>One Concrete</v>
      </c>
      <c r="D9" s="2"/>
      <c r="E9" s="2"/>
      <c r="F9" s="2" t="str">
        <f>IFERROR(__xludf.DUMMYFUNCTION("""COMPUTED_VALUE"""),"Izzy@Oneconcrete.net")</f>
        <v>Izzy@Oneconcrete.net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</row>
    <row r="10">
      <c r="A10" s="2" t="str">
        <f t="shared" si="1"/>
        <v>Peerless Products | Jamie McKnight </v>
      </c>
      <c r="B10" s="2" t="str">
        <f>IFERROR(__xludf.DUMMYFUNCTION("""COMPUTED_VALUE"""),"Jamie McKnight ")</f>
        <v>Jamie McKnight </v>
      </c>
      <c r="C10" s="2" t="str">
        <f>IFERROR(__xludf.DUMMYFUNCTION("""COMPUTED_VALUE"""),"Peerless Products")</f>
        <v>Peerless Products</v>
      </c>
      <c r="D10" s="2" t="str">
        <f>IFERROR(__xludf.DUMMYFUNCTION("""COMPUTED_VALUE"""),"401-487-6686")</f>
        <v>401-487-6686</v>
      </c>
      <c r="E10" s="2"/>
      <c r="F10" s="2" t="str">
        <f>IFERROR(__xludf.DUMMYFUNCTION("""COMPUTED_VALUE"""),"repmcknight33@gmail.com")</f>
        <v>repmcknight33@gmail.com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</row>
    <row r="11">
      <c r="A11" s="2" t="str">
        <f t="shared" si="1"/>
        <v>Pella Windows | Leo Zonenshein</v>
      </c>
      <c r="B11" s="2" t="str">
        <f>IFERROR(__xludf.DUMMYFUNCTION("""COMPUTED_VALUE"""),"Leo Zonenshein")</f>
        <v>Leo Zonenshein</v>
      </c>
      <c r="C11" s="2" t="str">
        <f>IFERROR(__xludf.DUMMYFUNCTION("""COMPUTED_VALUE"""),"Pella Windows")</f>
        <v>Pella Windows</v>
      </c>
      <c r="D11" s="2" t="str">
        <f>IFERROR(__xludf.DUMMYFUNCTION("""COMPUTED_VALUE"""),"646-773-6405")</f>
        <v>646-773-6405</v>
      </c>
      <c r="E11" s="2"/>
      <c r="F11" s="2" t="str">
        <f>IFERROR(__xludf.DUMMYFUNCTION("""COMPUTED_VALUE"""),"LZonenshein@pellactny.com")</f>
        <v>LZonenshein@pellactny.com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</row>
    <row r="12">
      <c r="A12" s="2" t="str">
        <f t="shared" si="1"/>
        <v>Renovation Group | Daniel Kaykov</v>
      </c>
      <c r="B12" s="2" t="str">
        <f>IFERROR(__xludf.DUMMYFUNCTION("""COMPUTED_VALUE"""),"Daniel Kaykov")</f>
        <v>Daniel Kaykov</v>
      </c>
      <c r="C12" s="2" t="str">
        <f>IFERROR(__xludf.DUMMYFUNCTION("""COMPUTED_VALUE"""),"Renovation Group")</f>
        <v>Renovation Group</v>
      </c>
      <c r="D12" s="2"/>
      <c r="E12" s="2" t="str">
        <f>IFERROR(__xludf.DUMMYFUNCTION("""COMPUTED_VALUE"""),"(718) 690-1370")</f>
        <v>(718) 690-1370</v>
      </c>
      <c r="F12" s="2" t="str">
        <f>IFERROR(__xludf.DUMMYFUNCTION("""COMPUTED_VALUE"""),"dan@renovationgroup.com")</f>
        <v>dan@renovationgroup.com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</row>
    <row r="13">
      <c r="A13" s="2" t="str">
        <f t="shared" si="1"/>
        <v>Rosen Law | Jaime Rosen Esq</v>
      </c>
      <c r="B13" s="2" t="str">
        <f>IFERROR(__xludf.DUMMYFUNCTION("""COMPUTED_VALUE"""),"Jaime Rosen Esq")</f>
        <v>Jaime Rosen Esq</v>
      </c>
      <c r="C13" s="2" t="str">
        <f>IFERROR(__xludf.DUMMYFUNCTION("""COMPUTED_VALUE"""),"Rosen Law")</f>
        <v>Rosen Law</v>
      </c>
      <c r="D13" s="2"/>
      <c r="E13" s="2"/>
      <c r="F13" s="2" t="str">
        <f>IFERROR(__xludf.DUMMYFUNCTION("""COMPUTED_VALUE"""),"jaime@rosenlawllc.com")</f>
        <v>jaime@rosenlawllc.com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</row>
    <row r="14">
      <c r="A14" s="2" t="str">
        <f t="shared" si="1"/>
        <v>Soil Safe | James Case</v>
      </c>
      <c r="B14" s="2" t="str">
        <f>IFERROR(__xludf.DUMMYFUNCTION("""COMPUTED_VALUE"""),"James Case")</f>
        <v>James Case</v>
      </c>
      <c r="C14" s="2" t="str">
        <f>IFERROR(__xludf.DUMMYFUNCTION("""COMPUTED_VALUE"""),"Soil Safe")</f>
        <v>Soil Safe</v>
      </c>
      <c r="D14" s="2" t="str">
        <f>IFERROR(__xludf.DUMMYFUNCTION("""COMPUTED_VALUE"""),"(516) 605-2110 x30346")</f>
        <v>(516) 605-2110 x30346</v>
      </c>
      <c r="E14" s="2" t="str">
        <f>IFERROR(__xludf.DUMMYFUNCTION("""COMPUTED_VALUE"""),"(516) 972-3896")</f>
        <v>(516) 972-3896</v>
      </c>
      <c r="F14" s="2" t="str">
        <f>IFERROR(__xludf.DUMMYFUNCTION("""COMPUTED_VALUE"""),"james.case@gflenv.com")</f>
        <v>james.case@gflenv.com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</row>
    <row r="15">
      <c r="A15" s="2" t="str">
        <f t="shared" si="1"/>
        <v>StudioGallos Architecture | Frankie Nunez</v>
      </c>
      <c r="B15" s="2" t="str">
        <f>IFERROR(__xludf.DUMMYFUNCTION("""COMPUTED_VALUE"""),"Frankie Nunez")</f>
        <v>Frankie Nunez</v>
      </c>
      <c r="C15" s="2" t="str">
        <f>IFERROR(__xludf.DUMMYFUNCTION("""COMPUTED_VALUE"""),"StudioGallos Architecture")</f>
        <v>StudioGallos Architecture</v>
      </c>
      <c r="D15" s="2" t="str">
        <f>IFERROR(__xludf.DUMMYFUNCTION("""COMPUTED_VALUE"""),"(718) 458-1518 x2102")</f>
        <v>(718) 458-1518 x2102</v>
      </c>
      <c r="E15" s="2"/>
      <c r="F15" s="2" t="str">
        <f>IFERROR(__xludf.DUMMYFUNCTION("""COMPUTED_VALUE"""),"fnunez@studiogallos.com")</f>
        <v>fnunez@studiogallos.com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</row>
    <row r="16">
      <c r="A16" s="2" t="str">
        <f t="shared" si="1"/>
        <v> | Mohammad Aftab</v>
      </c>
      <c r="B16" s="2" t="str">
        <f>IFERROR(__xludf.DUMMYFUNCTION("""COMPUTED_VALUE"""),"Mohammad Aftab")</f>
        <v>Mohammad Aftab</v>
      </c>
      <c r="C16" s="2"/>
      <c r="D16" s="2" t="str">
        <f>IFERROR(__xludf.DUMMYFUNCTION("""COMPUTED_VALUE"""),"(917) 560-6994")</f>
        <v>(917) 560-6994</v>
      </c>
      <c r="E16" s="2"/>
      <c r="F16" s="2" t="str">
        <f>IFERROR(__xludf.DUMMYFUNCTION("""COMPUTED_VALUE"""),"aftabshahnoc@gmail.com")</f>
        <v>aftabshahnoc@gmail.com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</row>
    <row r="17">
      <c r="A17" s="2" t="str">
        <f t="shared" si="1"/>
        <v>Perciballi Industries Inc | Mike Perciballi</v>
      </c>
      <c r="B17" s="2" t="str">
        <f>IFERROR(__xludf.DUMMYFUNCTION("""COMPUTED_VALUE"""),"Mike Perciballi")</f>
        <v>Mike Perciballi</v>
      </c>
      <c r="C17" s="2" t="str">
        <f>IFERROR(__xludf.DUMMYFUNCTION("""COMPUTED_VALUE"""),"Perciballi Industries Inc")</f>
        <v>Perciballi Industries Inc</v>
      </c>
      <c r="D17" s="2" t="str">
        <f>IFERROR(__xludf.DUMMYFUNCTION("""COMPUTED_VALUE"""),"(347) 825-3781")</f>
        <v>(347) 825-3781</v>
      </c>
      <c r="E17" s="2" t="str">
        <f>IFERROR(__xludf.DUMMYFUNCTION("""COMPUTED_VALUE"""),"(646) 248-2012 ")</f>
        <v>(646) 248-2012 </v>
      </c>
      <c r="F17" s="2" t="str">
        <f>IFERROR(__xludf.DUMMYFUNCTION("""COMPUTED_VALUE"""),"mikep@perciballiindustriesinc.com")</f>
        <v>mikep@perciballiindustriesinc.com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</row>
    <row r="18">
      <c r="A18" s="2" t="str">
        <f t="shared" si="1"/>
        <v>Celtic Demolition | Mike</v>
      </c>
      <c r="B18" s="2" t="str">
        <f>IFERROR(__xludf.DUMMYFUNCTION("""COMPUTED_VALUE"""),"Mike")</f>
        <v>Mike</v>
      </c>
      <c r="C18" s="2" t="str">
        <f>IFERROR(__xludf.DUMMYFUNCTION("""COMPUTED_VALUE"""),"Celtic Demolition")</f>
        <v>Celtic Demolition</v>
      </c>
      <c r="D18" s="2"/>
      <c r="E18" s="2" t="str">
        <f>IFERROR(__xludf.DUMMYFUNCTION("""COMPUTED_VALUE"""),"914-704-5511")</f>
        <v>914-704-5511</v>
      </c>
      <c r="F18" s="2" t="str">
        <f>IFERROR(__xludf.DUMMYFUNCTION("""COMPUTED_VALUE"""),"mike@cltgrp.com")</f>
        <v>mike@cltgrp.com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</row>
    <row r="19">
      <c r="A19" s="2" t="str">
        <f t="shared" si="1"/>
        <v>North East Specialist Group | Nick Sopasoudakis</v>
      </c>
      <c r="B19" s="2" t="str">
        <f>IFERROR(__xludf.DUMMYFUNCTION("""COMPUTED_VALUE"""),"Nick Sopasoudakis")</f>
        <v>Nick Sopasoudakis</v>
      </c>
      <c r="C19" s="2" t="str">
        <f>IFERROR(__xludf.DUMMYFUNCTION("""COMPUTED_VALUE"""),"North East Specialist Group")</f>
        <v>North East Specialist Group</v>
      </c>
      <c r="D19" s="2"/>
      <c r="E19" s="2" t="str">
        <f>IFERROR(__xludf.DUMMYFUNCTION("""COMPUTED_VALUE"""),"347-756-2641")</f>
        <v>347-756-2641</v>
      </c>
      <c r="F19" s="2" t="str">
        <f>IFERROR(__xludf.DUMMYFUNCTION("""COMPUTED_VALUE"""),"nsopas@northeastsg.com")</f>
        <v>nsopas@northeastsg.com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</row>
    <row r="20">
      <c r="A20" s="2" t="str">
        <f t="shared" si="1"/>
        <v>Stroh Engineering Services  | Jeff Roberts</v>
      </c>
      <c r="B20" s="2" t="str">
        <f>IFERROR(__xludf.DUMMYFUNCTION("""COMPUTED_VALUE"""),"Jeff Roberts")</f>
        <v>Jeff Roberts</v>
      </c>
      <c r="C20" s="2" t="str">
        <f>IFERROR(__xludf.DUMMYFUNCTION("""COMPUTED_VALUE"""),"Stroh Engineering Services ")</f>
        <v>Stroh Engineering Services </v>
      </c>
      <c r="D20" s="2" t="str">
        <f>IFERROR(__xludf.DUMMYFUNCTION("""COMPUTED_VALUE"""),"631-669-7531")</f>
        <v>631-669-7531</v>
      </c>
      <c r="E20" s="2" t="str">
        <f>IFERROR(__xludf.DUMMYFUNCTION("""COMPUTED_VALUE"""),"516-351-2150")</f>
        <v>516-351-2150</v>
      </c>
      <c r="F20" s="2" t="str">
        <f>IFERROR(__xludf.DUMMYFUNCTION("""COMPUTED_VALUE"""),"jeff@strohengineering.com")</f>
        <v>jeff@strohengineering.com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</row>
    <row r="21">
      <c r="A21" s="2" t="str">
        <f t="shared" si="1"/>
        <v>Boyd Consulting | Andrea Boyd</v>
      </c>
      <c r="B21" s="2" t="str">
        <f>IFERROR(__xludf.DUMMYFUNCTION("""COMPUTED_VALUE"""),"Andrea Boyd")</f>
        <v>Andrea Boyd</v>
      </c>
      <c r="C21" s="2" t="str">
        <f>IFERROR(__xludf.DUMMYFUNCTION("""COMPUTED_VALUE"""),"Boyd Consulting")</f>
        <v>Boyd Consulting</v>
      </c>
      <c r="D21" s="2" t="str">
        <f>IFERROR(__xludf.DUMMYFUNCTION("""COMPUTED_VALUE"""),"646-619-3620 ")</f>
        <v>646-619-3620 </v>
      </c>
      <c r="E21" s="2"/>
      <c r="F21" s="2" t="str">
        <f>IFERROR(__xludf.DUMMYFUNCTION("""COMPUTED_VALUE"""),"andrea@boydconsult.com")</f>
        <v>andrea@boydconsult.com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</row>
    <row r="22">
      <c r="A22" s="2" t="str">
        <f t="shared" si="1"/>
        <v>5 Borough Mapping NY | Raj Kumar</v>
      </c>
      <c r="B22" s="2" t="str">
        <f>IFERROR(__xludf.DUMMYFUNCTION("""COMPUTED_VALUE"""),"Raj Kumar")</f>
        <v>Raj Kumar</v>
      </c>
      <c r="C22" s="2" t="str">
        <f>IFERROR(__xludf.DUMMYFUNCTION("""COMPUTED_VALUE"""),"5 Borough Mapping NY")</f>
        <v>5 Borough Mapping NY</v>
      </c>
      <c r="D22" s="2" t="str">
        <f>IFERROR(__xludf.DUMMYFUNCTION("""COMPUTED_VALUE"""),"516-652-9984")</f>
        <v>516-652-9984</v>
      </c>
      <c r="E22" s="2"/>
      <c r="F22" s="2" t="str">
        <f>IFERROR(__xludf.DUMMYFUNCTION("""COMPUTED_VALUE"""),"5boromapping@gmail.com")</f>
        <v>5boromapping@gmail.com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</row>
    <row r="23">
      <c r="A23" s="2" t="str">
        <f t="shared" si="1"/>
        <v>Preferred Bank | Sylvia Tseng</v>
      </c>
      <c r="B23" s="2" t="str">
        <f>IFERROR(__xludf.DUMMYFUNCTION("""COMPUTED_VALUE"""),"Sylvia Tseng")</f>
        <v>Sylvia Tseng</v>
      </c>
      <c r="C23" s="2" t="str">
        <f>IFERROR(__xludf.DUMMYFUNCTION("""COMPUTED_VALUE"""),"Preferred Bank")</f>
        <v>Preferred Bank</v>
      </c>
      <c r="D23" s="2" t="str">
        <f>IFERROR(__xludf.DUMMYFUNCTION("""COMPUTED_VALUE"""),"(347) 532-8038")</f>
        <v>(347) 532-8038</v>
      </c>
      <c r="E23" s="2"/>
      <c r="F23" s="2" t="str">
        <f>IFERROR(__xludf.DUMMYFUNCTION("""COMPUTED_VALUE"""),"Sylvia.Tseng@PreferredBank.com")</f>
        <v>Sylvia.Tseng@PreferredBank.com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</row>
    <row r="24">
      <c r="A24" s="2" t="str">
        <f t="shared" si="1"/>
        <v>DGM CPA | George Mataev</v>
      </c>
      <c r="B24" s="2" t="str">
        <f>IFERROR(__xludf.DUMMYFUNCTION("""COMPUTED_VALUE"""),"George Mataev")</f>
        <v>George Mataev</v>
      </c>
      <c r="C24" s="2" t="str">
        <f>IFERROR(__xludf.DUMMYFUNCTION("""COMPUTED_VALUE"""),"DGM CPA")</f>
        <v>DGM CPA</v>
      </c>
      <c r="D24" s="2" t="str">
        <f>IFERROR(__xludf.DUMMYFUNCTION("""COMPUTED_VALUE"""),"718-530-4545")</f>
        <v>718-530-4545</v>
      </c>
      <c r="E24" s="2"/>
      <c r="F24" s="2" t="str">
        <f>IFERROR(__xludf.DUMMYFUNCTION("""COMPUTED_VALUE"""),"george@dgmcpany.com")</f>
        <v>george@dgmcpany.com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</row>
    <row r="25">
      <c r="A25" s="2" t="str">
        <f t="shared" si="1"/>
        <v>Marcus Attorneys PLLC | Guillermo Santiago</v>
      </c>
      <c r="B25" s="2" t="str">
        <f>IFERROR(__xludf.DUMMYFUNCTION("""COMPUTED_VALUE"""),"Guillermo Santiago")</f>
        <v>Guillermo Santiago</v>
      </c>
      <c r="C25" s="2" t="str">
        <f>IFERROR(__xludf.DUMMYFUNCTION("""COMPUTED_VALUE"""),"Marcus Attorneys PLLC")</f>
        <v>Marcus Attorneys PLLC</v>
      </c>
      <c r="D25" s="2" t="str">
        <f>IFERROR(__xludf.DUMMYFUNCTION("""COMPUTED_VALUE"""),"718-233-2564")</f>
        <v>718-233-2564</v>
      </c>
      <c r="E25" s="2"/>
      <c r="F25" s="2" t="str">
        <f>IFERROR(__xludf.DUMMYFUNCTION("""COMPUTED_VALUE"""),"santiago@marcusattorneys.com")</f>
        <v>santiago@marcusattorneys.com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</row>
    <row r="26">
      <c r="A26" s="2" t="str">
        <f t="shared" si="1"/>
        <v>MCAI Construction Services | Noel G Muir</v>
      </c>
      <c r="B26" s="2" t="str">
        <f>IFERROR(__xludf.DUMMYFUNCTION("""COMPUTED_VALUE"""),"Noel G Muir")</f>
        <v>Noel G Muir</v>
      </c>
      <c r="C26" s="2" t="str">
        <f>IFERROR(__xludf.DUMMYFUNCTION("""COMPUTED_VALUE"""),"MCAI Construction Services")</f>
        <v>MCAI Construction Services</v>
      </c>
      <c r="D26" s="2" t="str">
        <f>IFERROR(__xludf.DUMMYFUNCTION("""COMPUTED_VALUE"""),"516-288-8546")</f>
        <v>516-288-8546</v>
      </c>
      <c r="E26" s="2"/>
      <c r="F26" s="2" t="str">
        <f>IFERROR(__xludf.DUMMYFUNCTION("""COMPUTED_VALUE"""),"mcai079@aol.com")</f>
        <v>mcai079@aol.com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</row>
    <row r="27">
      <c r="A27" s="2" t="str">
        <f t="shared" si="1"/>
        <v>Exterior Design Renterings | Andrew Melnikov</v>
      </c>
      <c r="B27" s="2" t="str">
        <f>IFERROR(__xludf.DUMMYFUNCTION("""COMPUTED_VALUE"""),"Andrew Melnikov")</f>
        <v>Andrew Melnikov</v>
      </c>
      <c r="C27" s="2" t="str">
        <f>IFERROR(__xludf.DUMMYFUNCTION("""COMPUTED_VALUE"""),"Exterior Design Renterings")</f>
        <v>Exterior Design Renterings</v>
      </c>
      <c r="D27" s="2" t="str">
        <f>IFERROR(__xludf.DUMMYFUNCTION("""COMPUTED_VALUE"""),"380 66 198 7396")</f>
        <v>380 66 198 7396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</row>
    <row r="28">
      <c r="A28" s="2" t="str">
        <f t="shared" si="1"/>
        <v>Yaker Engineering | Alex Yaker</v>
      </c>
      <c r="B28" s="2" t="str">
        <f>IFERROR(__xludf.DUMMYFUNCTION("""COMPUTED_VALUE"""),"Alex Yaker")</f>
        <v>Alex Yaker</v>
      </c>
      <c r="C28" s="2" t="str">
        <f>IFERROR(__xludf.DUMMYFUNCTION("""COMPUTED_VALUE"""),"Yaker Engineering")</f>
        <v>Yaker Engineering</v>
      </c>
      <c r="D28" s="2" t="str">
        <f>IFERROR(__xludf.DUMMYFUNCTION("""COMPUTED_VALUE"""),"917-518-2032")</f>
        <v>917-518-2032</v>
      </c>
      <c r="E28" s="2"/>
      <c r="F28" s="2" t="str">
        <f>IFERROR(__xludf.DUMMYFUNCTION("""COMPUTED_VALUE"""),"ayaker@yakereng.com")</f>
        <v>ayaker@yakereng.com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</row>
    <row r="29">
      <c r="A29" s="2" t="str">
        <f t="shared" si="1"/>
        <v>ADG Engineering | Aamer Islam</v>
      </c>
      <c r="B29" s="2" t="str">
        <f>IFERROR(__xludf.DUMMYFUNCTION("""COMPUTED_VALUE"""),"Aamer Islam")</f>
        <v>Aamer Islam</v>
      </c>
      <c r="C29" s="2" t="str">
        <f>IFERROR(__xludf.DUMMYFUNCTION("""COMPUTED_VALUE"""),"ADG Engineering")</f>
        <v>ADG Engineering</v>
      </c>
      <c r="D29" s="2" t="str">
        <f>IFERROR(__xludf.DUMMYFUNCTION("""COMPUTED_VALUE"""),"212-288-7120")</f>
        <v>212-288-7120</v>
      </c>
      <c r="E29" s="2" t="str">
        <f>IFERROR(__xludf.DUMMYFUNCTION("""COMPUTED_VALUE"""),"917-509-4148")</f>
        <v>917-509-4148</v>
      </c>
      <c r="F29" s="2" t="str">
        <f>IFERROR(__xludf.DUMMYFUNCTION("""COMPUTED_VALUE"""),"aislam@axisd.com")</f>
        <v>aislam@axisd.com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</row>
    <row r="30">
      <c r="A30" s="2" t="str">
        <f t="shared" si="1"/>
        <v>Active Environmental Corp. | Romeo Santos</v>
      </c>
      <c r="B30" s="2" t="str">
        <f>IFERROR(__xludf.DUMMYFUNCTION("""COMPUTED_VALUE"""),"Romeo Santos")</f>
        <v>Romeo Santos</v>
      </c>
      <c r="C30" s="2" t="str">
        <f>IFERROR(__xludf.DUMMYFUNCTION("""COMPUTED_VALUE"""),"Active Environmental Corp.")</f>
        <v>Active Environmental Corp.</v>
      </c>
      <c r="D30" s="2" t="str">
        <f>IFERROR(__xludf.DUMMYFUNCTION("""COMPUTED_VALUE"""),"718-854-1111")</f>
        <v>718-854-1111</v>
      </c>
      <c r="E30" s="2"/>
      <c r="F30" s="2" t="str">
        <f>IFERROR(__xludf.DUMMYFUNCTION("""COMPUTED_VALUE"""),"doncarllo@aol.com")</f>
        <v>doncarllo@aol.com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</row>
    <row r="31">
      <c r="A31" s="2" t="str">
        <f t="shared" si="1"/>
        <v>WJY MEP Consulting Services, Inc | Wei Wang</v>
      </c>
      <c r="B31" s="2" t="str">
        <f>IFERROR(__xludf.DUMMYFUNCTION("""COMPUTED_VALUE"""),"Wei Wang")</f>
        <v>Wei Wang</v>
      </c>
      <c r="C31" s="2" t="str">
        <f>IFERROR(__xludf.DUMMYFUNCTION("""COMPUTED_VALUE"""),"WJY MEP Consulting Services, Inc")</f>
        <v>WJY MEP Consulting Services, Inc</v>
      </c>
      <c r="D31" s="2" t="str">
        <f>IFERROR(__xludf.DUMMYFUNCTION("""COMPUTED_VALUE"""),"917-815-5366")</f>
        <v>917-815-5366</v>
      </c>
      <c r="E31" s="2"/>
      <c r="F31" s="2" t="str">
        <f>IFERROR(__xludf.DUMMYFUNCTION("""COMPUTED_VALUE"""),"weiwilliamworld@yahoo.com")</f>
        <v>weiwilliamworld@yahoo.com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</row>
    <row r="32">
      <c r="A32" s="2" t="str">
        <f t="shared" si="1"/>
        <v>Safari Energy Engineering | Yoichi Chiba</v>
      </c>
      <c r="B32" s="2" t="str">
        <f>IFERROR(__xludf.DUMMYFUNCTION("""COMPUTED_VALUE"""),"Yoichi Chiba")</f>
        <v>Yoichi Chiba</v>
      </c>
      <c r="C32" s="2" t="str">
        <f>IFERROR(__xludf.DUMMYFUNCTION("""COMPUTED_VALUE"""),"Safari Energy Engineering")</f>
        <v>Safari Energy Engineering</v>
      </c>
      <c r="D32" s="2" t="str">
        <f>IFERROR(__xludf.DUMMYFUNCTION("""COMPUTED_VALUE"""),"347-506-0277")</f>
        <v>347-506-0277</v>
      </c>
      <c r="E32" s="2" t="str">
        <f>IFERROR(__xludf.DUMMYFUNCTION("""COMPUTED_VALUE"""),"929-204-9438")</f>
        <v>929-204-9438</v>
      </c>
      <c r="F32" s="2" t="str">
        <f>IFERROR(__xludf.DUMMYFUNCTION("""COMPUTED_VALUE"""),"jack@safariny.com")</f>
        <v>jack@safariny.com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</row>
    <row r="33">
      <c r="A33" s="2" t="str">
        <f t="shared" si="1"/>
        <v>Regional Testing Corp | Pamela Fajek</v>
      </c>
      <c r="B33" s="2" t="str">
        <f>IFERROR(__xludf.DUMMYFUNCTION("""COMPUTED_VALUE"""),"Pamela Fajek")</f>
        <v>Pamela Fajek</v>
      </c>
      <c r="C33" s="2" t="str">
        <f>IFERROR(__xludf.DUMMYFUNCTION("""COMPUTED_VALUE"""),"Regional Testing Corp")</f>
        <v>Regional Testing Corp</v>
      </c>
      <c r="D33" s="2" t="str">
        <f>IFERROR(__xludf.DUMMYFUNCTION("""COMPUTED_VALUE"""),"347-221-0110")</f>
        <v>347-221-0110</v>
      </c>
      <c r="E33" s="2"/>
      <c r="F33" s="2" t="str">
        <f>IFERROR(__xludf.DUMMYFUNCTION("""COMPUTED_VALUE"""),"pfajek@regionaltestingcorp.com")</f>
        <v>pfajek@regionaltestingcorp.com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</row>
    <row r="34">
      <c r="A34" s="2" t="str">
        <f t="shared" si="1"/>
        <v> | 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</row>
    <row r="35">
      <c r="A35" s="2" t="str">
        <f t="shared" si="1"/>
        <v> | 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</row>
    <row r="36">
      <c r="A36" s="2" t="str">
        <f t="shared" si="1"/>
        <v> | 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</row>
    <row r="37">
      <c r="A37" s="2" t="str">
        <f t="shared" si="1"/>
        <v> | 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</row>
    <row r="38">
      <c r="A38" s="2" t="str">
        <f t="shared" si="1"/>
        <v> | 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  <c r="DP102" s="2"/>
      <c r="DQ102" s="2"/>
      <c r="DR102" s="2"/>
      <c r="DS102" s="2"/>
      <c r="DT102" s="2"/>
      <c r="DU102" s="2"/>
      <c r="DV102" s="2"/>
      <c r="DW102" s="2"/>
      <c r="DX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  <c r="DP103" s="2"/>
      <c r="DQ103" s="2"/>
      <c r="DR103" s="2"/>
      <c r="DS103" s="2"/>
      <c r="DT103" s="2"/>
      <c r="DU103" s="2"/>
      <c r="DV103" s="2"/>
      <c r="DW103" s="2"/>
      <c r="DX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  <c r="DP104" s="2"/>
      <c r="DQ104" s="2"/>
      <c r="DR104" s="2"/>
      <c r="DS104" s="2"/>
      <c r="DT104" s="2"/>
      <c r="DU104" s="2"/>
      <c r="DV104" s="2"/>
      <c r="DW104" s="2"/>
      <c r="DX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  <c r="DP105" s="2"/>
      <c r="DQ105" s="2"/>
      <c r="DR105" s="2"/>
      <c r="DS105" s="2"/>
      <c r="DT105" s="2"/>
      <c r="DU105" s="2"/>
      <c r="DV105" s="2"/>
      <c r="DW105" s="2"/>
      <c r="DX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  <c r="DP106" s="2"/>
      <c r="DQ106" s="2"/>
      <c r="DR106" s="2"/>
      <c r="DS106" s="2"/>
      <c r="DT106" s="2"/>
      <c r="DU106" s="2"/>
      <c r="DV106" s="2"/>
      <c r="DW106" s="2"/>
      <c r="DX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  <c r="DP107" s="2"/>
      <c r="DQ107" s="2"/>
      <c r="DR107" s="2"/>
      <c r="DS107" s="2"/>
      <c r="DT107" s="2"/>
      <c r="DU107" s="2"/>
      <c r="DV107" s="2"/>
      <c r="DW107" s="2"/>
      <c r="DX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  <c r="DP108" s="2"/>
      <c r="DQ108" s="2"/>
      <c r="DR108" s="2"/>
      <c r="DS108" s="2"/>
      <c r="DT108" s="2"/>
      <c r="DU108" s="2"/>
      <c r="DV108" s="2"/>
      <c r="DW108" s="2"/>
      <c r="DX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  <c r="DP109" s="2"/>
      <c r="DQ109" s="2"/>
      <c r="DR109" s="2"/>
      <c r="DS109" s="2"/>
      <c r="DT109" s="2"/>
      <c r="DU109" s="2"/>
      <c r="DV109" s="2"/>
      <c r="DW109" s="2"/>
      <c r="DX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  <c r="DP110" s="2"/>
      <c r="DQ110" s="2"/>
      <c r="DR110" s="2"/>
      <c r="DS110" s="2"/>
      <c r="DT110" s="2"/>
      <c r="DU110" s="2"/>
      <c r="DV110" s="2"/>
      <c r="DW110" s="2"/>
      <c r="DX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  <c r="DP111" s="2"/>
      <c r="DQ111" s="2"/>
      <c r="DR111" s="2"/>
      <c r="DS111" s="2"/>
      <c r="DT111" s="2"/>
      <c r="DU111" s="2"/>
      <c r="DV111" s="2"/>
      <c r="DW111" s="2"/>
      <c r="DX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  <c r="DP112" s="2"/>
      <c r="DQ112" s="2"/>
      <c r="DR112" s="2"/>
      <c r="DS112" s="2"/>
      <c r="DT112" s="2"/>
      <c r="DU112" s="2"/>
      <c r="DV112" s="2"/>
      <c r="DW112" s="2"/>
      <c r="DX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  <c r="DP113" s="2"/>
      <c r="DQ113" s="2"/>
      <c r="DR113" s="2"/>
      <c r="DS113" s="2"/>
      <c r="DT113" s="2"/>
      <c r="DU113" s="2"/>
      <c r="DV113" s="2"/>
      <c r="DW113" s="2"/>
      <c r="DX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  <c r="DP114" s="2"/>
      <c r="DQ114" s="2"/>
      <c r="DR114" s="2"/>
      <c r="DS114" s="2"/>
      <c r="DT114" s="2"/>
      <c r="DU114" s="2"/>
      <c r="DV114" s="2"/>
      <c r="DW114" s="2"/>
      <c r="DX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  <c r="DP115" s="2"/>
      <c r="DQ115" s="2"/>
      <c r="DR115" s="2"/>
      <c r="DS115" s="2"/>
      <c r="DT115" s="2"/>
      <c r="DU115" s="2"/>
      <c r="DV115" s="2"/>
      <c r="DW115" s="2"/>
      <c r="DX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  <c r="DP116" s="2"/>
      <c r="DQ116" s="2"/>
      <c r="DR116" s="2"/>
      <c r="DS116" s="2"/>
      <c r="DT116" s="2"/>
      <c r="DU116" s="2"/>
      <c r="DV116" s="2"/>
      <c r="DW116" s="2"/>
      <c r="DX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  <c r="DP117" s="2"/>
      <c r="DQ117" s="2"/>
      <c r="DR117" s="2"/>
      <c r="DS117" s="2"/>
      <c r="DT117" s="2"/>
      <c r="DU117" s="2"/>
      <c r="DV117" s="2"/>
      <c r="DW117" s="2"/>
      <c r="DX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  <c r="DP134" s="2"/>
      <c r="DQ134" s="2"/>
      <c r="DR134" s="2"/>
      <c r="DS134" s="2"/>
      <c r="DT134" s="2"/>
      <c r="DU134" s="2"/>
      <c r="DV134" s="2"/>
      <c r="DW134" s="2"/>
      <c r="DX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  <c r="DP135" s="2"/>
      <c r="DQ135" s="2"/>
      <c r="DR135" s="2"/>
      <c r="DS135" s="2"/>
      <c r="DT135" s="2"/>
      <c r="DU135" s="2"/>
      <c r="DV135" s="2"/>
      <c r="DW135" s="2"/>
      <c r="DX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  <c r="DP136" s="2"/>
      <c r="DQ136" s="2"/>
      <c r="DR136" s="2"/>
      <c r="DS136" s="2"/>
      <c r="DT136" s="2"/>
      <c r="DU136" s="2"/>
      <c r="DV136" s="2"/>
      <c r="DW136" s="2"/>
      <c r="DX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  <c r="DP137" s="2"/>
      <c r="DQ137" s="2"/>
      <c r="DR137" s="2"/>
      <c r="DS137" s="2"/>
      <c r="DT137" s="2"/>
      <c r="DU137" s="2"/>
      <c r="DV137" s="2"/>
      <c r="DW137" s="2"/>
      <c r="DX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  <c r="DP138" s="2"/>
      <c r="DQ138" s="2"/>
      <c r="DR138" s="2"/>
      <c r="DS138" s="2"/>
      <c r="DT138" s="2"/>
      <c r="DU138" s="2"/>
      <c r="DV138" s="2"/>
      <c r="DW138" s="2"/>
      <c r="DX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  <c r="DP139" s="2"/>
      <c r="DQ139" s="2"/>
      <c r="DR139" s="2"/>
      <c r="DS139" s="2"/>
      <c r="DT139" s="2"/>
      <c r="DU139" s="2"/>
      <c r="DV139" s="2"/>
      <c r="DW139" s="2"/>
      <c r="DX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  <c r="DP140" s="2"/>
      <c r="DQ140" s="2"/>
      <c r="DR140" s="2"/>
      <c r="DS140" s="2"/>
      <c r="DT140" s="2"/>
      <c r="DU140" s="2"/>
      <c r="DV140" s="2"/>
      <c r="DW140" s="2"/>
      <c r="DX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  <c r="DP141" s="2"/>
      <c r="DQ141" s="2"/>
      <c r="DR141" s="2"/>
      <c r="DS141" s="2"/>
      <c r="DT141" s="2"/>
      <c r="DU141" s="2"/>
      <c r="DV141" s="2"/>
      <c r="DW141" s="2"/>
      <c r="DX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  <c r="DP142" s="2"/>
      <c r="DQ142" s="2"/>
      <c r="DR142" s="2"/>
      <c r="DS142" s="2"/>
      <c r="DT142" s="2"/>
      <c r="DU142" s="2"/>
      <c r="DV142" s="2"/>
      <c r="DW142" s="2"/>
      <c r="DX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  <c r="DP143" s="2"/>
      <c r="DQ143" s="2"/>
      <c r="DR143" s="2"/>
      <c r="DS143" s="2"/>
      <c r="DT143" s="2"/>
      <c r="DU143" s="2"/>
      <c r="DV143" s="2"/>
      <c r="DW143" s="2"/>
      <c r="DX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  <c r="DP144" s="2"/>
      <c r="DQ144" s="2"/>
      <c r="DR144" s="2"/>
      <c r="DS144" s="2"/>
      <c r="DT144" s="2"/>
      <c r="DU144" s="2"/>
      <c r="DV144" s="2"/>
      <c r="DW144" s="2"/>
      <c r="DX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  <c r="DP145" s="2"/>
      <c r="DQ145" s="2"/>
      <c r="DR145" s="2"/>
      <c r="DS145" s="2"/>
      <c r="DT145" s="2"/>
      <c r="DU145" s="2"/>
      <c r="DV145" s="2"/>
      <c r="DW145" s="2"/>
      <c r="DX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  <c r="DP146" s="2"/>
      <c r="DQ146" s="2"/>
      <c r="DR146" s="2"/>
      <c r="DS146" s="2"/>
      <c r="DT146" s="2"/>
      <c r="DU146" s="2"/>
      <c r="DV146" s="2"/>
      <c r="DW146" s="2"/>
      <c r="DX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  <c r="DP147" s="2"/>
      <c r="DQ147" s="2"/>
      <c r="DR147" s="2"/>
      <c r="DS147" s="2"/>
      <c r="DT147" s="2"/>
      <c r="DU147" s="2"/>
      <c r="DV147" s="2"/>
      <c r="DW147" s="2"/>
      <c r="DX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  <c r="DP148" s="2"/>
      <c r="DQ148" s="2"/>
      <c r="DR148" s="2"/>
      <c r="DS148" s="2"/>
      <c r="DT148" s="2"/>
      <c r="DU148" s="2"/>
      <c r="DV148" s="2"/>
      <c r="DW148" s="2"/>
      <c r="DX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  <c r="DP149" s="2"/>
      <c r="DQ149" s="2"/>
      <c r="DR149" s="2"/>
      <c r="DS149" s="2"/>
      <c r="DT149" s="2"/>
      <c r="DU149" s="2"/>
      <c r="DV149" s="2"/>
      <c r="DW149" s="2"/>
      <c r="DX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  <c r="DP150" s="2"/>
      <c r="DQ150" s="2"/>
      <c r="DR150" s="2"/>
      <c r="DS150" s="2"/>
      <c r="DT150" s="2"/>
      <c r="DU150" s="2"/>
      <c r="DV150" s="2"/>
      <c r="DW150" s="2"/>
      <c r="DX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  <c r="DP151" s="2"/>
      <c r="DQ151" s="2"/>
      <c r="DR151" s="2"/>
      <c r="DS151" s="2"/>
      <c r="DT151" s="2"/>
      <c r="DU151" s="2"/>
      <c r="DV151" s="2"/>
      <c r="DW151" s="2"/>
      <c r="DX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  <c r="DP152" s="2"/>
      <c r="DQ152" s="2"/>
      <c r="DR152" s="2"/>
      <c r="DS152" s="2"/>
      <c r="DT152" s="2"/>
      <c r="DU152" s="2"/>
      <c r="DV152" s="2"/>
      <c r="DW152" s="2"/>
      <c r="DX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  <c r="DP153" s="2"/>
      <c r="DQ153" s="2"/>
      <c r="DR153" s="2"/>
      <c r="DS153" s="2"/>
      <c r="DT153" s="2"/>
      <c r="DU153" s="2"/>
      <c r="DV153" s="2"/>
      <c r="DW153" s="2"/>
      <c r="DX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  <c r="DP154" s="2"/>
      <c r="DQ154" s="2"/>
      <c r="DR154" s="2"/>
      <c r="DS154" s="2"/>
      <c r="DT154" s="2"/>
      <c r="DU154" s="2"/>
      <c r="DV154" s="2"/>
      <c r="DW154" s="2"/>
      <c r="DX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  <c r="DP155" s="2"/>
      <c r="DQ155" s="2"/>
      <c r="DR155" s="2"/>
      <c r="DS155" s="2"/>
      <c r="DT155" s="2"/>
      <c r="DU155" s="2"/>
      <c r="DV155" s="2"/>
      <c r="DW155" s="2"/>
      <c r="DX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  <c r="DP156" s="2"/>
      <c r="DQ156" s="2"/>
      <c r="DR156" s="2"/>
      <c r="DS156" s="2"/>
      <c r="DT156" s="2"/>
      <c r="DU156" s="2"/>
      <c r="DV156" s="2"/>
      <c r="DW156" s="2"/>
      <c r="DX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  <c r="DP157" s="2"/>
      <c r="DQ157" s="2"/>
      <c r="DR157" s="2"/>
      <c r="DS157" s="2"/>
      <c r="DT157" s="2"/>
      <c r="DU157" s="2"/>
      <c r="DV157" s="2"/>
      <c r="DW157" s="2"/>
      <c r="DX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  <c r="DP158" s="2"/>
      <c r="DQ158" s="2"/>
      <c r="DR158" s="2"/>
      <c r="DS158" s="2"/>
      <c r="DT158" s="2"/>
      <c r="DU158" s="2"/>
      <c r="DV158" s="2"/>
      <c r="DW158" s="2"/>
      <c r="DX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  <c r="DP159" s="2"/>
      <c r="DQ159" s="2"/>
      <c r="DR159" s="2"/>
      <c r="DS159" s="2"/>
      <c r="DT159" s="2"/>
      <c r="DU159" s="2"/>
      <c r="DV159" s="2"/>
      <c r="DW159" s="2"/>
      <c r="DX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  <c r="DP160" s="2"/>
      <c r="DQ160" s="2"/>
      <c r="DR160" s="2"/>
      <c r="DS160" s="2"/>
      <c r="DT160" s="2"/>
      <c r="DU160" s="2"/>
      <c r="DV160" s="2"/>
      <c r="DW160" s="2"/>
      <c r="DX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  <c r="DP161" s="2"/>
      <c r="DQ161" s="2"/>
      <c r="DR161" s="2"/>
      <c r="DS161" s="2"/>
      <c r="DT161" s="2"/>
      <c r="DU161" s="2"/>
      <c r="DV161" s="2"/>
      <c r="DW161" s="2"/>
      <c r="DX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  <c r="DP162" s="2"/>
      <c r="DQ162" s="2"/>
      <c r="DR162" s="2"/>
      <c r="DS162" s="2"/>
      <c r="DT162" s="2"/>
      <c r="DU162" s="2"/>
      <c r="DV162" s="2"/>
      <c r="DW162" s="2"/>
      <c r="DX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  <c r="DP163" s="2"/>
      <c r="DQ163" s="2"/>
      <c r="DR163" s="2"/>
      <c r="DS163" s="2"/>
      <c r="DT163" s="2"/>
      <c r="DU163" s="2"/>
      <c r="DV163" s="2"/>
      <c r="DW163" s="2"/>
      <c r="DX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  <c r="DP164" s="2"/>
      <c r="DQ164" s="2"/>
      <c r="DR164" s="2"/>
      <c r="DS164" s="2"/>
      <c r="DT164" s="2"/>
      <c r="DU164" s="2"/>
      <c r="DV164" s="2"/>
      <c r="DW164" s="2"/>
      <c r="DX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2"/>
      <c r="DQ165" s="2"/>
      <c r="DR165" s="2"/>
      <c r="DS165" s="2"/>
      <c r="DT165" s="2"/>
      <c r="DU165" s="2"/>
      <c r="DV165" s="2"/>
      <c r="DW165" s="2"/>
      <c r="DX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2"/>
      <c r="DQ166" s="2"/>
      <c r="DR166" s="2"/>
      <c r="DS166" s="2"/>
      <c r="DT166" s="2"/>
      <c r="DU166" s="2"/>
      <c r="DV166" s="2"/>
      <c r="DW166" s="2"/>
      <c r="DX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2"/>
      <c r="DQ167" s="2"/>
      <c r="DR167" s="2"/>
      <c r="DS167" s="2"/>
      <c r="DT167" s="2"/>
      <c r="DU167" s="2"/>
      <c r="DV167" s="2"/>
      <c r="DW167" s="2"/>
      <c r="DX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2"/>
      <c r="DQ168" s="2"/>
      <c r="DR168" s="2"/>
      <c r="DS168" s="2"/>
      <c r="DT168" s="2"/>
      <c r="DU168" s="2"/>
      <c r="DV168" s="2"/>
      <c r="DW168" s="2"/>
      <c r="DX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2"/>
      <c r="DQ169" s="2"/>
      <c r="DR169" s="2"/>
      <c r="DS169" s="2"/>
      <c r="DT169" s="2"/>
      <c r="DU169" s="2"/>
      <c r="DV169" s="2"/>
      <c r="DW169" s="2"/>
      <c r="DX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2"/>
      <c r="DQ170" s="2"/>
      <c r="DR170" s="2"/>
      <c r="DS170" s="2"/>
      <c r="DT170" s="2"/>
      <c r="DU170" s="2"/>
      <c r="DV170" s="2"/>
      <c r="DW170" s="2"/>
      <c r="DX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2"/>
      <c r="DQ171" s="2"/>
      <c r="DR171" s="2"/>
      <c r="DS171" s="2"/>
      <c r="DT171" s="2"/>
      <c r="DU171" s="2"/>
      <c r="DV171" s="2"/>
      <c r="DW171" s="2"/>
      <c r="DX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2"/>
      <c r="DQ172" s="2"/>
      <c r="DR172" s="2"/>
      <c r="DS172" s="2"/>
      <c r="DT172" s="2"/>
      <c r="DU172" s="2"/>
      <c r="DV172" s="2"/>
      <c r="DW172" s="2"/>
      <c r="DX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2"/>
      <c r="DQ173" s="2"/>
      <c r="DR173" s="2"/>
      <c r="DS173" s="2"/>
      <c r="DT173" s="2"/>
      <c r="DU173" s="2"/>
      <c r="DV173" s="2"/>
      <c r="DW173" s="2"/>
      <c r="DX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2"/>
      <c r="DQ174" s="2"/>
      <c r="DR174" s="2"/>
      <c r="DS174" s="2"/>
      <c r="DT174" s="2"/>
      <c r="DU174" s="2"/>
      <c r="DV174" s="2"/>
      <c r="DW174" s="2"/>
      <c r="DX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2"/>
      <c r="DQ175" s="2"/>
      <c r="DR175" s="2"/>
      <c r="DS175" s="2"/>
      <c r="DT175" s="2"/>
      <c r="DU175" s="2"/>
      <c r="DV175" s="2"/>
      <c r="DW175" s="2"/>
      <c r="DX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2"/>
      <c r="DQ176" s="2"/>
      <c r="DR176" s="2"/>
      <c r="DS176" s="2"/>
      <c r="DT176" s="2"/>
      <c r="DU176" s="2"/>
      <c r="DV176" s="2"/>
      <c r="DW176" s="2"/>
      <c r="DX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2"/>
      <c r="DQ177" s="2"/>
      <c r="DR177" s="2"/>
      <c r="DS177" s="2"/>
      <c r="DT177" s="2"/>
      <c r="DU177" s="2"/>
      <c r="DV177" s="2"/>
      <c r="DW177" s="2"/>
      <c r="DX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2"/>
      <c r="DQ178" s="2"/>
      <c r="DR178" s="2"/>
      <c r="DS178" s="2"/>
      <c r="DT178" s="2"/>
      <c r="DU178" s="2"/>
      <c r="DV178" s="2"/>
      <c r="DW178" s="2"/>
      <c r="DX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2"/>
      <c r="DQ179" s="2"/>
      <c r="DR179" s="2"/>
      <c r="DS179" s="2"/>
      <c r="DT179" s="2"/>
      <c r="DU179" s="2"/>
      <c r="DV179" s="2"/>
      <c r="DW179" s="2"/>
      <c r="DX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2"/>
      <c r="DQ180" s="2"/>
      <c r="DR180" s="2"/>
      <c r="DS180" s="2"/>
      <c r="DT180" s="2"/>
      <c r="DU180" s="2"/>
      <c r="DV180" s="2"/>
      <c r="DW180" s="2"/>
      <c r="DX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2"/>
      <c r="DQ181" s="2"/>
      <c r="DR181" s="2"/>
      <c r="DS181" s="2"/>
      <c r="DT181" s="2"/>
      <c r="DU181" s="2"/>
      <c r="DV181" s="2"/>
      <c r="DW181" s="2"/>
      <c r="DX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2"/>
      <c r="DQ182" s="2"/>
      <c r="DR182" s="2"/>
      <c r="DS182" s="2"/>
      <c r="DT182" s="2"/>
      <c r="DU182" s="2"/>
      <c r="DV182" s="2"/>
      <c r="DW182" s="2"/>
      <c r="DX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2"/>
      <c r="DQ183" s="2"/>
      <c r="DR183" s="2"/>
      <c r="DS183" s="2"/>
      <c r="DT183" s="2"/>
      <c r="DU183" s="2"/>
      <c r="DV183" s="2"/>
      <c r="DW183" s="2"/>
      <c r="DX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2"/>
      <c r="DQ184" s="2"/>
      <c r="DR184" s="2"/>
      <c r="DS184" s="2"/>
      <c r="DT184" s="2"/>
      <c r="DU184" s="2"/>
      <c r="DV184" s="2"/>
      <c r="DW184" s="2"/>
      <c r="DX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2"/>
      <c r="DQ185" s="2"/>
      <c r="DR185" s="2"/>
      <c r="DS185" s="2"/>
      <c r="DT185" s="2"/>
      <c r="DU185" s="2"/>
      <c r="DV185" s="2"/>
      <c r="DW185" s="2"/>
      <c r="DX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2"/>
      <c r="DQ186" s="2"/>
      <c r="DR186" s="2"/>
      <c r="DS186" s="2"/>
      <c r="DT186" s="2"/>
      <c r="DU186" s="2"/>
      <c r="DV186" s="2"/>
      <c r="DW186" s="2"/>
      <c r="DX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2"/>
      <c r="DQ187" s="2"/>
      <c r="DR187" s="2"/>
      <c r="DS187" s="2"/>
      <c r="DT187" s="2"/>
      <c r="DU187" s="2"/>
      <c r="DV187" s="2"/>
      <c r="DW187" s="2"/>
      <c r="DX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2"/>
      <c r="DQ188" s="2"/>
      <c r="DR188" s="2"/>
      <c r="DS188" s="2"/>
      <c r="DT188" s="2"/>
      <c r="DU188" s="2"/>
      <c r="DV188" s="2"/>
      <c r="DW188" s="2"/>
      <c r="DX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2"/>
      <c r="DQ189" s="2"/>
      <c r="DR189" s="2"/>
      <c r="DS189" s="2"/>
      <c r="DT189" s="2"/>
      <c r="DU189" s="2"/>
      <c r="DV189" s="2"/>
      <c r="DW189" s="2"/>
      <c r="DX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2"/>
      <c r="DQ190" s="2"/>
      <c r="DR190" s="2"/>
      <c r="DS190" s="2"/>
      <c r="DT190" s="2"/>
      <c r="DU190" s="2"/>
      <c r="DV190" s="2"/>
      <c r="DW190" s="2"/>
      <c r="DX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2"/>
      <c r="DQ191" s="2"/>
      <c r="DR191" s="2"/>
      <c r="DS191" s="2"/>
      <c r="DT191" s="2"/>
      <c r="DU191" s="2"/>
      <c r="DV191" s="2"/>
      <c r="DW191" s="2"/>
      <c r="DX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2"/>
      <c r="DQ192" s="2"/>
      <c r="DR192" s="2"/>
      <c r="DS192" s="2"/>
      <c r="DT192" s="2"/>
      <c r="DU192" s="2"/>
      <c r="DV192" s="2"/>
      <c r="DW192" s="2"/>
      <c r="DX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2"/>
      <c r="DQ193" s="2"/>
      <c r="DR193" s="2"/>
      <c r="DS193" s="2"/>
      <c r="DT193" s="2"/>
      <c r="DU193" s="2"/>
      <c r="DV193" s="2"/>
      <c r="DW193" s="2"/>
      <c r="DX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2"/>
      <c r="DQ194" s="2"/>
      <c r="DR194" s="2"/>
      <c r="DS194" s="2"/>
      <c r="DT194" s="2"/>
      <c r="DU194" s="2"/>
      <c r="DV194" s="2"/>
      <c r="DW194" s="2"/>
      <c r="DX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2"/>
      <c r="DQ195" s="2"/>
      <c r="DR195" s="2"/>
      <c r="DS195" s="2"/>
      <c r="DT195" s="2"/>
      <c r="DU195" s="2"/>
      <c r="DV195" s="2"/>
      <c r="DW195" s="2"/>
      <c r="DX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2"/>
      <c r="DQ196" s="2"/>
      <c r="DR196" s="2"/>
      <c r="DS196" s="2"/>
      <c r="DT196" s="2"/>
      <c r="DU196" s="2"/>
      <c r="DV196" s="2"/>
      <c r="DW196" s="2"/>
      <c r="DX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2"/>
      <c r="DQ197" s="2"/>
      <c r="DR197" s="2"/>
      <c r="DS197" s="2"/>
      <c r="DT197" s="2"/>
      <c r="DU197" s="2"/>
      <c r="DV197" s="2"/>
      <c r="DW197" s="2"/>
      <c r="DX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2"/>
      <c r="DQ198" s="2"/>
      <c r="DR198" s="2"/>
      <c r="DS198" s="2"/>
      <c r="DT198" s="2"/>
      <c r="DU198" s="2"/>
      <c r="DV198" s="2"/>
      <c r="DW198" s="2"/>
      <c r="DX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2"/>
      <c r="DQ199" s="2"/>
      <c r="DR199" s="2"/>
      <c r="DS199" s="2"/>
      <c r="DT199" s="2"/>
      <c r="DU199" s="2"/>
      <c r="DV199" s="2"/>
      <c r="DW199" s="2"/>
      <c r="DX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2"/>
      <c r="DQ200" s="2"/>
      <c r="DR200" s="2"/>
      <c r="DS200" s="2"/>
      <c r="DT200" s="2"/>
      <c r="DU200" s="2"/>
      <c r="DV200" s="2"/>
      <c r="DW200" s="2"/>
      <c r="DX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2"/>
      <c r="DQ201" s="2"/>
      <c r="DR201" s="2"/>
      <c r="DS201" s="2"/>
      <c r="DT201" s="2"/>
      <c r="DU201" s="2"/>
      <c r="DV201" s="2"/>
      <c r="DW201" s="2"/>
      <c r="DX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2"/>
      <c r="DQ202" s="2"/>
      <c r="DR202" s="2"/>
      <c r="DS202" s="2"/>
      <c r="DT202" s="2"/>
      <c r="DU202" s="2"/>
      <c r="DV202" s="2"/>
      <c r="DW202" s="2"/>
      <c r="DX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2"/>
      <c r="DQ203" s="2"/>
      <c r="DR203" s="2"/>
      <c r="DS203" s="2"/>
      <c r="DT203" s="2"/>
      <c r="DU203" s="2"/>
      <c r="DV203" s="2"/>
      <c r="DW203" s="2"/>
      <c r="DX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2"/>
      <c r="DQ204" s="2"/>
      <c r="DR204" s="2"/>
      <c r="DS204" s="2"/>
      <c r="DT204" s="2"/>
      <c r="DU204" s="2"/>
      <c r="DV204" s="2"/>
      <c r="DW204" s="2"/>
      <c r="DX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2"/>
      <c r="DQ205" s="2"/>
      <c r="DR205" s="2"/>
      <c r="DS205" s="2"/>
      <c r="DT205" s="2"/>
      <c r="DU205" s="2"/>
      <c r="DV205" s="2"/>
      <c r="DW205" s="2"/>
      <c r="DX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2"/>
      <c r="DQ206" s="2"/>
      <c r="DR206" s="2"/>
      <c r="DS206" s="2"/>
      <c r="DT206" s="2"/>
      <c r="DU206" s="2"/>
      <c r="DV206" s="2"/>
      <c r="DW206" s="2"/>
      <c r="DX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2"/>
      <c r="DQ207" s="2"/>
      <c r="DR207" s="2"/>
      <c r="DS207" s="2"/>
      <c r="DT207" s="2"/>
      <c r="DU207" s="2"/>
      <c r="DV207" s="2"/>
      <c r="DW207" s="2"/>
      <c r="DX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2"/>
      <c r="DQ208" s="2"/>
      <c r="DR208" s="2"/>
      <c r="DS208" s="2"/>
      <c r="DT208" s="2"/>
      <c r="DU208" s="2"/>
      <c r="DV208" s="2"/>
      <c r="DW208" s="2"/>
      <c r="DX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2"/>
      <c r="DQ209" s="2"/>
      <c r="DR209" s="2"/>
      <c r="DS209" s="2"/>
      <c r="DT209" s="2"/>
      <c r="DU209" s="2"/>
      <c r="DV209" s="2"/>
      <c r="DW209" s="2"/>
      <c r="DX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2"/>
      <c r="DQ210" s="2"/>
      <c r="DR210" s="2"/>
      <c r="DS210" s="2"/>
      <c r="DT210" s="2"/>
      <c r="DU210" s="2"/>
      <c r="DV210" s="2"/>
      <c r="DW210" s="2"/>
      <c r="DX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2"/>
      <c r="DQ211" s="2"/>
      <c r="DR211" s="2"/>
      <c r="DS211" s="2"/>
      <c r="DT211" s="2"/>
      <c r="DU211" s="2"/>
      <c r="DV211" s="2"/>
      <c r="DW211" s="2"/>
      <c r="DX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2"/>
      <c r="DQ212" s="2"/>
      <c r="DR212" s="2"/>
      <c r="DS212" s="2"/>
      <c r="DT212" s="2"/>
      <c r="DU212" s="2"/>
      <c r="DV212" s="2"/>
      <c r="DW212" s="2"/>
      <c r="DX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2"/>
      <c r="DQ213" s="2"/>
      <c r="DR213" s="2"/>
      <c r="DS213" s="2"/>
      <c r="DT213" s="2"/>
      <c r="DU213" s="2"/>
      <c r="DV213" s="2"/>
      <c r="DW213" s="2"/>
      <c r="DX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2"/>
      <c r="DQ214" s="2"/>
      <c r="DR214" s="2"/>
      <c r="DS214" s="2"/>
      <c r="DT214" s="2"/>
      <c r="DU214" s="2"/>
      <c r="DV214" s="2"/>
      <c r="DW214" s="2"/>
      <c r="DX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2"/>
      <c r="DQ215" s="2"/>
      <c r="DR215" s="2"/>
      <c r="DS215" s="2"/>
      <c r="DT215" s="2"/>
      <c r="DU215" s="2"/>
      <c r="DV215" s="2"/>
      <c r="DW215" s="2"/>
      <c r="DX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2"/>
      <c r="DQ216" s="2"/>
      <c r="DR216" s="2"/>
      <c r="DS216" s="2"/>
      <c r="DT216" s="2"/>
      <c r="DU216" s="2"/>
      <c r="DV216" s="2"/>
      <c r="DW216" s="2"/>
      <c r="DX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2"/>
      <c r="DQ217" s="2"/>
      <c r="DR217" s="2"/>
      <c r="DS217" s="2"/>
      <c r="DT217" s="2"/>
      <c r="DU217" s="2"/>
      <c r="DV217" s="2"/>
      <c r="DW217" s="2"/>
      <c r="DX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2"/>
      <c r="DQ218" s="2"/>
      <c r="DR218" s="2"/>
      <c r="DS218" s="2"/>
      <c r="DT218" s="2"/>
      <c r="DU218" s="2"/>
      <c r="DV218" s="2"/>
      <c r="DW218" s="2"/>
      <c r="DX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2"/>
      <c r="DQ219" s="2"/>
      <c r="DR219" s="2"/>
      <c r="DS219" s="2"/>
      <c r="DT219" s="2"/>
      <c r="DU219" s="2"/>
      <c r="DV219" s="2"/>
      <c r="DW219" s="2"/>
      <c r="DX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2"/>
      <c r="DQ220" s="2"/>
      <c r="DR220" s="2"/>
      <c r="DS220" s="2"/>
      <c r="DT220" s="2"/>
      <c r="DU220" s="2"/>
      <c r="DV220" s="2"/>
      <c r="DW220" s="2"/>
      <c r="DX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2"/>
      <c r="DQ221" s="2"/>
      <c r="DR221" s="2"/>
      <c r="DS221" s="2"/>
      <c r="DT221" s="2"/>
      <c r="DU221" s="2"/>
      <c r="DV221" s="2"/>
      <c r="DW221" s="2"/>
      <c r="DX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2"/>
      <c r="DQ222" s="2"/>
      <c r="DR222" s="2"/>
      <c r="DS222" s="2"/>
      <c r="DT222" s="2"/>
      <c r="DU222" s="2"/>
      <c r="DV222" s="2"/>
      <c r="DW222" s="2"/>
      <c r="DX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2"/>
      <c r="DQ223" s="2"/>
      <c r="DR223" s="2"/>
      <c r="DS223" s="2"/>
      <c r="DT223" s="2"/>
      <c r="DU223" s="2"/>
      <c r="DV223" s="2"/>
      <c r="DW223" s="2"/>
      <c r="DX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2"/>
      <c r="DQ224" s="2"/>
      <c r="DR224" s="2"/>
      <c r="DS224" s="2"/>
      <c r="DT224" s="2"/>
      <c r="DU224" s="2"/>
      <c r="DV224" s="2"/>
      <c r="DW224" s="2"/>
      <c r="DX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2"/>
      <c r="DQ225" s="2"/>
      <c r="DR225" s="2"/>
      <c r="DS225" s="2"/>
      <c r="DT225" s="2"/>
      <c r="DU225" s="2"/>
      <c r="DV225" s="2"/>
      <c r="DW225" s="2"/>
      <c r="DX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2"/>
      <c r="DQ226" s="2"/>
      <c r="DR226" s="2"/>
      <c r="DS226" s="2"/>
      <c r="DT226" s="2"/>
      <c r="DU226" s="2"/>
      <c r="DV226" s="2"/>
      <c r="DW226" s="2"/>
      <c r="DX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2"/>
      <c r="DQ227" s="2"/>
      <c r="DR227" s="2"/>
      <c r="DS227" s="2"/>
      <c r="DT227" s="2"/>
      <c r="DU227" s="2"/>
      <c r="DV227" s="2"/>
      <c r="DW227" s="2"/>
      <c r="DX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2"/>
      <c r="DQ228" s="2"/>
      <c r="DR228" s="2"/>
      <c r="DS228" s="2"/>
      <c r="DT228" s="2"/>
      <c r="DU228" s="2"/>
      <c r="DV228" s="2"/>
      <c r="DW228" s="2"/>
      <c r="DX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2"/>
      <c r="DQ229" s="2"/>
      <c r="DR229" s="2"/>
      <c r="DS229" s="2"/>
      <c r="DT229" s="2"/>
      <c r="DU229" s="2"/>
      <c r="DV229" s="2"/>
      <c r="DW229" s="2"/>
      <c r="DX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2"/>
      <c r="DQ230" s="2"/>
      <c r="DR230" s="2"/>
      <c r="DS230" s="2"/>
      <c r="DT230" s="2"/>
      <c r="DU230" s="2"/>
      <c r="DV230" s="2"/>
      <c r="DW230" s="2"/>
      <c r="DX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2"/>
      <c r="DQ231" s="2"/>
      <c r="DR231" s="2"/>
      <c r="DS231" s="2"/>
      <c r="DT231" s="2"/>
      <c r="DU231" s="2"/>
      <c r="DV231" s="2"/>
      <c r="DW231" s="2"/>
      <c r="DX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2"/>
      <c r="DQ232" s="2"/>
      <c r="DR232" s="2"/>
      <c r="DS232" s="2"/>
      <c r="DT232" s="2"/>
      <c r="DU232" s="2"/>
      <c r="DV232" s="2"/>
      <c r="DW232" s="2"/>
      <c r="DX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2"/>
      <c r="DQ233" s="2"/>
      <c r="DR233" s="2"/>
      <c r="DS233" s="2"/>
      <c r="DT233" s="2"/>
      <c r="DU233" s="2"/>
      <c r="DV233" s="2"/>
      <c r="DW233" s="2"/>
      <c r="DX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2"/>
      <c r="DQ234" s="2"/>
      <c r="DR234" s="2"/>
      <c r="DS234" s="2"/>
      <c r="DT234" s="2"/>
      <c r="DU234" s="2"/>
      <c r="DV234" s="2"/>
      <c r="DW234" s="2"/>
      <c r="DX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2"/>
      <c r="DQ235" s="2"/>
      <c r="DR235" s="2"/>
      <c r="DS235" s="2"/>
      <c r="DT235" s="2"/>
      <c r="DU235" s="2"/>
      <c r="DV235" s="2"/>
      <c r="DW235" s="2"/>
      <c r="DX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2"/>
      <c r="DQ236" s="2"/>
      <c r="DR236" s="2"/>
      <c r="DS236" s="2"/>
      <c r="DT236" s="2"/>
      <c r="DU236" s="2"/>
      <c r="DV236" s="2"/>
      <c r="DW236" s="2"/>
      <c r="DX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2"/>
      <c r="DQ237" s="2"/>
      <c r="DR237" s="2"/>
      <c r="DS237" s="2"/>
      <c r="DT237" s="2"/>
      <c r="DU237" s="2"/>
      <c r="DV237" s="2"/>
      <c r="DW237" s="2"/>
      <c r="DX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2"/>
      <c r="DQ238" s="2"/>
      <c r="DR238" s="2"/>
      <c r="DS238" s="2"/>
      <c r="DT238" s="2"/>
      <c r="DU238" s="2"/>
      <c r="DV238" s="2"/>
      <c r="DW238" s="2"/>
      <c r="DX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2"/>
      <c r="DQ239" s="2"/>
      <c r="DR239" s="2"/>
      <c r="DS239" s="2"/>
      <c r="DT239" s="2"/>
      <c r="DU239" s="2"/>
      <c r="DV239" s="2"/>
      <c r="DW239" s="2"/>
      <c r="DX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2"/>
      <c r="DQ240" s="2"/>
      <c r="DR240" s="2"/>
      <c r="DS240" s="2"/>
      <c r="DT240" s="2"/>
      <c r="DU240" s="2"/>
      <c r="DV240" s="2"/>
      <c r="DW240" s="2"/>
      <c r="DX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2"/>
      <c r="DQ241" s="2"/>
      <c r="DR241" s="2"/>
      <c r="DS241" s="2"/>
      <c r="DT241" s="2"/>
      <c r="DU241" s="2"/>
      <c r="DV241" s="2"/>
      <c r="DW241" s="2"/>
      <c r="DX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2"/>
      <c r="DQ242" s="2"/>
      <c r="DR242" s="2"/>
      <c r="DS242" s="2"/>
      <c r="DT242" s="2"/>
      <c r="DU242" s="2"/>
      <c r="DV242" s="2"/>
      <c r="DW242" s="2"/>
      <c r="DX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2"/>
      <c r="DQ243" s="2"/>
      <c r="DR243" s="2"/>
      <c r="DS243" s="2"/>
      <c r="DT243" s="2"/>
      <c r="DU243" s="2"/>
      <c r="DV243" s="2"/>
      <c r="DW243" s="2"/>
      <c r="DX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2"/>
      <c r="DQ244" s="2"/>
      <c r="DR244" s="2"/>
      <c r="DS244" s="2"/>
      <c r="DT244" s="2"/>
      <c r="DU244" s="2"/>
      <c r="DV244" s="2"/>
      <c r="DW244" s="2"/>
      <c r="DX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2"/>
      <c r="DQ245" s="2"/>
      <c r="DR245" s="2"/>
      <c r="DS245" s="2"/>
      <c r="DT245" s="2"/>
      <c r="DU245" s="2"/>
      <c r="DV245" s="2"/>
      <c r="DW245" s="2"/>
      <c r="DX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2"/>
      <c r="DQ246" s="2"/>
      <c r="DR246" s="2"/>
      <c r="DS246" s="2"/>
      <c r="DT246" s="2"/>
      <c r="DU246" s="2"/>
      <c r="DV246" s="2"/>
      <c r="DW246" s="2"/>
      <c r="DX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2"/>
      <c r="DQ247" s="2"/>
      <c r="DR247" s="2"/>
      <c r="DS247" s="2"/>
      <c r="DT247" s="2"/>
      <c r="DU247" s="2"/>
      <c r="DV247" s="2"/>
      <c r="DW247" s="2"/>
      <c r="DX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2"/>
      <c r="DQ248" s="2"/>
      <c r="DR248" s="2"/>
      <c r="DS248" s="2"/>
      <c r="DT248" s="2"/>
      <c r="DU248" s="2"/>
      <c r="DV248" s="2"/>
      <c r="DW248" s="2"/>
      <c r="DX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2"/>
      <c r="DQ249" s="2"/>
      <c r="DR249" s="2"/>
      <c r="DS249" s="2"/>
      <c r="DT249" s="2"/>
      <c r="DU249" s="2"/>
      <c r="DV249" s="2"/>
      <c r="DW249" s="2"/>
      <c r="DX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2"/>
      <c r="DQ250" s="2"/>
      <c r="DR250" s="2"/>
      <c r="DS250" s="2"/>
      <c r="DT250" s="2"/>
      <c r="DU250" s="2"/>
      <c r="DV250" s="2"/>
      <c r="DW250" s="2"/>
      <c r="DX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2"/>
      <c r="DQ251" s="2"/>
      <c r="DR251" s="2"/>
      <c r="DS251" s="2"/>
      <c r="DT251" s="2"/>
      <c r="DU251" s="2"/>
      <c r="DV251" s="2"/>
      <c r="DW251" s="2"/>
      <c r="DX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2"/>
      <c r="DQ252" s="2"/>
      <c r="DR252" s="2"/>
      <c r="DS252" s="2"/>
      <c r="DT252" s="2"/>
      <c r="DU252" s="2"/>
      <c r="DV252" s="2"/>
      <c r="DW252" s="2"/>
      <c r="DX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2"/>
      <c r="DQ253" s="2"/>
      <c r="DR253" s="2"/>
      <c r="DS253" s="2"/>
      <c r="DT253" s="2"/>
      <c r="DU253" s="2"/>
      <c r="DV253" s="2"/>
      <c r="DW253" s="2"/>
      <c r="DX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2"/>
      <c r="DQ254" s="2"/>
      <c r="DR254" s="2"/>
      <c r="DS254" s="2"/>
      <c r="DT254" s="2"/>
      <c r="DU254" s="2"/>
      <c r="DV254" s="2"/>
      <c r="DW254" s="2"/>
      <c r="DX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2"/>
      <c r="DQ255" s="2"/>
      <c r="DR255" s="2"/>
      <c r="DS255" s="2"/>
      <c r="DT255" s="2"/>
      <c r="DU255" s="2"/>
      <c r="DV255" s="2"/>
      <c r="DW255" s="2"/>
      <c r="DX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2"/>
      <c r="DQ256" s="2"/>
      <c r="DR256" s="2"/>
      <c r="DS256" s="2"/>
      <c r="DT256" s="2"/>
      <c r="DU256" s="2"/>
      <c r="DV256" s="2"/>
      <c r="DW256" s="2"/>
      <c r="DX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2"/>
      <c r="DQ257" s="2"/>
      <c r="DR257" s="2"/>
      <c r="DS257" s="2"/>
      <c r="DT257" s="2"/>
      <c r="DU257" s="2"/>
      <c r="DV257" s="2"/>
      <c r="DW257" s="2"/>
      <c r="DX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2"/>
      <c r="DQ258" s="2"/>
      <c r="DR258" s="2"/>
      <c r="DS258" s="2"/>
      <c r="DT258" s="2"/>
      <c r="DU258" s="2"/>
      <c r="DV258" s="2"/>
      <c r="DW258" s="2"/>
      <c r="DX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2"/>
      <c r="DQ259" s="2"/>
      <c r="DR259" s="2"/>
      <c r="DS259" s="2"/>
      <c r="DT259" s="2"/>
      <c r="DU259" s="2"/>
      <c r="DV259" s="2"/>
      <c r="DW259" s="2"/>
      <c r="DX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2"/>
      <c r="DQ260" s="2"/>
      <c r="DR260" s="2"/>
      <c r="DS260" s="2"/>
      <c r="DT260" s="2"/>
      <c r="DU260" s="2"/>
      <c r="DV260" s="2"/>
      <c r="DW260" s="2"/>
      <c r="DX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2"/>
      <c r="DQ261" s="2"/>
      <c r="DR261" s="2"/>
      <c r="DS261" s="2"/>
      <c r="DT261" s="2"/>
      <c r="DU261" s="2"/>
      <c r="DV261" s="2"/>
      <c r="DW261" s="2"/>
      <c r="DX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2"/>
      <c r="DQ262" s="2"/>
      <c r="DR262" s="2"/>
      <c r="DS262" s="2"/>
      <c r="DT262" s="2"/>
      <c r="DU262" s="2"/>
      <c r="DV262" s="2"/>
      <c r="DW262" s="2"/>
      <c r="DX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2"/>
      <c r="DQ263" s="2"/>
      <c r="DR263" s="2"/>
      <c r="DS263" s="2"/>
      <c r="DT263" s="2"/>
      <c r="DU263" s="2"/>
      <c r="DV263" s="2"/>
      <c r="DW263" s="2"/>
      <c r="DX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2"/>
      <c r="DQ264" s="2"/>
      <c r="DR264" s="2"/>
      <c r="DS264" s="2"/>
      <c r="DT264" s="2"/>
      <c r="DU264" s="2"/>
      <c r="DV264" s="2"/>
      <c r="DW264" s="2"/>
      <c r="DX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2"/>
      <c r="DQ265" s="2"/>
      <c r="DR265" s="2"/>
      <c r="DS265" s="2"/>
      <c r="DT265" s="2"/>
      <c r="DU265" s="2"/>
      <c r="DV265" s="2"/>
      <c r="DW265" s="2"/>
      <c r="DX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2"/>
      <c r="DQ266" s="2"/>
      <c r="DR266" s="2"/>
      <c r="DS266" s="2"/>
      <c r="DT266" s="2"/>
      <c r="DU266" s="2"/>
      <c r="DV266" s="2"/>
      <c r="DW266" s="2"/>
      <c r="DX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2"/>
      <c r="DQ267" s="2"/>
      <c r="DR267" s="2"/>
      <c r="DS267" s="2"/>
      <c r="DT267" s="2"/>
      <c r="DU267" s="2"/>
      <c r="DV267" s="2"/>
      <c r="DW267" s="2"/>
      <c r="DX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2"/>
      <c r="DQ268" s="2"/>
      <c r="DR268" s="2"/>
      <c r="DS268" s="2"/>
      <c r="DT268" s="2"/>
      <c r="DU268" s="2"/>
      <c r="DV268" s="2"/>
      <c r="DW268" s="2"/>
      <c r="DX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2"/>
      <c r="DQ269" s="2"/>
      <c r="DR269" s="2"/>
      <c r="DS269" s="2"/>
      <c r="DT269" s="2"/>
      <c r="DU269" s="2"/>
      <c r="DV269" s="2"/>
      <c r="DW269" s="2"/>
      <c r="DX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2"/>
      <c r="DQ270" s="2"/>
      <c r="DR270" s="2"/>
      <c r="DS270" s="2"/>
      <c r="DT270" s="2"/>
      <c r="DU270" s="2"/>
      <c r="DV270" s="2"/>
      <c r="DW270" s="2"/>
      <c r="DX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2"/>
      <c r="DQ271" s="2"/>
      <c r="DR271" s="2"/>
      <c r="DS271" s="2"/>
      <c r="DT271" s="2"/>
      <c r="DU271" s="2"/>
      <c r="DV271" s="2"/>
      <c r="DW271" s="2"/>
      <c r="DX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2"/>
      <c r="DQ272" s="2"/>
      <c r="DR272" s="2"/>
      <c r="DS272" s="2"/>
      <c r="DT272" s="2"/>
      <c r="DU272" s="2"/>
      <c r="DV272" s="2"/>
      <c r="DW272" s="2"/>
      <c r="DX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2"/>
      <c r="DQ273" s="2"/>
      <c r="DR273" s="2"/>
      <c r="DS273" s="2"/>
      <c r="DT273" s="2"/>
      <c r="DU273" s="2"/>
      <c r="DV273" s="2"/>
      <c r="DW273" s="2"/>
      <c r="DX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2"/>
      <c r="DQ274" s="2"/>
      <c r="DR274" s="2"/>
      <c r="DS274" s="2"/>
      <c r="DT274" s="2"/>
      <c r="DU274" s="2"/>
      <c r="DV274" s="2"/>
      <c r="DW274" s="2"/>
      <c r="DX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  <c r="DP275" s="2"/>
      <c r="DQ275" s="2"/>
      <c r="DR275" s="2"/>
      <c r="DS275" s="2"/>
      <c r="DT275" s="2"/>
      <c r="DU275" s="2"/>
      <c r="DV275" s="2"/>
      <c r="DW275" s="2"/>
      <c r="DX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  <c r="DP276" s="2"/>
      <c r="DQ276" s="2"/>
      <c r="DR276" s="2"/>
      <c r="DS276" s="2"/>
      <c r="DT276" s="2"/>
      <c r="DU276" s="2"/>
      <c r="DV276" s="2"/>
      <c r="DW276" s="2"/>
      <c r="DX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  <c r="DP277" s="2"/>
      <c r="DQ277" s="2"/>
      <c r="DR277" s="2"/>
      <c r="DS277" s="2"/>
      <c r="DT277" s="2"/>
      <c r="DU277" s="2"/>
      <c r="DV277" s="2"/>
      <c r="DW277" s="2"/>
      <c r="DX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  <c r="DP278" s="2"/>
      <c r="DQ278" s="2"/>
      <c r="DR278" s="2"/>
      <c r="DS278" s="2"/>
      <c r="DT278" s="2"/>
      <c r="DU278" s="2"/>
      <c r="DV278" s="2"/>
      <c r="DW278" s="2"/>
      <c r="DX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  <c r="DP279" s="2"/>
      <c r="DQ279" s="2"/>
      <c r="DR279" s="2"/>
      <c r="DS279" s="2"/>
      <c r="DT279" s="2"/>
      <c r="DU279" s="2"/>
      <c r="DV279" s="2"/>
      <c r="DW279" s="2"/>
      <c r="DX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  <c r="DP280" s="2"/>
      <c r="DQ280" s="2"/>
      <c r="DR280" s="2"/>
      <c r="DS280" s="2"/>
      <c r="DT280" s="2"/>
      <c r="DU280" s="2"/>
      <c r="DV280" s="2"/>
      <c r="DW280" s="2"/>
      <c r="DX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  <c r="DP281" s="2"/>
      <c r="DQ281" s="2"/>
      <c r="DR281" s="2"/>
      <c r="DS281" s="2"/>
      <c r="DT281" s="2"/>
      <c r="DU281" s="2"/>
      <c r="DV281" s="2"/>
      <c r="DW281" s="2"/>
      <c r="DX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  <c r="DP282" s="2"/>
      <c r="DQ282" s="2"/>
      <c r="DR282" s="2"/>
      <c r="DS282" s="2"/>
      <c r="DT282" s="2"/>
      <c r="DU282" s="2"/>
      <c r="DV282" s="2"/>
      <c r="DW282" s="2"/>
      <c r="DX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  <c r="DP283" s="2"/>
      <c r="DQ283" s="2"/>
      <c r="DR283" s="2"/>
      <c r="DS283" s="2"/>
      <c r="DT283" s="2"/>
      <c r="DU283" s="2"/>
      <c r="DV283" s="2"/>
      <c r="DW283" s="2"/>
      <c r="DX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  <c r="DP284" s="2"/>
      <c r="DQ284" s="2"/>
      <c r="DR284" s="2"/>
      <c r="DS284" s="2"/>
      <c r="DT284" s="2"/>
      <c r="DU284" s="2"/>
      <c r="DV284" s="2"/>
      <c r="DW284" s="2"/>
      <c r="DX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  <c r="DP285" s="2"/>
      <c r="DQ285" s="2"/>
      <c r="DR285" s="2"/>
      <c r="DS285" s="2"/>
      <c r="DT285" s="2"/>
      <c r="DU285" s="2"/>
      <c r="DV285" s="2"/>
      <c r="DW285" s="2"/>
      <c r="DX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  <c r="DP286" s="2"/>
      <c r="DQ286" s="2"/>
      <c r="DR286" s="2"/>
      <c r="DS286" s="2"/>
      <c r="DT286" s="2"/>
      <c r="DU286" s="2"/>
      <c r="DV286" s="2"/>
      <c r="DW286" s="2"/>
      <c r="DX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  <c r="DP287" s="2"/>
      <c r="DQ287" s="2"/>
      <c r="DR287" s="2"/>
      <c r="DS287" s="2"/>
      <c r="DT287" s="2"/>
      <c r="DU287" s="2"/>
      <c r="DV287" s="2"/>
      <c r="DW287" s="2"/>
      <c r="DX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  <c r="DP288" s="2"/>
      <c r="DQ288" s="2"/>
      <c r="DR288" s="2"/>
      <c r="DS288" s="2"/>
      <c r="DT288" s="2"/>
      <c r="DU288" s="2"/>
      <c r="DV288" s="2"/>
      <c r="DW288" s="2"/>
      <c r="DX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  <c r="DP289" s="2"/>
      <c r="DQ289" s="2"/>
      <c r="DR289" s="2"/>
      <c r="DS289" s="2"/>
      <c r="DT289" s="2"/>
      <c r="DU289" s="2"/>
      <c r="DV289" s="2"/>
      <c r="DW289" s="2"/>
      <c r="DX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  <c r="DP290" s="2"/>
      <c r="DQ290" s="2"/>
      <c r="DR290" s="2"/>
      <c r="DS290" s="2"/>
      <c r="DT290" s="2"/>
      <c r="DU290" s="2"/>
      <c r="DV290" s="2"/>
      <c r="DW290" s="2"/>
      <c r="DX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  <c r="DP291" s="2"/>
      <c r="DQ291" s="2"/>
      <c r="DR291" s="2"/>
      <c r="DS291" s="2"/>
      <c r="DT291" s="2"/>
      <c r="DU291" s="2"/>
      <c r="DV291" s="2"/>
      <c r="DW291" s="2"/>
      <c r="DX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  <c r="DP292" s="2"/>
      <c r="DQ292" s="2"/>
      <c r="DR292" s="2"/>
      <c r="DS292" s="2"/>
      <c r="DT292" s="2"/>
      <c r="DU292" s="2"/>
      <c r="DV292" s="2"/>
      <c r="DW292" s="2"/>
      <c r="DX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  <c r="DP293" s="2"/>
      <c r="DQ293" s="2"/>
      <c r="DR293" s="2"/>
      <c r="DS293" s="2"/>
      <c r="DT293" s="2"/>
      <c r="DU293" s="2"/>
      <c r="DV293" s="2"/>
      <c r="DW293" s="2"/>
      <c r="DX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  <c r="DP294" s="2"/>
      <c r="DQ294" s="2"/>
      <c r="DR294" s="2"/>
      <c r="DS294" s="2"/>
      <c r="DT294" s="2"/>
      <c r="DU294" s="2"/>
      <c r="DV294" s="2"/>
      <c r="DW294" s="2"/>
      <c r="DX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  <c r="DP295" s="2"/>
      <c r="DQ295" s="2"/>
      <c r="DR295" s="2"/>
      <c r="DS295" s="2"/>
      <c r="DT295" s="2"/>
      <c r="DU295" s="2"/>
      <c r="DV295" s="2"/>
      <c r="DW295" s="2"/>
      <c r="DX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  <c r="DP296" s="2"/>
      <c r="DQ296" s="2"/>
      <c r="DR296" s="2"/>
      <c r="DS296" s="2"/>
      <c r="DT296" s="2"/>
      <c r="DU296" s="2"/>
      <c r="DV296" s="2"/>
      <c r="DW296" s="2"/>
      <c r="DX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  <c r="DP297" s="2"/>
      <c r="DQ297" s="2"/>
      <c r="DR297" s="2"/>
      <c r="DS297" s="2"/>
      <c r="DT297" s="2"/>
      <c r="DU297" s="2"/>
      <c r="DV297" s="2"/>
      <c r="DW297" s="2"/>
      <c r="DX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  <c r="DP298" s="2"/>
      <c r="DQ298" s="2"/>
      <c r="DR298" s="2"/>
      <c r="DS298" s="2"/>
      <c r="DT298" s="2"/>
      <c r="DU298" s="2"/>
      <c r="DV298" s="2"/>
      <c r="DW298" s="2"/>
      <c r="DX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  <c r="DP299" s="2"/>
      <c r="DQ299" s="2"/>
      <c r="DR299" s="2"/>
      <c r="DS299" s="2"/>
      <c r="DT299" s="2"/>
      <c r="DU299" s="2"/>
      <c r="DV299" s="2"/>
      <c r="DW299" s="2"/>
      <c r="DX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  <c r="DP300" s="2"/>
      <c r="DQ300" s="2"/>
      <c r="DR300" s="2"/>
      <c r="DS300" s="2"/>
      <c r="DT300" s="2"/>
      <c r="DU300" s="2"/>
      <c r="DV300" s="2"/>
      <c r="DW300" s="2"/>
      <c r="DX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  <c r="DP301" s="2"/>
      <c r="DQ301" s="2"/>
      <c r="DR301" s="2"/>
      <c r="DS301" s="2"/>
      <c r="DT301" s="2"/>
      <c r="DU301" s="2"/>
      <c r="DV301" s="2"/>
      <c r="DW301" s="2"/>
      <c r="DX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  <c r="DP302" s="2"/>
      <c r="DQ302" s="2"/>
      <c r="DR302" s="2"/>
      <c r="DS302" s="2"/>
      <c r="DT302" s="2"/>
      <c r="DU302" s="2"/>
      <c r="DV302" s="2"/>
      <c r="DW302" s="2"/>
      <c r="DX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  <c r="DP303" s="2"/>
      <c r="DQ303" s="2"/>
      <c r="DR303" s="2"/>
      <c r="DS303" s="2"/>
      <c r="DT303" s="2"/>
      <c r="DU303" s="2"/>
      <c r="DV303" s="2"/>
      <c r="DW303" s="2"/>
      <c r="DX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  <c r="DP304" s="2"/>
      <c r="DQ304" s="2"/>
      <c r="DR304" s="2"/>
      <c r="DS304" s="2"/>
      <c r="DT304" s="2"/>
      <c r="DU304" s="2"/>
      <c r="DV304" s="2"/>
      <c r="DW304" s="2"/>
      <c r="DX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  <c r="DP305" s="2"/>
      <c r="DQ305" s="2"/>
      <c r="DR305" s="2"/>
      <c r="DS305" s="2"/>
      <c r="DT305" s="2"/>
      <c r="DU305" s="2"/>
      <c r="DV305" s="2"/>
      <c r="DW305" s="2"/>
      <c r="DX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  <c r="DP306" s="2"/>
      <c r="DQ306" s="2"/>
      <c r="DR306" s="2"/>
      <c r="DS306" s="2"/>
      <c r="DT306" s="2"/>
      <c r="DU306" s="2"/>
      <c r="DV306" s="2"/>
      <c r="DW306" s="2"/>
      <c r="DX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  <c r="DP307" s="2"/>
      <c r="DQ307" s="2"/>
      <c r="DR307" s="2"/>
      <c r="DS307" s="2"/>
      <c r="DT307" s="2"/>
      <c r="DU307" s="2"/>
      <c r="DV307" s="2"/>
      <c r="DW307" s="2"/>
      <c r="DX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  <c r="DP308" s="2"/>
      <c r="DQ308" s="2"/>
      <c r="DR308" s="2"/>
      <c r="DS308" s="2"/>
      <c r="DT308" s="2"/>
      <c r="DU308" s="2"/>
      <c r="DV308" s="2"/>
      <c r="DW308" s="2"/>
      <c r="DX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  <c r="DP309" s="2"/>
      <c r="DQ309" s="2"/>
      <c r="DR309" s="2"/>
      <c r="DS309" s="2"/>
      <c r="DT309" s="2"/>
      <c r="DU309" s="2"/>
      <c r="DV309" s="2"/>
      <c r="DW309" s="2"/>
      <c r="DX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  <c r="DP310" s="2"/>
      <c r="DQ310" s="2"/>
      <c r="DR310" s="2"/>
      <c r="DS310" s="2"/>
      <c r="DT310" s="2"/>
      <c r="DU310" s="2"/>
      <c r="DV310" s="2"/>
      <c r="DW310" s="2"/>
      <c r="DX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  <c r="DP311" s="2"/>
      <c r="DQ311" s="2"/>
      <c r="DR311" s="2"/>
      <c r="DS311" s="2"/>
      <c r="DT311" s="2"/>
      <c r="DU311" s="2"/>
      <c r="DV311" s="2"/>
      <c r="DW311" s="2"/>
      <c r="DX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  <c r="DP312" s="2"/>
      <c r="DQ312" s="2"/>
      <c r="DR312" s="2"/>
      <c r="DS312" s="2"/>
      <c r="DT312" s="2"/>
      <c r="DU312" s="2"/>
      <c r="DV312" s="2"/>
      <c r="DW312" s="2"/>
      <c r="DX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  <c r="DP313" s="2"/>
      <c r="DQ313" s="2"/>
      <c r="DR313" s="2"/>
      <c r="DS313" s="2"/>
      <c r="DT313" s="2"/>
      <c r="DU313" s="2"/>
      <c r="DV313" s="2"/>
      <c r="DW313" s="2"/>
      <c r="DX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  <c r="DP314" s="2"/>
      <c r="DQ314" s="2"/>
      <c r="DR314" s="2"/>
      <c r="DS314" s="2"/>
      <c r="DT314" s="2"/>
      <c r="DU314" s="2"/>
      <c r="DV314" s="2"/>
      <c r="DW314" s="2"/>
      <c r="DX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  <c r="DP315" s="2"/>
      <c r="DQ315" s="2"/>
      <c r="DR315" s="2"/>
      <c r="DS315" s="2"/>
      <c r="DT315" s="2"/>
      <c r="DU315" s="2"/>
      <c r="DV315" s="2"/>
      <c r="DW315" s="2"/>
      <c r="DX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  <c r="DP316" s="2"/>
      <c r="DQ316" s="2"/>
      <c r="DR316" s="2"/>
      <c r="DS316" s="2"/>
      <c r="DT316" s="2"/>
      <c r="DU316" s="2"/>
      <c r="DV316" s="2"/>
      <c r="DW316" s="2"/>
      <c r="DX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  <c r="DP317" s="2"/>
      <c r="DQ317" s="2"/>
      <c r="DR317" s="2"/>
      <c r="DS317" s="2"/>
      <c r="DT317" s="2"/>
      <c r="DU317" s="2"/>
      <c r="DV317" s="2"/>
      <c r="DW317" s="2"/>
      <c r="DX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  <c r="DP318" s="2"/>
      <c r="DQ318" s="2"/>
      <c r="DR318" s="2"/>
      <c r="DS318" s="2"/>
      <c r="DT318" s="2"/>
      <c r="DU318" s="2"/>
      <c r="DV318" s="2"/>
      <c r="DW318" s="2"/>
      <c r="DX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  <c r="DP319" s="2"/>
      <c r="DQ319" s="2"/>
      <c r="DR319" s="2"/>
      <c r="DS319" s="2"/>
      <c r="DT319" s="2"/>
      <c r="DU319" s="2"/>
      <c r="DV319" s="2"/>
      <c r="DW319" s="2"/>
      <c r="DX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  <c r="DP320" s="2"/>
      <c r="DQ320" s="2"/>
      <c r="DR320" s="2"/>
      <c r="DS320" s="2"/>
      <c r="DT320" s="2"/>
      <c r="DU320" s="2"/>
      <c r="DV320" s="2"/>
      <c r="DW320" s="2"/>
      <c r="DX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  <c r="DP321" s="2"/>
      <c r="DQ321" s="2"/>
      <c r="DR321" s="2"/>
      <c r="DS321" s="2"/>
      <c r="DT321" s="2"/>
      <c r="DU321" s="2"/>
      <c r="DV321" s="2"/>
      <c r="DW321" s="2"/>
      <c r="DX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  <c r="DP322" s="2"/>
      <c r="DQ322" s="2"/>
      <c r="DR322" s="2"/>
      <c r="DS322" s="2"/>
      <c r="DT322" s="2"/>
      <c r="DU322" s="2"/>
      <c r="DV322" s="2"/>
      <c r="DW322" s="2"/>
      <c r="DX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  <c r="DP323" s="2"/>
      <c r="DQ323" s="2"/>
      <c r="DR323" s="2"/>
      <c r="DS323" s="2"/>
      <c r="DT323" s="2"/>
      <c r="DU323" s="2"/>
      <c r="DV323" s="2"/>
      <c r="DW323" s="2"/>
      <c r="DX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  <c r="DP324" s="2"/>
      <c r="DQ324" s="2"/>
      <c r="DR324" s="2"/>
      <c r="DS324" s="2"/>
      <c r="DT324" s="2"/>
      <c r="DU324" s="2"/>
      <c r="DV324" s="2"/>
      <c r="DW324" s="2"/>
      <c r="DX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  <c r="DP325" s="2"/>
      <c r="DQ325" s="2"/>
      <c r="DR325" s="2"/>
      <c r="DS325" s="2"/>
      <c r="DT325" s="2"/>
      <c r="DU325" s="2"/>
      <c r="DV325" s="2"/>
      <c r="DW325" s="2"/>
      <c r="DX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  <c r="DP326" s="2"/>
      <c r="DQ326" s="2"/>
      <c r="DR326" s="2"/>
      <c r="DS326" s="2"/>
      <c r="DT326" s="2"/>
      <c r="DU326" s="2"/>
      <c r="DV326" s="2"/>
      <c r="DW326" s="2"/>
      <c r="DX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  <c r="DP327" s="2"/>
      <c r="DQ327" s="2"/>
      <c r="DR327" s="2"/>
      <c r="DS327" s="2"/>
      <c r="DT327" s="2"/>
      <c r="DU327" s="2"/>
      <c r="DV327" s="2"/>
      <c r="DW327" s="2"/>
      <c r="DX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  <c r="DP328" s="2"/>
      <c r="DQ328" s="2"/>
      <c r="DR328" s="2"/>
      <c r="DS328" s="2"/>
      <c r="DT328" s="2"/>
      <c r="DU328" s="2"/>
      <c r="DV328" s="2"/>
      <c r="DW328" s="2"/>
      <c r="DX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  <c r="DP329" s="2"/>
      <c r="DQ329" s="2"/>
      <c r="DR329" s="2"/>
      <c r="DS329" s="2"/>
      <c r="DT329" s="2"/>
      <c r="DU329" s="2"/>
      <c r="DV329" s="2"/>
      <c r="DW329" s="2"/>
      <c r="DX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  <c r="DP330" s="2"/>
      <c r="DQ330" s="2"/>
      <c r="DR330" s="2"/>
      <c r="DS330" s="2"/>
      <c r="DT330" s="2"/>
      <c r="DU330" s="2"/>
      <c r="DV330" s="2"/>
      <c r="DW330" s="2"/>
      <c r="DX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  <c r="DP331" s="2"/>
      <c r="DQ331" s="2"/>
      <c r="DR331" s="2"/>
      <c r="DS331" s="2"/>
      <c r="DT331" s="2"/>
      <c r="DU331" s="2"/>
      <c r="DV331" s="2"/>
      <c r="DW331" s="2"/>
      <c r="DX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  <c r="DP332" s="2"/>
      <c r="DQ332" s="2"/>
      <c r="DR332" s="2"/>
      <c r="DS332" s="2"/>
      <c r="DT332" s="2"/>
      <c r="DU332" s="2"/>
      <c r="DV332" s="2"/>
      <c r="DW332" s="2"/>
      <c r="DX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  <c r="DP333" s="2"/>
      <c r="DQ333" s="2"/>
      <c r="DR333" s="2"/>
      <c r="DS333" s="2"/>
      <c r="DT333" s="2"/>
      <c r="DU333" s="2"/>
      <c r="DV333" s="2"/>
      <c r="DW333" s="2"/>
      <c r="DX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  <c r="DP334" s="2"/>
      <c r="DQ334" s="2"/>
      <c r="DR334" s="2"/>
      <c r="DS334" s="2"/>
      <c r="DT334" s="2"/>
      <c r="DU334" s="2"/>
      <c r="DV334" s="2"/>
      <c r="DW334" s="2"/>
      <c r="DX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  <c r="DP335" s="2"/>
      <c r="DQ335" s="2"/>
      <c r="DR335" s="2"/>
      <c r="DS335" s="2"/>
      <c r="DT335" s="2"/>
      <c r="DU335" s="2"/>
      <c r="DV335" s="2"/>
      <c r="DW335" s="2"/>
      <c r="DX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  <c r="DP336" s="2"/>
      <c r="DQ336" s="2"/>
      <c r="DR336" s="2"/>
      <c r="DS336" s="2"/>
      <c r="DT336" s="2"/>
      <c r="DU336" s="2"/>
      <c r="DV336" s="2"/>
      <c r="DW336" s="2"/>
      <c r="DX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  <c r="DP337" s="2"/>
      <c r="DQ337" s="2"/>
      <c r="DR337" s="2"/>
      <c r="DS337" s="2"/>
      <c r="DT337" s="2"/>
      <c r="DU337" s="2"/>
      <c r="DV337" s="2"/>
      <c r="DW337" s="2"/>
      <c r="DX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  <c r="DP338" s="2"/>
      <c r="DQ338" s="2"/>
      <c r="DR338" s="2"/>
      <c r="DS338" s="2"/>
      <c r="DT338" s="2"/>
      <c r="DU338" s="2"/>
      <c r="DV338" s="2"/>
      <c r="DW338" s="2"/>
      <c r="DX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  <c r="DP339" s="2"/>
      <c r="DQ339" s="2"/>
      <c r="DR339" s="2"/>
      <c r="DS339" s="2"/>
      <c r="DT339" s="2"/>
      <c r="DU339" s="2"/>
      <c r="DV339" s="2"/>
      <c r="DW339" s="2"/>
      <c r="DX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  <c r="DP340" s="2"/>
      <c r="DQ340" s="2"/>
      <c r="DR340" s="2"/>
      <c r="DS340" s="2"/>
      <c r="DT340" s="2"/>
      <c r="DU340" s="2"/>
      <c r="DV340" s="2"/>
      <c r="DW340" s="2"/>
      <c r="DX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  <c r="DP341" s="2"/>
      <c r="DQ341" s="2"/>
      <c r="DR341" s="2"/>
      <c r="DS341" s="2"/>
      <c r="DT341" s="2"/>
      <c r="DU341" s="2"/>
      <c r="DV341" s="2"/>
      <c r="DW341" s="2"/>
      <c r="DX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  <c r="DP342" s="2"/>
      <c r="DQ342" s="2"/>
      <c r="DR342" s="2"/>
      <c r="DS342" s="2"/>
      <c r="DT342" s="2"/>
      <c r="DU342" s="2"/>
      <c r="DV342" s="2"/>
      <c r="DW342" s="2"/>
      <c r="DX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  <c r="DP343" s="2"/>
      <c r="DQ343" s="2"/>
      <c r="DR343" s="2"/>
      <c r="DS343" s="2"/>
      <c r="DT343" s="2"/>
      <c r="DU343" s="2"/>
      <c r="DV343" s="2"/>
      <c r="DW343" s="2"/>
      <c r="DX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  <c r="DP344" s="2"/>
      <c r="DQ344" s="2"/>
      <c r="DR344" s="2"/>
      <c r="DS344" s="2"/>
      <c r="DT344" s="2"/>
      <c r="DU344" s="2"/>
      <c r="DV344" s="2"/>
      <c r="DW344" s="2"/>
      <c r="DX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  <c r="DP345" s="2"/>
      <c r="DQ345" s="2"/>
      <c r="DR345" s="2"/>
      <c r="DS345" s="2"/>
      <c r="DT345" s="2"/>
      <c r="DU345" s="2"/>
      <c r="DV345" s="2"/>
      <c r="DW345" s="2"/>
      <c r="DX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  <c r="DP346" s="2"/>
      <c r="DQ346" s="2"/>
      <c r="DR346" s="2"/>
      <c r="DS346" s="2"/>
      <c r="DT346" s="2"/>
      <c r="DU346" s="2"/>
      <c r="DV346" s="2"/>
      <c r="DW346" s="2"/>
      <c r="DX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  <c r="DP347" s="2"/>
      <c r="DQ347" s="2"/>
      <c r="DR347" s="2"/>
      <c r="DS347" s="2"/>
      <c r="DT347" s="2"/>
      <c r="DU347" s="2"/>
      <c r="DV347" s="2"/>
      <c r="DW347" s="2"/>
      <c r="DX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  <c r="DP348" s="2"/>
      <c r="DQ348" s="2"/>
      <c r="DR348" s="2"/>
      <c r="DS348" s="2"/>
      <c r="DT348" s="2"/>
      <c r="DU348" s="2"/>
      <c r="DV348" s="2"/>
      <c r="DW348" s="2"/>
      <c r="DX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  <c r="DP349" s="2"/>
      <c r="DQ349" s="2"/>
      <c r="DR349" s="2"/>
      <c r="DS349" s="2"/>
      <c r="DT349" s="2"/>
      <c r="DU349" s="2"/>
      <c r="DV349" s="2"/>
      <c r="DW349" s="2"/>
      <c r="DX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  <c r="DP350" s="2"/>
      <c r="DQ350" s="2"/>
      <c r="DR350" s="2"/>
      <c r="DS350" s="2"/>
      <c r="DT350" s="2"/>
      <c r="DU350" s="2"/>
      <c r="DV350" s="2"/>
      <c r="DW350" s="2"/>
      <c r="DX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  <c r="DP351" s="2"/>
      <c r="DQ351" s="2"/>
      <c r="DR351" s="2"/>
      <c r="DS351" s="2"/>
      <c r="DT351" s="2"/>
      <c r="DU351" s="2"/>
      <c r="DV351" s="2"/>
      <c r="DW351" s="2"/>
      <c r="DX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  <c r="DP352" s="2"/>
      <c r="DQ352" s="2"/>
      <c r="DR352" s="2"/>
      <c r="DS352" s="2"/>
      <c r="DT352" s="2"/>
      <c r="DU352" s="2"/>
      <c r="DV352" s="2"/>
      <c r="DW352" s="2"/>
      <c r="DX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  <c r="DP353" s="2"/>
      <c r="DQ353" s="2"/>
      <c r="DR353" s="2"/>
      <c r="DS353" s="2"/>
      <c r="DT353" s="2"/>
      <c r="DU353" s="2"/>
      <c r="DV353" s="2"/>
      <c r="DW353" s="2"/>
      <c r="DX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  <c r="DP354" s="2"/>
      <c r="DQ354" s="2"/>
      <c r="DR354" s="2"/>
      <c r="DS354" s="2"/>
      <c r="DT354" s="2"/>
      <c r="DU354" s="2"/>
      <c r="DV354" s="2"/>
      <c r="DW354" s="2"/>
      <c r="DX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  <c r="DP355" s="2"/>
      <c r="DQ355" s="2"/>
      <c r="DR355" s="2"/>
      <c r="DS355" s="2"/>
      <c r="DT355" s="2"/>
      <c r="DU355" s="2"/>
      <c r="DV355" s="2"/>
      <c r="DW355" s="2"/>
      <c r="DX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  <c r="DP356" s="2"/>
      <c r="DQ356" s="2"/>
      <c r="DR356" s="2"/>
      <c r="DS356" s="2"/>
      <c r="DT356" s="2"/>
      <c r="DU356" s="2"/>
      <c r="DV356" s="2"/>
      <c r="DW356" s="2"/>
      <c r="DX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  <c r="DP357" s="2"/>
      <c r="DQ357" s="2"/>
      <c r="DR357" s="2"/>
      <c r="DS357" s="2"/>
      <c r="DT357" s="2"/>
      <c r="DU357" s="2"/>
      <c r="DV357" s="2"/>
      <c r="DW357" s="2"/>
      <c r="DX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  <c r="DP358" s="2"/>
      <c r="DQ358" s="2"/>
      <c r="DR358" s="2"/>
      <c r="DS358" s="2"/>
      <c r="DT358" s="2"/>
      <c r="DU358" s="2"/>
      <c r="DV358" s="2"/>
      <c r="DW358" s="2"/>
      <c r="DX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  <c r="DP359" s="2"/>
      <c r="DQ359" s="2"/>
      <c r="DR359" s="2"/>
      <c r="DS359" s="2"/>
      <c r="DT359" s="2"/>
      <c r="DU359" s="2"/>
      <c r="DV359" s="2"/>
      <c r="DW359" s="2"/>
      <c r="DX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  <c r="DP360" s="2"/>
      <c r="DQ360" s="2"/>
      <c r="DR360" s="2"/>
      <c r="DS360" s="2"/>
      <c r="DT360" s="2"/>
      <c r="DU360" s="2"/>
      <c r="DV360" s="2"/>
      <c r="DW360" s="2"/>
      <c r="DX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  <c r="DP361" s="2"/>
      <c r="DQ361" s="2"/>
      <c r="DR361" s="2"/>
      <c r="DS361" s="2"/>
      <c r="DT361" s="2"/>
      <c r="DU361" s="2"/>
      <c r="DV361" s="2"/>
      <c r="DW361" s="2"/>
      <c r="DX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  <c r="DP362" s="2"/>
      <c r="DQ362" s="2"/>
      <c r="DR362" s="2"/>
      <c r="DS362" s="2"/>
      <c r="DT362" s="2"/>
      <c r="DU362" s="2"/>
      <c r="DV362" s="2"/>
      <c r="DW362" s="2"/>
      <c r="DX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  <c r="DP363" s="2"/>
      <c r="DQ363" s="2"/>
      <c r="DR363" s="2"/>
      <c r="DS363" s="2"/>
      <c r="DT363" s="2"/>
      <c r="DU363" s="2"/>
      <c r="DV363" s="2"/>
      <c r="DW363" s="2"/>
      <c r="DX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  <c r="DP364" s="2"/>
      <c r="DQ364" s="2"/>
      <c r="DR364" s="2"/>
      <c r="DS364" s="2"/>
      <c r="DT364" s="2"/>
      <c r="DU364" s="2"/>
      <c r="DV364" s="2"/>
      <c r="DW364" s="2"/>
      <c r="DX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  <c r="DP365" s="2"/>
      <c r="DQ365" s="2"/>
      <c r="DR365" s="2"/>
      <c r="DS365" s="2"/>
      <c r="DT365" s="2"/>
      <c r="DU365" s="2"/>
      <c r="DV365" s="2"/>
      <c r="DW365" s="2"/>
      <c r="DX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  <c r="DP366" s="2"/>
      <c r="DQ366" s="2"/>
      <c r="DR366" s="2"/>
      <c r="DS366" s="2"/>
      <c r="DT366" s="2"/>
      <c r="DU366" s="2"/>
      <c r="DV366" s="2"/>
      <c r="DW366" s="2"/>
      <c r="DX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  <c r="DP367" s="2"/>
      <c r="DQ367" s="2"/>
      <c r="DR367" s="2"/>
      <c r="DS367" s="2"/>
      <c r="DT367" s="2"/>
      <c r="DU367" s="2"/>
      <c r="DV367" s="2"/>
      <c r="DW367" s="2"/>
      <c r="DX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  <c r="DP368" s="2"/>
      <c r="DQ368" s="2"/>
      <c r="DR368" s="2"/>
      <c r="DS368" s="2"/>
      <c r="DT368" s="2"/>
      <c r="DU368" s="2"/>
      <c r="DV368" s="2"/>
      <c r="DW368" s="2"/>
      <c r="DX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  <c r="DP369" s="2"/>
      <c r="DQ369" s="2"/>
      <c r="DR369" s="2"/>
      <c r="DS369" s="2"/>
      <c r="DT369" s="2"/>
      <c r="DU369" s="2"/>
      <c r="DV369" s="2"/>
      <c r="DW369" s="2"/>
      <c r="DX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  <c r="DP370" s="2"/>
      <c r="DQ370" s="2"/>
      <c r="DR370" s="2"/>
      <c r="DS370" s="2"/>
      <c r="DT370" s="2"/>
      <c r="DU370" s="2"/>
      <c r="DV370" s="2"/>
      <c r="DW370" s="2"/>
      <c r="DX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  <c r="DP371" s="2"/>
      <c r="DQ371" s="2"/>
      <c r="DR371" s="2"/>
      <c r="DS371" s="2"/>
      <c r="DT371" s="2"/>
      <c r="DU371" s="2"/>
      <c r="DV371" s="2"/>
      <c r="DW371" s="2"/>
      <c r="DX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  <c r="DP372" s="2"/>
      <c r="DQ372" s="2"/>
      <c r="DR372" s="2"/>
      <c r="DS372" s="2"/>
      <c r="DT372" s="2"/>
      <c r="DU372" s="2"/>
      <c r="DV372" s="2"/>
      <c r="DW372" s="2"/>
      <c r="DX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  <c r="DP373" s="2"/>
      <c r="DQ373" s="2"/>
      <c r="DR373" s="2"/>
      <c r="DS373" s="2"/>
      <c r="DT373" s="2"/>
      <c r="DU373" s="2"/>
      <c r="DV373" s="2"/>
      <c r="DW373" s="2"/>
      <c r="DX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  <c r="DP374" s="2"/>
      <c r="DQ374" s="2"/>
      <c r="DR374" s="2"/>
      <c r="DS374" s="2"/>
      <c r="DT374" s="2"/>
      <c r="DU374" s="2"/>
      <c r="DV374" s="2"/>
      <c r="DW374" s="2"/>
      <c r="DX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  <c r="DP375" s="2"/>
      <c r="DQ375" s="2"/>
      <c r="DR375" s="2"/>
      <c r="DS375" s="2"/>
      <c r="DT375" s="2"/>
      <c r="DU375" s="2"/>
      <c r="DV375" s="2"/>
      <c r="DW375" s="2"/>
      <c r="DX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  <c r="DP376" s="2"/>
      <c r="DQ376" s="2"/>
      <c r="DR376" s="2"/>
      <c r="DS376" s="2"/>
      <c r="DT376" s="2"/>
      <c r="DU376" s="2"/>
      <c r="DV376" s="2"/>
      <c r="DW376" s="2"/>
      <c r="DX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  <c r="DP377" s="2"/>
      <c r="DQ377" s="2"/>
      <c r="DR377" s="2"/>
      <c r="DS377" s="2"/>
      <c r="DT377" s="2"/>
      <c r="DU377" s="2"/>
      <c r="DV377" s="2"/>
      <c r="DW377" s="2"/>
      <c r="DX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  <c r="DP378" s="2"/>
      <c r="DQ378" s="2"/>
      <c r="DR378" s="2"/>
      <c r="DS378" s="2"/>
      <c r="DT378" s="2"/>
      <c r="DU378" s="2"/>
      <c r="DV378" s="2"/>
      <c r="DW378" s="2"/>
      <c r="DX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  <c r="DP379" s="2"/>
      <c r="DQ379" s="2"/>
      <c r="DR379" s="2"/>
      <c r="DS379" s="2"/>
      <c r="DT379" s="2"/>
      <c r="DU379" s="2"/>
      <c r="DV379" s="2"/>
      <c r="DW379" s="2"/>
      <c r="DX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  <c r="DP380" s="2"/>
      <c r="DQ380" s="2"/>
      <c r="DR380" s="2"/>
      <c r="DS380" s="2"/>
      <c r="DT380" s="2"/>
      <c r="DU380" s="2"/>
      <c r="DV380" s="2"/>
      <c r="DW380" s="2"/>
      <c r="DX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  <c r="DP381" s="2"/>
      <c r="DQ381" s="2"/>
      <c r="DR381" s="2"/>
      <c r="DS381" s="2"/>
      <c r="DT381" s="2"/>
      <c r="DU381" s="2"/>
      <c r="DV381" s="2"/>
      <c r="DW381" s="2"/>
      <c r="DX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  <c r="DP382" s="2"/>
      <c r="DQ382" s="2"/>
      <c r="DR382" s="2"/>
      <c r="DS382" s="2"/>
      <c r="DT382" s="2"/>
      <c r="DU382" s="2"/>
      <c r="DV382" s="2"/>
      <c r="DW382" s="2"/>
      <c r="DX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  <c r="DP383" s="2"/>
      <c r="DQ383" s="2"/>
      <c r="DR383" s="2"/>
      <c r="DS383" s="2"/>
      <c r="DT383" s="2"/>
      <c r="DU383" s="2"/>
      <c r="DV383" s="2"/>
      <c r="DW383" s="2"/>
      <c r="DX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  <c r="DP384" s="2"/>
      <c r="DQ384" s="2"/>
      <c r="DR384" s="2"/>
      <c r="DS384" s="2"/>
      <c r="DT384" s="2"/>
      <c r="DU384" s="2"/>
      <c r="DV384" s="2"/>
      <c r="DW384" s="2"/>
      <c r="DX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  <c r="DP385" s="2"/>
      <c r="DQ385" s="2"/>
      <c r="DR385" s="2"/>
      <c r="DS385" s="2"/>
      <c r="DT385" s="2"/>
      <c r="DU385" s="2"/>
      <c r="DV385" s="2"/>
      <c r="DW385" s="2"/>
      <c r="DX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  <c r="DP386" s="2"/>
      <c r="DQ386" s="2"/>
      <c r="DR386" s="2"/>
      <c r="DS386" s="2"/>
      <c r="DT386" s="2"/>
      <c r="DU386" s="2"/>
      <c r="DV386" s="2"/>
      <c r="DW386" s="2"/>
      <c r="DX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  <c r="DP387" s="2"/>
      <c r="DQ387" s="2"/>
      <c r="DR387" s="2"/>
      <c r="DS387" s="2"/>
      <c r="DT387" s="2"/>
      <c r="DU387" s="2"/>
      <c r="DV387" s="2"/>
      <c r="DW387" s="2"/>
      <c r="DX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  <c r="DP388" s="2"/>
      <c r="DQ388" s="2"/>
      <c r="DR388" s="2"/>
      <c r="DS388" s="2"/>
      <c r="DT388" s="2"/>
      <c r="DU388" s="2"/>
      <c r="DV388" s="2"/>
      <c r="DW388" s="2"/>
      <c r="DX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  <c r="DP389" s="2"/>
      <c r="DQ389" s="2"/>
      <c r="DR389" s="2"/>
      <c r="DS389" s="2"/>
      <c r="DT389" s="2"/>
      <c r="DU389" s="2"/>
      <c r="DV389" s="2"/>
      <c r="DW389" s="2"/>
      <c r="DX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  <c r="DP390" s="2"/>
      <c r="DQ390" s="2"/>
      <c r="DR390" s="2"/>
      <c r="DS390" s="2"/>
      <c r="DT390" s="2"/>
      <c r="DU390" s="2"/>
      <c r="DV390" s="2"/>
      <c r="DW390" s="2"/>
      <c r="DX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  <c r="DP391" s="2"/>
      <c r="DQ391" s="2"/>
      <c r="DR391" s="2"/>
      <c r="DS391" s="2"/>
      <c r="DT391" s="2"/>
      <c r="DU391" s="2"/>
      <c r="DV391" s="2"/>
      <c r="DW391" s="2"/>
      <c r="DX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  <c r="DP392" s="2"/>
      <c r="DQ392" s="2"/>
      <c r="DR392" s="2"/>
      <c r="DS392" s="2"/>
      <c r="DT392" s="2"/>
      <c r="DU392" s="2"/>
      <c r="DV392" s="2"/>
      <c r="DW392" s="2"/>
      <c r="DX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  <c r="DP393" s="2"/>
      <c r="DQ393" s="2"/>
      <c r="DR393" s="2"/>
      <c r="DS393" s="2"/>
      <c r="DT393" s="2"/>
      <c r="DU393" s="2"/>
      <c r="DV393" s="2"/>
      <c r="DW393" s="2"/>
      <c r="DX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  <c r="DP394" s="2"/>
      <c r="DQ394" s="2"/>
      <c r="DR394" s="2"/>
      <c r="DS394" s="2"/>
      <c r="DT394" s="2"/>
      <c r="DU394" s="2"/>
      <c r="DV394" s="2"/>
      <c r="DW394" s="2"/>
      <c r="DX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  <c r="DP395" s="2"/>
      <c r="DQ395" s="2"/>
      <c r="DR395" s="2"/>
      <c r="DS395" s="2"/>
      <c r="DT395" s="2"/>
      <c r="DU395" s="2"/>
      <c r="DV395" s="2"/>
      <c r="DW395" s="2"/>
      <c r="DX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  <c r="DP396" s="2"/>
      <c r="DQ396" s="2"/>
      <c r="DR396" s="2"/>
      <c r="DS396" s="2"/>
      <c r="DT396" s="2"/>
      <c r="DU396" s="2"/>
      <c r="DV396" s="2"/>
      <c r="DW396" s="2"/>
      <c r="DX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  <c r="DP397" s="2"/>
      <c r="DQ397" s="2"/>
      <c r="DR397" s="2"/>
      <c r="DS397" s="2"/>
      <c r="DT397" s="2"/>
      <c r="DU397" s="2"/>
      <c r="DV397" s="2"/>
      <c r="DW397" s="2"/>
      <c r="DX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  <c r="DP398" s="2"/>
      <c r="DQ398" s="2"/>
      <c r="DR398" s="2"/>
      <c r="DS398" s="2"/>
      <c r="DT398" s="2"/>
      <c r="DU398" s="2"/>
      <c r="DV398" s="2"/>
      <c r="DW398" s="2"/>
      <c r="DX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  <c r="DP399" s="2"/>
      <c r="DQ399" s="2"/>
      <c r="DR399" s="2"/>
      <c r="DS399" s="2"/>
      <c r="DT399" s="2"/>
      <c r="DU399" s="2"/>
      <c r="DV399" s="2"/>
      <c r="DW399" s="2"/>
      <c r="DX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  <c r="DP400" s="2"/>
      <c r="DQ400" s="2"/>
      <c r="DR400" s="2"/>
      <c r="DS400" s="2"/>
      <c r="DT400" s="2"/>
      <c r="DU400" s="2"/>
      <c r="DV400" s="2"/>
      <c r="DW400" s="2"/>
      <c r="DX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  <c r="DP401" s="2"/>
      <c r="DQ401" s="2"/>
      <c r="DR401" s="2"/>
      <c r="DS401" s="2"/>
      <c r="DT401" s="2"/>
      <c r="DU401" s="2"/>
      <c r="DV401" s="2"/>
      <c r="DW401" s="2"/>
      <c r="DX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  <c r="DP402" s="2"/>
      <c r="DQ402" s="2"/>
      <c r="DR402" s="2"/>
      <c r="DS402" s="2"/>
      <c r="DT402" s="2"/>
      <c r="DU402" s="2"/>
      <c r="DV402" s="2"/>
      <c r="DW402" s="2"/>
      <c r="DX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  <c r="DP403" s="2"/>
      <c r="DQ403" s="2"/>
      <c r="DR403" s="2"/>
      <c r="DS403" s="2"/>
      <c r="DT403" s="2"/>
      <c r="DU403" s="2"/>
      <c r="DV403" s="2"/>
      <c r="DW403" s="2"/>
      <c r="DX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  <c r="DP404" s="2"/>
      <c r="DQ404" s="2"/>
      <c r="DR404" s="2"/>
      <c r="DS404" s="2"/>
      <c r="DT404" s="2"/>
      <c r="DU404" s="2"/>
      <c r="DV404" s="2"/>
      <c r="DW404" s="2"/>
      <c r="DX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  <c r="DP405" s="2"/>
      <c r="DQ405" s="2"/>
      <c r="DR405" s="2"/>
      <c r="DS405" s="2"/>
      <c r="DT405" s="2"/>
      <c r="DU405" s="2"/>
      <c r="DV405" s="2"/>
      <c r="DW405" s="2"/>
      <c r="DX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  <c r="DP406" s="2"/>
      <c r="DQ406" s="2"/>
      <c r="DR406" s="2"/>
      <c r="DS406" s="2"/>
      <c r="DT406" s="2"/>
      <c r="DU406" s="2"/>
      <c r="DV406" s="2"/>
      <c r="DW406" s="2"/>
      <c r="DX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  <c r="DP407" s="2"/>
      <c r="DQ407" s="2"/>
      <c r="DR407" s="2"/>
      <c r="DS407" s="2"/>
      <c r="DT407" s="2"/>
      <c r="DU407" s="2"/>
      <c r="DV407" s="2"/>
      <c r="DW407" s="2"/>
      <c r="DX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  <c r="DP408" s="2"/>
      <c r="DQ408" s="2"/>
      <c r="DR408" s="2"/>
      <c r="DS408" s="2"/>
      <c r="DT408" s="2"/>
      <c r="DU408" s="2"/>
      <c r="DV408" s="2"/>
      <c r="DW408" s="2"/>
      <c r="DX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  <c r="DP409" s="2"/>
      <c r="DQ409" s="2"/>
      <c r="DR409" s="2"/>
      <c r="DS409" s="2"/>
      <c r="DT409" s="2"/>
      <c r="DU409" s="2"/>
      <c r="DV409" s="2"/>
      <c r="DW409" s="2"/>
      <c r="DX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  <c r="DP410" s="2"/>
      <c r="DQ410" s="2"/>
      <c r="DR410" s="2"/>
      <c r="DS410" s="2"/>
      <c r="DT410" s="2"/>
      <c r="DU410" s="2"/>
      <c r="DV410" s="2"/>
      <c r="DW410" s="2"/>
      <c r="DX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  <c r="DP411" s="2"/>
      <c r="DQ411" s="2"/>
      <c r="DR411" s="2"/>
      <c r="DS411" s="2"/>
      <c r="DT411" s="2"/>
      <c r="DU411" s="2"/>
      <c r="DV411" s="2"/>
      <c r="DW411" s="2"/>
      <c r="DX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  <c r="DP412" s="2"/>
      <c r="DQ412" s="2"/>
      <c r="DR412" s="2"/>
      <c r="DS412" s="2"/>
      <c r="DT412" s="2"/>
      <c r="DU412" s="2"/>
      <c r="DV412" s="2"/>
      <c r="DW412" s="2"/>
      <c r="DX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  <c r="DP413" s="2"/>
      <c r="DQ413" s="2"/>
      <c r="DR413" s="2"/>
      <c r="DS413" s="2"/>
      <c r="DT413" s="2"/>
      <c r="DU413" s="2"/>
      <c r="DV413" s="2"/>
      <c r="DW413" s="2"/>
      <c r="DX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  <c r="DP414" s="2"/>
      <c r="DQ414" s="2"/>
      <c r="DR414" s="2"/>
      <c r="DS414" s="2"/>
      <c r="DT414" s="2"/>
      <c r="DU414" s="2"/>
      <c r="DV414" s="2"/>
      <c r="DW414" s="2"/>
      <c r="DX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  <c r="DP415" s="2"/>
      <c r="DQ415" s="2"/>
      <c r="DR415" s="2"/>
      <c r="DS415" s="2"/>
      <c r="DT415" s="2"/>
      <c r="DU415" s="2"/>
      <c r="DV415" s="2"/>
      <c r="DW415" s="2"/>
      <c r="DX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  <c r="DP416" s="2"/>
      <c r="DQ416" s="2"/>
      <c r="DR416" s="2"/>
      <c r="DS416" s="2"/>
      <c r="DT416" s="2"/>
      <c r="DU416" s="2"/>
      <c r="DV416" s="2"/>
      <c r="DW416" s="2"/>
      <c r="DX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  <c r="DP417" s="2"/>
      <c r="DQ417" s="2"/>
      <c r="DR417" s="2"/>
      <c r="DS417" s="2"/>
      <c r="DT417" s="2"/>
      <c r="DU417" s="2"/>
      <c r="DV417" s="2"/>
      <c r="DW417" s="2"/>
      <c r="DX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  <c r="DP418" s="2"/>
      <c r="DQ418" s="2"/>
      <c r="DR418" s="2"/>
      <c r="DS418" s="2"/>
      <c r="DT418" s="2"/>
      <c r="DU418" s="2"/>
      <c r="DV418" s="2"/>
      <c r="DW418" s="2"/>
      <c r="DX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  <c r="DP419" s="2"/>
      <c r="DQ419" s="2"/>
      <c r="DR419" s="2"/>
      <c r="DS419" s="2"/>
      <c r="DT419" s="2"/>
      <c r="DU419" s="2"/>
      <c r="DV419" s="2"/>
      <c r="DW419" s="2"/>
      <c r="DX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  <c r="DP420" s="2"/>
      <c r="DQ420" s="2"/>
      <c r="DR420" s="2"/>
      <c r="DS420" s="2"/>
      <c r="DT420" s="2"/>
      <c r="DU420" s="2"/>
      <c r="DV420" s="2"/>
      <c r="DW420" s="2"/>
      <c r="DX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  <c r="DP421" s="2"/>
      <c r="DQ421" s="2"/>
      <c r="DR421" s="2"/>
      <c r="DS421" s="2"/>
      <c r="DT421" s="2"/>
      <c r="DU421" s="2"/>
      <c r="DV421" s="2"/>
      <c r="DW421" s="2"/>
      <c r="DX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  <c r="DP422" s="2"/>
      <c r="DQ422" s="2"/>
      <c r="DR422" s="2"/>
      <c r="DS422" s="2"/>
      <c r="DT422" s="2"/>
      <c r="DU422" s="2"/>
      <c r="DV422" s="2"/>
      <c r="DW422" s="2"/>
      <c r="DX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  <c r="DP423" s="2"/>
      <c r="DQ423" s="2"/>
      <c r="DR423" s="2"/>
      <c r="DS423" s="2"/>
      <c r="DT423" s="2"/>
      <c r="DU423" s="2"/>
      <c r="DV423" s="2"/>
      <c r="DW423" s="2"/>
      <c r="DX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  <c r="DP424" s="2"/>
      <c r="DQ424" s="2"/>
      <c r="DR424" s="2"/>
      <c r="DS424" s="2"/>
      <c r="DT424" s="2"/>
      <c r="DU424" s="2"/>
      <c r="DV424" s="2"/>
      <c r="DW424" s="2"/>
      <c r="DX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  <c r="DP425" s="2"/>
      <c r="DQ425" s="2"/>
      <c r="DR425" s="2"/>
      <c r="DS425" s="2"/>
      <c r="DT425" s="2"/>
      <c r="DU425" s="2"/>
      <c r="DV425" s="2"/>
      <c r="DW425" s="2"/>
      <c r="DX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  <c r="DP426" s="2"/>
      <c r="DQ426" s="2"/>
      <c r="DR426" s="2"/>
      <c r="DS426" s="2"/>
      <c r="DT426" s="2"/>
      <c r="DU426" s="2"/>
      <c r="DV426" s="2"/>
      <c r="DW426" s="2"/>
      <c r="DX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  <c r="DP427" s="2"/>
      <c r="DQ427" s="2"/>
      <c r="DR427" s="2"/>
      <c r="DS427" s="2"/>
      <c r="DT427" s="2"/>
      <c r="DU427" s="2"/>
      <c r="DV427" s="2"/>
      <c r="DW427" s="2"/>
      <c r="DX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  <c r="DP428" s="2"/>
      <c r="DQ428" s="2"/>
      <c r="DR428" s="2"/>
      <c r="DS428" s="2"/>
      <c r="DT428" s="2"/>
      <c r="DU428" s="2"/>
      <c r="DV428" s="2"/>
      <c r="DW428" s="2"/>
      <c r="DX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  <c r="DP429" s="2"/>
      <c r="DQ429" s="2"/>
      <c r="DR429" s="2"/>
      <c r="DS429" s="2"/>
      <c r="DT429" s="2"/>
      <c r="DU429" s="2"/>
      <c r="DV429" s="2"/>
      <c r="DW429" s="2"/>
      <c r="DX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  <c r="DP430" s="2"/>
      <c r="DQ430" s="2"/>
      <c r="DR430" s="2"/>
      <c r="DS430" s="2"/>
      <c r="DT430" s="2"/>
      <c r="DU430" s="2"/>
      <c r="DV430" s="2"/>
      <c r="DW430" s="2"/>
      <c r="DX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  <c r="DP431" s="2"/>
      <c r="DQ431" s="2"/>
      <c r="DR431" s="2"/>
      <c r="DS431" s="2"/>
      <c r="DT431" s="2"/>
      <c r="DU431" s="2"/>
      <c r="DV431" s="2"/>
      <c r="DW431" s="2"/>
      <c r="DX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  <c r="DP432" s="2"/>
      <c r="DQ432" s="2"/>
      <c r="DR432" s="2"/>
      <c r="DS432" s="2"/>
      <c r="DT432" s="2"/>
      <c r="DU432" s="2"/>
      <c r="DV432" s="2"/>
      <c r="DW432" s="2"/>
      <c r="DX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  <c r="DP433" s="2"/>
      <c r="DQ433" s="2"/>
      <c r="DR433" s="2"/>
      <c r="DS433" s="2"/>
      <c r="DT433" s="2"/>
      <c r="DU433" s="2"/>
      <c r="DV433" s="2"/>
      <c r="DW433" s="2"/>
      <c r="DX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  <c r="DP434" s="2"/>
      <c r="DQ434" s="2"/>
      <c r="DR434" s="2"/>
      <c r="DS434" s="2"/>
      <c r="DT434" s="2"/>
      <c r="DU434" s="2"/>
      <c r="DV434" s="2"/>
      <c r="DW434" s="2"/>
      <c r="DX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  <c r="DP435" s="2"/>
      <c r="DQ435" s="2"/>
      <c r="DR435" s="2"/>
      <c r="DS435" s="2"/>
      <c r="DT435" s="2"/>
      <c r="DU435" s="2"/>
      <c r="DV435" s="2"/>
      <c r="DW435" s="2"/>
      <c r="DX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  <c r="DP436" s="2"/>
      <c r="DQ436" s="2"/>
      <c r="DR436" s="2"/>
      <c r="DS436" s="2"/>
      <c r="DT436" s="2"/>
      <c r="DU436" s="2"/>
      <c r="DV436" s="2"/>
      <c r="DW436" s="2"/>
      <c r="DX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  <c r="DP437" s="2"/>
      <c r="DQ437" s="2"/>
      <c r="DR437" s="2"/>
      <c r="DS437" s="2"/>
      <c r="DT437" s="2"/>
      <c r="DU437" s="2"/>
      <c r="DV437" s="2"/>
      <c r="DW437" s="2"/>
      <c r="DX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  <c r="DP438" s="2"/>
      <c r="DQ438" s="2"/>
      <c r="DR438" s="2"/>
      <c r="DS438" s="2"/>
      <c r="DT438" s="2"/>
      <c r="DU438" s="2"/>
      <c r="DV438" s="2"/>
      <c r="DW438" s="2"/>
      <c r="DX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  <c r="DP439" s="2"/>
      <c r="DQ439" s="2"/>
      <c r="DR439" s="2"/>
      <c r="DS439" s="2"/>
      <c r="DT439" s="2"/>
      <c r="DU439" s="2"/>
      <c r="DV439" s="2"/>
      <c r="DW439" s="2"/>
      <c r="DX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  <c r="DP440" s="2"/>
      <c r="DQ440" s="2"/>
      <c r="DR440" s="2"/>
      <c r="DS440" s="2"/>
      <c r="DT440" s="2"/>
      <c r="DU440" s="2"/>
      <c r="DV440" s="2"/>
      <c r="DW440" s="2"/>
      <c r="DX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  <c r="DP441" s="2"/>
      <c r="DQ441" s="2"/>
      <c r="DR441" s="2"/>
      <c r="DS441" s="2"/>
      <c r="DT441" s="2"/>
      <c r="DU441" s="2"/>
      <c r="DV441" s="2"/>
      <c r="DW441" s="2"/>
      <c r="DX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  <c r="DP442" s="2"/>
      <c r="DQ442" s="2"/>
      <c r="DR442" s="2"/>
      <c r="DS442" s="2"/>
      <c r="DT442" s="2"/>
      <c r="DU442" s="2"/>
      <c r="DV442" s="2"/>
      <c r="DW442" s="2"/>
      <c r="DX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  <c r="DP443" s="2"/>
      <c r="DQ443" s="2"/>
      <c r="DR443" s="2"/>
      <c r="DS443" s="2"/>
      <c r="DT443" s="2"/>
      <c r="DU443" s="2"/>
      <c r="DV443" s="2"/>
      <c r="DW443" s="2"/>
      <c r="DX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  <c r="DP444" s="2"/>
      <c r="DQ444" s="2"/>
      <c r="DR444" s="2"/>
      <c r="DS444" s="2"/>
      <c r="DT444" s="2"/>
      <c r="DU444" s="2"/>
      <c r="DV444" s="2"/>
      <c r="DW444" s="2"/>
      <c r="DX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  <c r="DP445" s="2"/>
      <c r="DQ445" s="2"/>
      <c r="DR445" s="2"/>
      <c r="DS445" s="2"/>
      <c r="DT445" s="2"/>
      <c r="DU445" s="2"/>
      <c r="DV445" s="2"/>
      <c r="DW445" s="2"/>
      <c r="DX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  <c r="DP446" s="2"/>
      <c r="DQ446" s="2"/>
      <c r="DR446" s="2"/>
      <c r="DS446" s="2"/>
      <c r="DT446" s="2"/>
      <c r="DU446" s="2"/>
      <c r="DV446" s="2"/>
      <c r="DW446" s="2"/>
      <c r="DX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  <c r="DP447" s="2"/>
      <c r="DQ447" s="2"/>
      <c r="DR447" s="2"/>
      <c r="DS447" s="2"/>
      <c r="DT447" s="2"/>
      <c r="DU447" s="2"/>
      <c r="DV447" s="2"/>
      <c r="DW447" s="2"/>
      <c r="DX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  <c r="DP448" s="2"/>
      <c r="DQ448" s="2"/>
      <c r="DR448" s="2"/>
      <c r="DS448" s="2"/>
      <c r="DT448" s="2"/>
      <c r="DU448" s="2"/>
      <c r="DV448" s="2"/>
      <c r="DW448" s="2"/>
      <c r="DX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  <c r="DP449" s="2"/>
      <c r="DQ449" s="2"/>
      <c r="DR449" s="2"/>
      <c r="DS449" s="2"/>
      <c r="DT449" s="2"/>
      <c r="DU449" s="2"/>
      <c r="DV449" s="2"/>
      <c r="DW449" s="2"/>
      <c r="DX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  <c r="DP450" s="2"/>
      <c r="DQ450" s="2"/>
      <c r="DR450" s="2"/>
      <c r="DS450" s="2"/>
      <c r="DT450" s="2"/>
      <c r="DU450" s="2"/>
      <c r="DV450" s="2"/>
      <c r="DW450" s="2"/>
      <c r="DX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  <c r="DP451" s="2"/>
      <c r="DQ451" s="2"/>
      <c r="DR451" s="2"/>
      <c r="DS451" s="2"/>
      <c r="DT451" s="2"/>
      <c r="DU451" s="2"/>
      <c r="DV451" s="2"/>
      <c r="DW451" s="2"/>
      <c r="DX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  <c r="DP452" s="2"/>
      <c r="DQ452" s="2"/>
      <c r="DR452" s="2"/>
      <c r="DS452" s="2"/>
      <c r="DT452" s="2"/>
      <c r="DU452" s="2"/>
      <c r="DV452" s="2"/>
      <c r="DW452" s="2"/>
      <c r="DX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  <c r="DP453" s="2"/>
      <c r="DQ453" s="2"/>
      <c r="DR453" s="2"/>
      <c r="DS453" s="2"/>
      <c r="DT453" s="2"/>
      <c r="DU453" s="2"/>
      <c r="DV453" s="2"/>
      <c r="DW453" s="2"/>
      <c r="DX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  <c r="DP454" s="2"/>
      <c r="DQ454" s="2"/>
      <c r="DR454" s="2"/>
      <c r="DS454" s="2"/>
      <c r="DT454" s="2"/>
      <c r="DU454" s="2"/>
      <c r="DV454" s="2"/>
      <c r="DW454" s="2"/>
      <c r="DX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  <c r="DP455" s="2"/>
      <c r="DQ455" s="2"/>
      <c r="DR455" s="2"/>
      <c r="DS455" s="2"/>
      <c r="DT455" s="2"/>
      <c r="DU455" s="2"/>
      <c r="DV455" s="2"/>
      <c r="DW455" s="2"/>
      <c r="DX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  <c r="DP456" s="2"/>
      <c r="DQ456" s="2"/>
      <c r="DR456" s="2"/>
      <c r="DS456" s="2"/>
      <c r="DT456" s="2"/>
      <c r="DU456" s="2"/>
      <c r="DV456" s="2"/>
      <c r="DW456" s="2"/>
      <c r="DX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  <c r="DP457" s="2"/>
      <c r="DQ457" s="2"/>
      <c r="DR457" s="2"/>
      <c r="DS457" s="2"/>
      <c r="DT457" s="2"/>
      <c r="DU457" s="2"/>
      <c r="DV457" s="2"/>
      <c r="DW457" s="2"/>
      <c r="DX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  <c r="DP458" s="2"/>
      <c r="DQ458" s="2"/>
      <c r="DR458" s="2"/>
      <c r="DS458" s="2"/>
      <c r="DT458" s="2"/>
      <c r="DU458" s="2"/>
      <c r="DV458" s="2"/>
      <c r="DW458" s="2"/>
      <c r="DX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  <c r="DP459" s="2"/>
      <c r="DQ459" s="2"/>
      <c r="DR459" s="2"/>
      <c r="DS459" s="2"/>
      <c r="DT459" s="2"/>
      <c r="DU459" s="2"/>
      <c r="DV459" s="2"/>
      <c r="DW459" s="2"/>
      <c r="DX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  <c r="DP460" s="2"/>
      <c r="DQ460" s="2"/>
      <c r="DR460" s="2"/>
      <c r="DS460" s="2"/>
      <c r="DT460" s="2"/>
      <c r="DU460" s="2"/>
      <c r="DV460" s="2"/>
      <c r="DW460" s="2"/>
      <c r="DX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  <c r="DP461" s="2"/>
      <c r="DQ461" s="2"/>
      <c r="DR461" s="2"/>
      <c r="DS461" s="2"/>
      <c r="DT461" s="2"/>
      <c r="DU461" s="2"/>
      <c r="DV461" s="2"/>
      <c r="DW461" s="2"/>
      <c r="DX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  <c r="DP462" s="2"/>
      <c r="DQ462" s="2"/>
      <c r="DR462" s="2"/>
      <c r="DS462" s="2"/>
      <c r="DT462" s="2"/>
      <c r="DU462" s="2"/>
      <c r="DV462" s="2"/>
      <c r="DW462" s="2"/>
      <c r="DX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  <c r="DP463" s="2"/>
      <c r="DQ463" s="2"/>
      <c r="DR463" s="2"/>
      <c r="DS463" s="2"/>
      <c r="DT463" s="2"/>
      <c r="DU463" s="2"/>
      <c r="DV463" s="2"/>
      <c r="DW463" s="2"/>
      <c r="DX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  <c r="DP464" s="2"/>
      <c r="DQ464" s="2"/>
      <c r="DR464" s="2"/>
      <c r="DS464" s="2"/>
      <c r="DT464" s="2"/>
      <c r="DU464" s="2"/>
      <c r="DV464" s="2"/>
      <c r="DW464" s="2"/>
      <c r="DX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  <c r="DP465" s="2"/>
      <c r="DQ465" s="2"/>
      <c r="DR465" s="2"/>
      <c r="DS465" s="2"/>
      <c r="DT465" s="2"/>
      <c r="DU465" s="2"/>
      <c r="DV465" s="2"/>
      <c r="DW465" s="2"/>
      <c r="DX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  <c r="DP466" s="2"/>
      <c r="DQ466" s="2"/>
      <c r="DR466" s="2"/>
      <c r="DS466" s="2"/>
      <c r="DT466" s="2"/>
      <c r="DU466" s="2"/>
      <c r="DV466" s="2"/>
      <c r="DW466" s="2"/>
      <c r="DX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  <c r="DP467" s="2"/>
      <c r="DQ467" s="2"/>
      <c r="DR467" s="2"/>
      <c r="DS467" s="2"/>
      <c r="DT467" s="2"/>
      <c r="DU467" s="2"/>
      <c r="DV467" s="2"/>
      <c r="DW467" s="2"/>
      <c r="DX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  <c r="DP468" s="2"/>
      <c r="DQ468" s="2"/>
      <c r="DR468" s="2"/>
      <c r="DS468" s="2"/>
      <c r="DT468" s="2"/>
      <c r="DU468" s="2"/>
      <c r="DV468" s="2"/>
      <c r="DW468" s="2"/>
      <c r="DX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  <c r="DP469" s="2"/>
      <c r="DQ469" s="2"/>
      <c r="DR469" s="2"/>
      <c r="DS469" s="2"/>
      <c r="DT469" s="2"/>
      <c r="DU469" s="2"/>
      <c r="DV469" s="2"/>
      <c r="DW469" s="2"/>
      <c r="DX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  <c r="DP470" s="2"/>
      <c r="DQ470" s="2"/>
      <c r="DR470" s="2"/>
      <c r="DS470" s="2"/>
      <c r="DT470" s="2"/>
      <c r="DU470" s="2"/>
      <c r="DV470" s="2"/>
      <c r="DW470" s="2"/>
      <c r="DX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  <c r="DP471" s="2"/>
      <c r="DQ471" s="2"/>
      <c r="DR471" s="2"/>
      <c r="DS471" s="2"/>
      <c r="DT471" s="2"/>
      <c r="DU471" s="2"/>
      <c r="DV471" s="2"/>
      <c r="DW471" s="2"/>
      <c r="DX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  <c r="DP472" s="2"/>
      <c r="DQ472" s="2"/>
      <c r="DR472" s="2"/>
      <c r="DS472" s="2"/>
      <c r="DT472" s="2"/>
      <c r="DU472" s="2"/>
      <c r="DV472" s="2"/>
      <c r="DW472" s="2"/>
      <c r="DX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  <c r="DP473" s="2"/>
      <c r="DQ473" s="2"/>
      <c r="DR473" s="2"/>
      <c r="DS473" s="2"/>
      <c r="DT473" s="2"/>
      <c r="DU473" s="2"/>
      <c r="DV473" s="2"/>
      <c r="DW473" s="2"/>
      <c r="DX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  <c r="DP474" s="2"/>
      <c r="DQ474" s="2"/>
      <c r="DR474" s="2"/>
      <c r="DS474" s="2"/>
      <c r="DT474" s="2"/>
      <c r="DU474" s="2"/>
      <c r="DV474" s="2"/>
      <c r="DW474" s="2"/>
      <c r="DX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  <c r="DP475" s="2"/>
      <c r="DQ475" s="2"/>
      <c r="DR475" s="2"/>
      <c r="DS475" s="2"/>
      <c r="DT475" s="2"/>
      <c r="DU475" s="2"/>
      <c r="DV475" s="2"/>
      <c r="DW475" s="2"/>
      <c r="DX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  <c r="DP476" s="2"/>
      <c r="DQ476" s="2"/>
      <c r="DR476" s="2"/>
      <c r="DS476" s="2"/>
      <c r="DT476" s="2"/>
      <c r="DU476" s="2"/>
      <c r="DV476" s="2"/>
      <c r="DW476" s="2"/>
      <c r="DX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  <c r="DP477" s="2"/>
      <c r="DQ477" s="2"/>
      <c r="DR477" s="2"/>
      <c r="DS477" s="2"/>
      <c r="DT477" s="2"/>
      <c r="DU477" s="2"/>
      <c r="DV477" s="2"/>
      <c r="DW477" s="2"/>
      <c r="DX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  <c r="DP478" s="2"/>
      <c r="DQ478" s="2"/>
      <c r="DR478" s="2"/>
      <c r="DS478" s="2"/>
      <c r="DT478" s="2"/>
      <c r="DU478" s="2"/>
      <c r="DV478" s="2"/>
      <c r="DW478" s="2"/>
      <c r="DX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  <c r="DP479" s="2"/>
      <c r="DQ479" s="2"/>
      <c r="DR479" s="2"/>
      <c r="DS479" s="2"/>
      <c r="DT479" s="2"/>
      <c r="DU479" s="2"/>
      <c r="DV479" s="2"/>
      <c r="DW479" s="2"/>
      <c r="DX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  <c r="DP480" s="2"/>
      <c r="DQ480" s="2"/>
      <c r="DR480" s="2"/>
      <c r="DS480" s="2"/>
      <c r="DT480" s="2"/>
      <c r="DU480" s="2"/>
      <c r="DV480" s="2"/>
      <c r="DW480" s="2"/>
      <c r="DX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  <c r="DP481" s="2"/>
      <c r="DQ481" s="2"/>
      <c r="DR481" s="2"/>
      <c r="DS481" s="2"/>
      <c r="DT481" s="2"/>
      <c r="DU481" s="2"/>
      <c r="DV481" s="2"/>
      <c r="DW481" s="2"/>
      <c r="DX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  <c r="DP482" s="2"/>
      <c r="DQ482" s="2"/>
      <c r="DR482" s="2"/>
      <c r="DS482" s="2"/>
      <c r="DT482" s="2"/>
      <c r="DU482" s="2"/>
      <c r="DV482" s="2"/>
      <c r="DW482" s="2"/>
      <c r="DX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  <c r="DP483" s="2"/>
      <c r="DQ483" s="2"/>
      <c r="DR483" s="2"/>
      <c r="DS483" s="2"/>
      <c r="DT483" s="2"/>
      <c r="DU483" s="2"/>
      <c r="DV483" s="2"/>
      <c r="DW483" s="2"/>
      <c r="DX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  <c r="DP484" s="2"/>
      <c r="DQ484" s="2"/>
      <c r="DR484" s="2"/>
      <c r="DS484" s="2"/>
      <c r="DT484" s="2"/>
      <c r="DU484" s="2"/>
      <c r="DV484" s="2"/>
      <c r="DW484" s="2"/>
      <c r="DX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  <c r="DP485" s="2"/>
      <c r="DQ485" s="2"/>
      <c r="DR485" s="2"/>
      <c r="DS485" s="2"/>
      <c r="DT485" s="2"/>
      <c r="DU485" s="2"/>
      <c r="DV485" s="2"/>
      <c r="DW485" s="2"/>
      <c r="DX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  <c r="DP486" s="2"/>
      <c r="DQ486" s="2"/>
      <c r="DR486" s="2"/>
      <c r="DS486" s="2"/>
      <c r="DT486" s="2"/>
      <c r="DU486" s="2"/>
      <c r="DV486" s="2"/>
      <c r="DW486" s="2"/>
      <c r="DX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  <c r="DP487" s="2"/>
      <c r="DQ487" s="2"/>
      <c r="DR487" s="2"/>
      <c r="DS487" s="2"/>
      <c r="DT487" s="2"/>
      <c r="DU487" s="2"/>
      <c r="DV487" s="2"/>
      <c r="DW487" s="2"/>
      <c r="DX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  <c r="DP488" s="2"/>
      <c r="DQ488" s="2"/>
      <c r="DR488" s="2"/>
      <c r="DS488" s="2"/>
      <c r="DT488" s="2"/>
      <c r="DU488" s="2"/>
      <c r="DV488" s="2"/>
      <c r="DW488" s="2"/>
      <c r="DX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  <c r="DP489" s="2"/>
      <c r="DQ489" s="2"/>
      <c r="DR489" s="2"/>
      <c r="DS489" s="2"/>
      <c r="DT489" s="2"/>
      <c r="DU489" s="2"/>
      <c r="DV489" s="2"/>
      <c r="DW489" s="2"/>
      <c r="DX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  <c r="DP490" s="2"/>
      <c r="DQ490" s="2"/>
      <c r="DR490" s="2"/>
      <c r="DS490" s="2"/>
      <c r="DT490" s="2"/>
      <c r="DU490" s="2"/>
      <c r="DV490" s="2"/>
      <c r="DW490" s="2"/>
      <c r="DX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  <c r="DP491" s="2"/>
      <c r="DQ491" s="2"/>
      <c r="DR491" s="2"/>
      <c r="DS491" s="2"/>
      <c r="DT491" s="2"/>
      <c r="DU491" s="2"/>
      <c r="DV491" s="2"/>
      <c r="DW491" s="2"/>
      <c r="DX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  <c r="DP492" s="2"/>
      <c r="DQ492" s="2"/>
      <c r="DR492" s="2"/>
      <c r="DS492" s="2"/>
      <c r="DT492" s="2"/>
      <c r="DU492" s="2"/>
      <c r="DV492" s="2"/>
      <c r="DW492" s="2"/>
      <c r="DX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  <c r="DP493" s="2"/>
      <c r="DQ493" s="2"/>
      <c r="DR493" s="2"/>
      <c r="DS493" s="2"/>
      <c r="DT493" s="2"/>
      <c r="DU493" s="2"/>
      <c r="DV493" s="2"/>
      <c r="DW493" s="2"/>
      <c r="DX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  <c r="DP494" s="2"/>
      <c r="DQ494" s="2"/>
      <c r="DR494" s="2"/>
      <c r="DS494" s="2"/>
      <c r="DT494" s="2"/>
      <c r="DU494" s="2"/>
      <c r="DV494" s="2"/>
      <c r="DW494" s="2"/>
      <c r="DX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  <c r="DP495" s="2"/>
      <c r="DQ495" s="2"/>
      <c r="DR495" s="2"/>
      <c r="DS495" s="2"/>
      <c r="DT495" s="2"/>
      <c r="DU495" s="2"/>
      <c r="DV495" s="2"/>
      <c r="DW495" s="2"/>
      <c r="DX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  <c r="DP496" s="2"/>
      <c r="DQ496" s="2"/>
      <c r="DR496" s="2"/>
      <c r="DS496" s="2"/>
      <c r="DT496" s="2"/>
      <c r="DU496" s="2"/>
      <c r="DV496" s="2"/>
      <c r="DW496" s="2"/>
      <c r="DX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  <c r="DP497" s="2"/>
      <c r="DQ497" s="2"/>
      <c r="DR497" s="2"/>
      <c r="DS497" s="2"/>
      <c r="DT497" s="2"/>
      <c r="DU497" s="2"/>
      <c r="DV497" s="2"/>
      <c r="DW497" s="2"/>
      <c r="DX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  <c r="DP498" s="2"/>
      <c r="DQ498" s="2"/>
      <c r="DR498" s="2"/>
      <c r="DS498" s="2"/>
      <c r="DT498" s="2"/>
      <c r="DU498" s="2"/>
      <c r="DV498" s="2"/>
      <c r="DW498" s="2"/>
      <c r="DX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  <c r="DP499" s="2"/>
      <c r="DQ499" s="2"/>
      <c r="DR499" s="2"/>
      <c r="DS499" s="2"/>
      <c r="DT499" s="2"/>
      <c r="DU499" s="2"/>
      <c r="DV499" s="2"/>
      <c r="DW499" s="2"/>
      <c r="DX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  <c r="DP500" s="2"/>
      <c r="DQ500" s="2"/>
      <c r="DR500" s="2"/>
      <c r="DS500" s="2"/>
      <c r="DT500" s="2"/>
      <c r="DU500" s="2"/>
      <c r="DV500" s="2"/>
      <c r="DW500" s="2"/>
      <c r="DX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  <c r="DP501" s="2"/>
      <c r="DQ501" s="2"/>
      <c r="DR501" s="2"/>
      <c r="DS501" s="2"/>
      <c r="DT501" s="2"/>
      <c r="DU501" s="2"/>
      <c r="DV501" s="2"/>
      <c r="DW501" s="2"/>
      <c r="DX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  <c r="DP502" s="2"/>
      <c r="DQ502" s="2"/>
      <c r="DR502" s="2"/>
      <c r="DS502" s="2"/>
      <c r="DT502" s="2"/>
      <c r="DU502" s="2"/>
      <c r="DV502" s="2"/>
      <c r="DW502" s="2"/>
      <c r="DX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  <c r="DP503" s="2"/>
      <c r="DQ503" s="2"/>
      <c r="DR503" s="2"/>
      <c r="DS503" s="2"/>
      <c r="DT503" s="2"/>
      <c r="DU503" s="2"/>
      <c r="DV503" s="2"/>
      <c r="DW503" s="2"/>
      <c r="DX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  <c r="DP504" s="2"/>
      <c r="DQ504" s="2"/>
      <c r="DR504" s="2"/>
      <c r="DS504" s="2"/>
      <c r="DT504" s="2"/>
      <c r="DU504" s="2"/>
      <c r="DV504" s="2"/>
      <c r="DW504" s="2"/>
      <c r="DX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  <c r="DP505" s="2"/>
      <c r="DQ505" s="2"/>
      <c r="DR505" s="2"/>
      <c r="DS505" s="2"/>
      <c r="DT505" s="2"/>
      <c r="DU505" s="2"/>
      <c r="DV505" s="2"/>
      <c r="DW505" s="2"/>
      <c r="DX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  <c r="DP506" s="2"/>
      <c r="DQ506" s="2"/>
      <c r="DR506" s="2"/>
      <c r="DS506" s="2"/>
      <c r="DT506" s="2"/>
      <c r="DU506" s="2"/>
      <c r="DV506" s="2"/>
      <c r="DW506" s="2"/>
      <c r="DX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  <c r="DP507" s="2"/>
      <c r="DQ507" s="2"/>
      <c r="DR507" s="2"/>
      <c r="DS507" s="2"/>
      <c r="DT507" s="2"/>
      <c r="DU507" s="2"/>
      <c r="DV507" s="2"/>
      <c r="DW507" s="2"/>
      <c r="DX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  <c r="DP508" s="2"/>
      <c r="DQ508" s="2"/>
      <c r="DR508" s="2"/>
      <c r="DS508" s="2"/>
      <c r="DT508" s="2"/>
      <c r="DU508" s="2"/>
      <c r="DV508" s="2"/>
      <c r="DW508" s="2"/>
      <c r="DX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  <c r="DP509" s="2"/>
      <c r="DQ509" s="2"/>
      <c r="DR509" s="2"/>
      <c r="DS509" s="2"/>
      <c r="DT509" s="2"/>
      <c r="DU509" s="2"/>
      <c r="DV509" s="2"/>
      <c r="DW509" s="2"/>
      <c r="DX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  <c r="DP510" s="2"/>
      <c r="DQ510" s="2"/>
      <c r="DR510" s="2"/>
      <c r="DS510" s="2"/>
      <c r="DT510" s="2"/>
      <c r="DU510" s="2"/>
      <c r="DV510" s="2"/>
      <c r="DW510" s="2"/>
      <c r="DX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  <c r="DP511" s="2"/>
      <c r="DQ511" s="2"/>
      <c r="DR511" s="2"/>
      <c r="DS511" s="2"/>
      <c r="DT511" s="2"/>
      <c r="DU511" s="2"/>
      <c r="DV511" s="2"/>
      <c r="DW511" s="2"/>
      <c r="DX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  <c r="DP512" s="2"/>
      <c r="DQ512" s="2"/>
      <c r="DR512" s="2"/>
      <c r="DS512" s="2"/>
      <c r="DT512" s="2"/>
      <c r="DU512" s="2"/>
      <c r="DV512" s="2"/>
      <c r="DW512" s="2"/>
      <c r="DX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  <c r="DP513" s="2"/>
      <c r="DQ513" s="2"/>
      <c r="DR513" s="2"/>
      <c r="DS513" s="2"/>
      <c r="DT513" s="2"/>
      <c r="DU513" s="2"/>
      <c r="DV513" s="2"/>
      <c r="DW513" s="2"/>
      <c r="DX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  <c r="DP514" s="2"/>
      <c r="DQ514" s="2"/>
      <c r="DR514" s="2"/>
      <c r="DS514" s="2"/>
      <c r="DT514" s="2"/>
      <c r="DU514" s="2"/>
      <c r="DV514" s="2"/>
      <c r="DW514" s="2"/>
      <c r="DX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  <c r="DP515" s="2"/>
      <c r="DQ515" s="2"/>
      <c r="DR515" s="2"/>
      <c r="DS515" s="2"/>
      <c r="DT515" s="2"/>
      <c r="DU515" s="2"/>
      <c r="DV515" s="2"/>
      <c r="DW515" s="2"/>
      <c r="DX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  <c r="DP516" s="2"/>
      <c r="DQ516" s="2"/>
      <c r="DR516" s="2"/>
      <c r="DS516" s="2"/>
      <c r="DT516" s="2"/>
      <c r="DU516" s="2"/>
      <c r="DV516" s="2"/>
      <c r="DW516" s="2"/>
      <c r="DX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  <c r="DP517" s="2"/>
      <c r="DQ517" s="2"/>
      <c r="DR517" s="2"/>
      <c r="DS517" s="2"/>
      <c r="DT517" s="2"/>
      <c r="DU517" s="2"/>
      <c r="DV517" s="2"/>
      <c r="DW517" s="2"/>
      <c r="DX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  <c r="DP518" s="2"/>
      <c r="DQ518" s="2"/>
      <c r="DR518" s="2"/>
      <c r="DS518" s="2"/>
      <c r="DT518" s="2"/>
      <c r="DU518" s="2"/>
      <c r="DV518" s="2"/>
      <c r="DW518" s="2"/>
      <c r="DX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  <c r="DP519" s="2"/>
      <c r="DQ519" s="2"/>
      <c r="DR519" s="2"/>
      <c r="DS519" s="2"/>
      <c r="DT519" s="2"/>
      <c r="DU519" s="2"/>
      <c r="DV519" s="2"/>
      <c r="DW519" s="2"/>
      <c r="DX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  <c r="DP520" s="2"/>
      <c r="DQ520" s="2"/>
      <c r="DR520" s="2"/>
      <c r="DS520" s="2"/>
      <c r="DT520" s="2"/>
      <c r="DU520" s="2"/>
      <c r="DV520" s="2"/>
      <c r="DW520" s="2"/>
      <c r="DX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  <c r="DP521" s="2"/>
      <c r="DQ521" s="2"/>
      <c r="DR521" s="2"/>
      <c r="DS521" s="2"/>
      <c r="DT521" s="2"/>
      <c r="DU521" s="2"/>
      <c r="DV521" s="2"/>
      <c r="DW521" s="2"/>
      <c r="DX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  <c r="DP522" s="2"/>
      <c r="DQ522" s="2"/>
      <c r="DR522" s="2"/>
      <c r="DS522" s="2"/>
      <c r="DT522" s="2"/>
      <c r="DU522" s="2"/>
      <c r="DV522" s="2"/>
      <c r="DW522" s="2"/>
      <c r="DX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  <c r="DP523" s="2"/>
      <c r="DQ523" s="2"/>
      <c r="DR523" s="2"/>
      <c r="DS523" s="2"/>
      <c r="DT523" s="2"/>
      <c r="DU523" s="2"/>
      <c r="DV523" s="2"/>
      <c r="DW523" s="2"/>
      <c r="DX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  <c r="DP524" s="2"/>
      <c r="DQ524" s="2"/>
      <c r="DR524" s="2"/>
      <c r="DS524" s="2"/>
      <c r="DT524" s="2"/>
      <c r="DU524" s="2"/>
      <c r="DV524" s="2"/>
      <c r="DW524" s="2"/>
      <c r="DX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  <c r="DP525" s="2"/>
      <c r="DQ525" s="2"/>
      <c r="DR525" s="2"/>
      <c r="DS525" s="2"/>
      <c r="DT525" s="2"/>
      <c r="DU525" s="2"/>
      <c r="DV525" s="2"/>
      <c r="DW525" s="2"/>
      <c r="DX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  <c r="DP526" s="2"/>
      <c r="DQ526" s="2"/>
      <c r="DR526" s="2"/>
      <c r="DS526" s="2"/>
      <c r="DT526" s="2"/>
      <c r="DU526" s="2"/>
      <c r="DV526" s="2"/>
      <c r="DW526" s="2"/>
      <c r="DX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  <c r="DP527" s="2"/>
      <c r="DQ527" s="2"/>
      <c r="DR527" s="2"/>
      <c r="DS527" s="2"/>
      <c r="DT527" s="2"/>
      <c r="DU527" s="2"/>
      <c r="DV527" s="2"/>
      <c r="DW527" s="2"/>
      <c r="DX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  <c r="DP528" s="2"/>
      <c r="DQ528" s="2"/>
      <c r="DR528" s="2"/>
      <c r="DS528" s="2"/>
      <c r="DT528" s="2"/>
      <c r="DU528" s="2"/>
      <c r="DV528" s="2"/>
      <c r="DW528" s="2"/>
      <c r="DX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  <c r="DP529" s="2"/>
      <c r="DQ529" s="2"/>
      <c r="DR529" s="2"/>
      <c r="DS529" s="2"/>
      <c r="DT529" s="2"/>
      <c r="DU529" s="2"/>
      <c r="DV529" s="2"/>
      <c r="DW529" s="2"/>
      <c r="DX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  <c r="DP530" s="2"/>
      <c r="DQ530" s="2"/>
      <c r="DR530" s="2"/>
      <c r="DS530" s="2"/>
      <c r="DT530" s="2"/>
      <c r="DU530" s="2"/>
      <c r="DV530" s="2"/>
      <c r="DW530" s="2"/>
      <c r="DX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  <c r="DP531" s="2"/>
      <c r="DQ531" s="2"/>
      <c r="DR531" s="2"/>
      <c r="DS531" s="2"/>
      <c r="DT531" s="2"/>
      <c r="DU531" s="2"/>
      <c r="DV531" s="2"/>
      <c r="DW531" s="2"/>
      <c r="DX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  <c r="DP532" s="2"/>
      <c r="DQ532" s="2"/>
      <c r="DR532" s="2"/>
      <c r="DS532" s="2"/>
      <c r="DT532" s="2"/>
      <c r="DU532" s="2"/>
      <c r="DV532" s="2"/>
      <c r="DW532" s="2"/>
      <c r="DX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  <c r="DP533" s="2"/>
      <c r="DQ533" s="2"/>
      <c r="DR533" s="2"/>
      <c r="DS533" s="2"/>
      <c r="DT533" s="2"/>
      <c r="DU533" s="2"/>
      <c r="DV533" s="2"/>
      <c r="DW533" s="2"/>
      <c r="DX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  <c r="DP534" s="2"/>
      <c r="DQ534" s="2"/>
      <c r="DR534" s="2"/>
      <c r="DS534" s="2"/>
      <c r="DT534" s="2"/>
      <c r="DU534" s="2"/>
      <c r="DV534" s="2"/>
      <c r="DW534" s="2"/>
      <c r="DX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  <c r="DP535" s="2"/>
      <c r="DQ535" s="2"/>
      <c r="DR535" s="2"/>
      <c r="DS535" s="2"/>
      <c r="DT535" s="2"/>
      <c r="DU535" s="2"/>
      <c r="DV535" s="2"/>
      <c r="DW535" s="2"/>
      <c r="DX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  <c r="DP536" s="2"/>
      <c r="DQ536" s="2"/>
      <c r="DR536" s="2"/>
      <c r="DS536" s="2"/>
      <c r="DT536" s="2"/>
      <c r="DU536" s="2"/>
      <c r="DV536" s="2"/>
      <c r="DW536" s="2"/>
      <c r="DX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  <c r="DP537" s="2"/>
      <c r="DQ537" s="2"/>
      <c r="DR537" s="2"/>
      <c r="DS537" s="2"/>
      <c r="DT537" s="2"/>
      <c r="DU537" s="2"/>
      <c r="DV537" s="2"/>
      <c r="DW537" s="2"/>
      <c r="DX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  <c r="DP538" s="2"/>
      <c r="DQ538" s="2"/>
      <c r="DR538" s="2"/>
      <c r="DS538" s="2"/>
      <c r="DT538" s="2"/>
      <c r="DU538" s="2"/>
      <c r="DV538" s="2"/>
      <c r="DW538" s="2"/>
      <c r="DX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  <c r="DP539" s="2"/>
      <c r="DQ539" s="2"/>
      <c r="DR539" s="2"/>
      <c r="DS539" s="2"/>
      <c r="DT539" s="2"/>
      <c r="DU539" s="2"/>
      <c r="DV539" s="2"/>
      <c r="DW539" s="2"/>
      <c r="DX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  <c r="DP540" s="2"/>
      <c r="DQ540" s="2"/>
      <c r="DR540" s="2"/>
      <c r="DS540" s="2"/>
      <c r="DT540" s="2"/>
      <c r="DU540" s="2"/>
      <c r="DV540" s="2"/>
      <c r="DW540" s="2"/>
      <c r="DX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  <c r="DP541" s="2"/>
      <c r="DQ541" s="2"/>
      <c r="DR541" s="2"/>
      <c r="DS541" s="2"/>
      <c r="DT541" s="2"/>
      <c r="DU541" s="2"/>
      <c r="DV541" s="2"/>
      <c r="DW541" s="2"/>
      <c r="DX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  <c r="DP542" s="2"/>
      <c r="DQ542" s="2"/>
      <c r="DR542" s="2"/>
      <c r="DS542" s="2"/>
      <c r="DT542" s="2"/>
      <c r="DU542" s="2"/>
      <c r="DV542" s="2"/>
      <c r="DW542" s="2"/>
      <c r="DX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  <c r="DP543" s="2"/>
      <c r="DQ543" s="2"/>
      <c r="DR543" s="2"/>
      <c r="DS543" s="2"/>
      <c r="DT543" s="2"/>
      <c r="DU543" s="2"/>
      <c r="DV543" s="2"/>
      <c r="DW543" s="2"/>
      <c r="DX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  <c r="DP544" s="2"/>
      <c r="DQ544" s="2"/>
      <c r="DR544" s="2"/>
      <c r="DS544" s="2"/>
      <c r="DT544" s="2"/>
      <c r="DU544" s="2"/>
      <c r="DV544" s="2"/>
      <c r="DW544" s="2"/>
      <c r="DX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  <c r="DP545" s="2"/>
      <c r="DQ545" s="2"/>
      <c r="DR545" s="2"/>
      <c r="DS545" s="2"/>
      <c r="DT545" s="2"/>
      <c r="DU545" s="2"/>
      <c r="DV545" s="2"/>
      <c r="DW545" s="2"/>
      <c r="DX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  <c r="DP546" s="2"/>
      <c r="DQ546" s="2"/>
      <c r="DR546" s="2"/>
      <c r="DS546" s="2"/>
      <c r="DT546" s="2"/>
      <c r="DU546" s="2"/>
      <c r="DV546" s="2"/>
      <c r="DW546" s="2"/>
      <c r="DX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  <c r="DP547" s="2"/>
      <c r="DQ547" s="2"/>
      <c r="DR547" s="2"/>
      <c r="DS547" s="2"/>
      <c r="DT547" s="2"/>
      <c r="DU547" s="2"/>
      <c r="DV547" s="2"/>
      <c r="DW547" s="2"/>
      <c r="DX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  <c r="DP548" s="2"/>
      <c r="DQ548" s="2"/>
      <c r="DR548" s="2"/>
      <c r="DS548" s="2"/>
      <c r="DT548" s="2"/>
      <c r="DU548" s="2"/>
      <c r="DV548" s="2"/>
      <c r="DW548" s="2"/>
      <c r="DX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  <c r="DP549" s="2"/>
      <c r="DQ549" s="2"/>
      <c r="DR549" s="2"/>
      <c r="DS549" s="2"/>
      <c r="DT549" s="2"/>
      <c r="DU549" s="2"/>
      <c r="DV549" s="2"/>
      <c r="DW549" s="2"/>
      <c r="DX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  <c r="DP550" s="2"/>
      <c r="DQ550" s="2"/>
      <c r="DR550" s="2"/>
      <c r="DS550" s="2"/>
      <c r="DT550" s="2"/>
      <c r="DU550" s="2"/>
      <c r="DV550" s="2"/>
      <c r="DW550" s="2"/>
      <c r="DX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  <c r="DP551" s="2"/>
      <c r="DQ551" s="2"/>
      <c r="DR551" s="2"/>
      <c r="DS551" s="2"/>
      <c r="DT551" s="2"/>
      <c r="DU551" s="2"/>
      <c r="DV551" s="2"/>
      <c r="DW551" s="2"/>
      <c r="DX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  <c r="DP552" s="2"/>
      <c r="DQ552" s="2"/>
      <c r="DR552" s="2"/>
      <c r="DS552" s="2"/>
      <c r="DT552" s="2"/>
      <c r="DU552" s="2"/>
      <c r="DV552" s="2"/>
      <c r="DW552" s="2"/>
      <c r="DX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  <c r="DP553" s="2"/>
      <c r="DQ553" s="2"/>
      <c r="DR553" s="2"/>
      <c r="DS553" s="2"/>
      <c r="DT553" s="2"/>
      <c r="DU553" s="2"/>
      <c r="DV553" s="2"/>
      <c r="DW553" s="2"/>
      <c r="DX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  <c r="DP554" s="2"/>
      <c r="DQ554" s="2"/>
      <c r="DR554" s="2"/>
      <c r="DS554" s="2"/>
      <c r="DT554" s="2"/>
      <c r="DU554" s="2"/>
      <c r="DV554" s="2"/>
      <c r="DW554" s="2"/>
      <c r="DX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  <c r="DP555" s="2"/>
      <c r="DQ555" s="2"/>
      <c r="DR555" s="2"/>
      <c r="DS555" s="2"/>
      <c r="DT555" s="2"/>
      <c r="DU555" s="2"/>
      <c r="DV555" s="2"/>
      <c r="DW555" s="2"/>
      <c r="DX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  <c r="DP556" s="2"/>
      <c r="DQ556" s="2"/>
      <c r="DR556" s="2"/>
      <c r="DS556" s="2"/>
      <c r="DT556" s="2"/>
      <c r="DU556" s="2"/>
      <c r="DV556" s="2"/>
      <c r="DW556" s="2"/>
      <c r="DX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  <c r="DP557" s="2"/>
      <c r="DQ557" s="2"/>
      <c r="DR557" s="2"/>
      <c r="DS557" s="2"/>
      <c r="DT557" s="2"/>
      <c r="DU557" s="2"/>
      <c r="DV557" s="2"/>
      <c r="DW557" s="2"/>
      <c r="DX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  <c r="DP558" s="2"/>
      <c r="DQ558" s="2"/>
      <c r="DR558" s="2"/>
      <c r="DS558" s="2"/>
      <c r="DT558" s="2"/>
      <c r="DU558" s="2"/>
      <c r="DV558" s="2"/>
      <c r="DW558" s="2"/>
      <c r="DX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  <c r="DP559" s="2"/>
      <c r="DQ559" s="2"/>
      <c r="DR559" s="2"/>
      <c r="DS559" s="2"/>
      <c r="DT559" s="2"/>
      <c r="DU559" s="2"/>
      <c r="DV559" s="2"/>
      <c r="DW559" s="2"/>
      <c r="DX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  <c r="DP560" s="2"/>
      <c r="DQ560" s="2"/>
      <c r="DR560" s="2"/>
      <c r="DS560" s="2"/>
      <c r="DT560" s="2"/>
      <c r="DU560" s="2"/>
      <c r="DV560" s="2"/>
      <c r="DW560" s="2"/>
      <c r="DX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  <c r="DP561" s="2"/>
      <c r="DQ561" s="2"/>
      <c r="DR561" s="2"/>
      <c r="DS561" s="2"/>
      <c r="DT561" s="2"/>
      <c r="DU561" s="2"/>
      <c r="DV561" s="2"/>
      <c r="DW561" s="2"/>
      <c r="DX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  <c r="DP562" s="2"/>
      <c r="DQ562" s="2"/>
      <c r="DR562" s="2"/>
      <c r="DS562" s="2"/>
      <c r="DT562" s="2"/>
      <c r="DU562" s="2"/>
      <c r="DV562" s="2"/>
      <c r="DW562" s="2"/>
      <c r="DX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  <c r="DP563" s="2"/>
      <c r="DQ563" s="2"/>
      <c r="DR563" s="2"/>
      <c r="DS563" s="2"/>
      <c r="DT563" s="2"/>
      <c r="DU563" s="2"/>
      <c r="DV563" s="2"/>
      <c r="DW563" s="2"/>
      <c r="DX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  <c r="DP564" s="2"/>
      <c r="DQ564" s="2"/>
      <c r="DR564" s="2"/>
      <c r="DS564" s="2"/>
      <c r="DT564" s="2"/>
      <c r="DU564" s="2"/>
      <c r="DV564" s="2"/>
      <c r="DW564" s="2"/>
      <c r="DX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  <c r="DP565" s="2"/>
      <c r="DQ565" s="2"/>
      <c r="DR565" s="2"/>
      <c r="DS565" s="2"/>
      <c r="DT565" s="2"/>
      <c r="DU565" s="2"/>
      <c r="DV565" s="2"/>
      <c r="DW565" s="2"/>
      <c r="DX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  <c r="DP566" s="2"/>
      <c r="DQ566" s="2"/>
      <c r="DR566" s="2"/>
      <c r="DS566" s="2"/>
      <c r="DT566" s="2"/>
      <c r="DU566" s="2"/>
      <c r="DV566" s="2"/>
      <c r="DW566" s="2"/>
      <c r="DX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  <c r="DP567" s="2"/>
      <c r="DQ567" s="2"/>
      <c r="DR567" s="2"/>
      <c r="DS567" s="2"/>
      <c r="DT567" s="2"/>
      <c r="DU567" s="2"/>
      <c r="DV567" s="2"/>
      <c r="DW567" s="2"/>
      <c r="DX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  <c r="DP568" s="2"/>
      <c r="DQ568" s="2"/>
      <c r="DR568" s="2"/>
      <c r="DS568" s="2"/>
      <c r="DT568" s="2"/>
      <c r="DU568" s="2"/>
      <c r="DV568" s="2"/>
      <c r="DW568" s="2"/>
      <c r="DX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  <c r="DP569" s="2"/>
      <c r="DQ569" s="2"/>
      <c r="DR569" s="2"/>
      <c r="DS569" s="2"/>
      <c r="DT569" s="2"/>
      <c r="DU569" s="2"/>
      <c r="DV569" s="2"/>
      <c r="DW569" s="2"/>
      <c r="DX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  <c r="DP570" s="2"/>
      <c r="DQ570" s="2"/>
      <c r="DR570" s="2"/>
      <c r="DS570" s="2"/>
      <c r="DT570" s="2"/>
      <c r="DU570" s="2"/>
      <c r="DV570" s="2"/>
      <c r="DW570" s="2"/>
      <c r="DX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  <c r="DP571" s="2"/>
      <c r="DQ571" s="2"/>
      <c r="DR571" s="2"/>
      <c r="DS571" s="2"/>
      <c r="DT571" s="2"/>
      <c r="DU571" s="2"/>
      <c r="DV571" s="2"/>
      <c r="DW571" s="2"/>
      <c r="DX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  <c r="DP572" s="2"/>
      <c r="DQ572" s="2"/>
      <c r="DR572" s="2"/>
      <c r="DS572" s="2"/>
      <c r="DT572" s="2"/>
      <c r="DU572" s="2"/>
      <c r="DV572" s="2"/>
      <c r="DW572" s="2"/>
      <c r="DX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  <c r="DP573" s="2"/>
      <c r="DQ573" s="2"/>
      <c r="DR573" s="2"/>
      <c r="DS573" s="2"/>
      <c r="DT573" s="2"/>
      <c r="DU573" s="2"/>
      <c r="DV573" s="2"/>
      <c r="DW573" s="2"/>
      <c r="DX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  <c r="DP574" s="2"/>
      <c r="DQ574" s="2"/>
      <c r="DR574" s="2"/>
      <c r="DS574" s="2"/>
      <c r="DT574" s="2"/>
      <c r="DU574" s="2"/>
      <c r="DV574" s="2"/>
      <c r="DW574" s="2"/>
      <c r="DX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  <c r="DP575" s="2"/>
      <c r="DQ575" s="2"/>
      <c r="DR575" s="2"/>
      <c r="DS575" s="2"/>
      <c r="DT575" s="2"/>
      <c r="DU575" s="2"/>
      <c r="DV575" s="2"/>
      <c r="DW575" s="2"/>
      <c r="DX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  <c r="DP576" s="2"/>
      <c r="DQ576" s="2"/>
      <c r="DR576" s="2"/>
      <c r="DS576" s="2"/>
      <c r="DT576" s="2"/>
      <c r="DU576" s="2"/>
      <c r="DV576" s="2"/>
      <c r="DW576" s="2"/>
      <c r="DX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  <c r="DP577" s="2"/>
      <c r="DQ577" s="2"/>
      <c r="DR577" s="2"/>
      <c r="DS577" s="2"/>
      <c r="DT577" s="2"/>
      <c r="DU577" s="2"/>
      <c r="DV577" s="2"/>
      <c r="DW577" s="2"/>
      <c r="DX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  <c r="DP578" s="2"/>
      <c r="DQ578" s="2"/>
      <c r="DR578" s="2"/>
      <c r="DS578" s="2"/>
      <c r="DT578" s="2"/>
      <c r="DU578" s="2"/>
      <c r="DV578" s="2"/>
      <c r="DW578" s="2"/>
      <c r="DX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  <c r="DP579" s="2"/>
      <c r="DQ579" s="2"/>
      <c r="DR579" s="2"/>
      <c r="DS579" s="2"/>
      <c r="DT579" s="2"/>
      <c r="DU579" s="2"/>
      <c r="DV579" s="2"/>
      <c r="DW579" s="2"/>
      <c r="DX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  <c r="DP580" s="2"/>
      <c r="DQ580" s="2"/>
      <c r="DR580" s="2"/>
      <c r="DS580" s="2"/>
      <c r="DT580" s="2"/>
      <c r="DU580" s="2"/>
      <c r="DV580" s="2"/>
      <c r="DW580" s="2"/>
      <c r="DX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  <c r="DP581" s="2"/>
      <c r="DQ581" s="2"/>
      <c r="DR581" s="2"/>
      <c r="DS581" s="2"/>
      <c r="DT581" s="2"/>
      <c r="DU581" s="2"/>
      <c r="DV581" s="2"/>
      <c r="DW581" s="2"/>
      <c r="DX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  <c r="DP582" s="2"/>
      <c r="DQ582" s="2"/>
      <c r="DR582" s="2"/>
      <c r="DS582" s="2"/>
      <c r="DT582" s="2"/>
      <c r="DU582" s="2"/>
      <c r="DV582" s="2"/>
      <c r="DW582" s="2"/>
      <c r="DX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  <c r="DP583" s="2"/>
      <c r="DQ583" s="2"/>
      <c r="DR583" s="2"/>
      <c r="DS583" s="2"/>
      <c r="DT583" s="2"/>
      <c r="DU583" s="2"/>
      <c r="DV583" s="2"/>
      <c r="DW583" s="2"/>
      <c r="DX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  <c r="DP584" s="2"/>
      <c r="DQ584" s="2"/>
      <c r="DR584" s="2"/>
      <c r="DS584" s="2"/>
      <c r="DT584" s="2"/>
      <c r="DU584" s="2"/>
      <c r="DV584" s="2"/>
      <c r="DW584" s="2"/>
      <c r="DX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  <c r="DP585" s="2"/>
      <c r="DQ585" s="2"/>
      <c r="DR585" s="2"/>
      <c r="DS585" s="2"/>
      <c r="DT585" s="2"/>
      <c r="DU585" s="2"/>
      <c r="DV585" s="2"/>
      <c r="DW585" s="2"/>
      <c r="DX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  <c r="DP586" s="2"/>
      <c r="DQ586" s="2"/>
      <c r="DR586" s="2"/>
      <c r="DS586" s="2"/>
      <c r="DT586" s="2"/>
      <c r="DU586" s="2"/>
      <c r="DV586" s="2"/>
      <c r="DW586" s="2"/>
      <c r="DX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  <c r="DP587" s="2"/>
      <c r="DQ587" s="2"/>
      <c r="DR587" s="2"/>
      <c r="DS587" s="2"/>
      <c r="DT587" s="2"/>
      <c r="DU587" s="2"/>
      <c r="DV587" s="2"/>
      <c r="DW587" s="2"/>
      <c r="DX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  <c r="DP588" s="2"/>
      <c r="DQ588" s="2"/>
      <c r="DR588" s="2"/>
      <c r="DS588" s="2"/>
      <c r="DT588" s="2"/>
      <c r="DU588" s="2"/>
      <c r="DV588" s="2"/>
      <c r="DW588" s="2"/>
      <c r="DX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  <c r="DP589" s="2"/>
      <c r="DQ589" s="2"/>
      <c r="DR589" s="2"/>
      <c r="DS589" s="2"/>
      <c r="DT589" s="2"/>
      <c r="DU589" s="2"/>
      <c r="DV589" s="2"/>
      <c r="DW589" s="2"/>
      <c r="DX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  <c r="DP590" s="2"/>
      <c r="DQ590" s="2"/>
      <c r="DR590" s="2"/>
      <c r="DS590" s="2"/>
      <c r="DT590" s="2"/>
      <c r="DU590" s="2"/>
      <c r="DV590" s="2"/>
      <c r="DW590" s="2"/>
      <c r="DX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  <c r="DP591" s="2"/>
      <c r="DQ591" s="2"/>
      <c r="DR591" s="2"/>
      <c r="DS591" s="2"/>
      <c r="DT591" s="2"/>
      <c r="DU591" s="2"/>
      <c r="DV591" s="2"/>
      <c r="DW591" s="2"/>
      <c r="DX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  <c r="DP592" s="2"/>
      <c r="DQ592" s="2"/>
      <c r="DR592" s="2"/>
      <c r="DS592" s="2"/>
      <c r="DT592" s="2"/>
      <c r="DU592" s="2"/>
      <c r="DV592" s="2"/>
      <c r="DW592" s="2"/>
      <c r="DX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  <c r="DP593" s="2"/>
      <c r="DQ593" s="2"/>
      <c r="DR593" s="2"/>
      <c r="DS593" s="2"/>
      <c r="DT593" s="2"/>
      <c r="DU593" s="2"/>
      <c r="DV593" s="2"/>
      <c r="DW593" s="2"/>
      <c r="DX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  <c r="DP594" s="2"/>
      <c r="DQ594" s="2"/>
      <c r="DR594" s="2"/>
      <c r="DS594" s="2"/>
      <c r="DT594" s="2"/>
      <c r="DU594" s="2"/>
      <c r="DV594" s="2"/>
      <c r="DW594" s="2"/>
      <c r="DX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  <c r="DP595" s="2"/>
      <c r="DQ595" s="2"/>
      <c r="DR595" s="2"/>
      <c r="DS595" s="2"/>
      <c r="DT595" s="2"/>
      <c r="DU595" s="2"/>
      <c r="DV595" s="2"/>
      <c r="DW595" s="2"/>
      <c r="DX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  <c r="DP596" s="2"/>
      <c r="DQ596" s="2"/>
      <c r="DR596" s="2"/>
      <c r="DS596" s="2"/>
      <c r="DT596" s="2"/>
      <c r="DU596" s="2"/>
      <c r="DV596" s="2"/>
      <c r="DW596" s="2"/>
      <c r="DX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  <c r="DP597" s="2"/>
      <c r="DQ597" s="2"/>
      <c r="DR597" s="2"/>
      <c r="DS597" s="2"/>
      <c r="DT597" s="2"/>
      <c r="DU597" s="2"/>
      <c r="DV597" s="2"/>
      <c r="DW597" s="2"/>
      <c r="DX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  <c r="DP598" s="2"/>
      <c r="DQ598" s="2"/>
      <c r="DR598" s="2"/>
      <c r="DS598" s="2"/>
      <c r="DT598" s="2"/>
      <c r="DU598" s="2"/>
      <c r="DV598" s="2"/>
      <c r="DW598" s="2"/>
      <c r="DX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  <c r="DP599" s="2"/>
      <c r="DQ599" s="2"/>
      <c r="DR599" s="2"/>
      <c r="DS599" s="2"/>
      <c r="DT599" s="2"/>
      <c r="DU599" s="2"/>
      <c r="DV599" s="2"/>
      <c r="DW599" s="2"/>
      <c r="DX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  <c r="DP600" s="2"/>
      <c r="DQ600" s="2"/>
      <c r="DR600" s="2"/>
      <c r="DS600" s="2"/>
      <c r="DT600" s="2"/>
      <c r="DU600" s="2"/>
      <c r="DV600" s="2"/>
      <c r="DW600" s="2"/>
      <c r="DX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  <c r="DP601" s="2"/>
      <c r="DQ601" s="2"/>
      <c r="DR601" s="2"/>
      <c r="DS601" s="2"/>
      <c r="DT601" s="2"/>
      <c r="DU601" s="2"/>
      <c r="DV601" s="2"/>
      <c r="DW601" s="2"/>
      <c r="DX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  <c r="DP602" s="2"/>
      <c r="DQ602" s="2"/>
      <c r="DR602" s="2"/>
      <c r="DS602" s="2"/>
      <c r="DT602" s="2"/>
      <c r="DU602" s="2"/>
      <c r="DV602" s="2"/>
      <c r="DW602" s="2"/>
      <c r="DX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  <c r="DP603" s="2"/>
      <c r="DQ603" s="2"/>
      <c r="DR603" s="2"/>
      <c r="DS603" s="2"/>
      <c r="DT603" s="2"/>
      <c r="DU603" s="2"/>
      <c r="DV603" s="2"/>
      <c r="DW603" s="2"/>
      <c r="DX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  <c r="DP604" s="2"/>
      <c r="DQ604" s="2"/>
      <c r="DR604" s="2"/>
      <c r="DS604" s="2"/>
      <c r="DT604" s="2"/>
      <c r="DU604" s="2"/>
      <c r="DV604" s="2"/>
      <c r="DW604" s="2"/>
      <c r="DX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  <c r="DP605" s="2"/>
      <c r="DQ605" s="2"/>
      <c r="DR605" s="2"/>
      <c r="DS605" s="2"/>
      <c r="DT605" s="2"/>
      <c r="DU605" s="2"/>
      <c r="DV605" s="2"/>
      <c r="DW605" s="2"/>
      <c r="DX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  <c r="DP606" s="2"/>
      <c r="DQ606" s="2"/>
      <c r="DR606" s="2"/>
      <c r="DS606" s="2"/>
      <c r="DT606" s="2"/>
      <c r="DU606" s="2"/>
      <c r="DV606" s="2"/>
      <c r="DW606" s="2"/>
      <c r="DX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  <c r="CK607" s="2"/>
      <c r="CL607" s="2"/>
      <c r="CM607" s="2"/>
      <c r="CN607" s="2"/>
      <c r="CO607" s="2"/>
      <c r="CP607" s="2"/>
      <c r="CQ607" s="2"/>
      <c r="CR607" s="2"/>
      <c r="CS607" s="2"/>
      <c r="CT607" s="2"/>
      <c r="CU607" s="2"/>
      <c r="CV607" s="2"/>
      <c r="CW607" s="2"/>
      <c r="CX607" s="2"/>
      <c r="CY607" s="2"/>
      <c r="CZ607" s="2"/>
      <c r="DA607" s="2"/>
      <c r="DB607" s="2"/>
      <c r="DC607" s="2"/>
      <c r="DD607" s="2"/>
      <c r="DE607" s="2"/>
      <c r="DF607" s="2"/>
      <c r="DG607" s="2"/>
      <c r="DH607" s="2"/>
      <c r="DI607" s="2"/>
      <c r="DJ607" s="2"/>
      <c r="DK607" s="2"/>
      <c r="DL607" s="2"/>
      <c r="DM607" s="2"/>
      <c r="DN607" s="2"/>
      <c r="DO607" s="2"/>
      <c r="DP607" s="2"/>
      <c r="DQ607" s="2"/>
      <c r="DR607" s="2"/>
      <c r="DS607" s="2"/>
      <c r="DT607" s="2"/>
      <c r="DU607" s="2"/>
      <c r="DV607" s="2"/>
      <c r="DW607" s="2"/>
      <c r="DX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  <c r="CK608" s="2"/>
      <c r="CL608" s="2"/>
      <c r="CM608" s="2"/>
      <c r="CN608" s="2"/>
      <c r="CO608" s="2"/>
      <c r="CP608" s="2"/>
      <c r="CQ608" s="2"/>
      <c r="CR608" s="2"/>
      <c r="CS608" s="2"/>
      <c r="CT608" s="2"/>
      <c r="CU608" s="2"/>
      <c r="CV608" s="2"/>
      <c r="CW608" s="2"/>
      <c r="CX608" s="2"/>
      <c r="CY608" s="2"/>
      <c r="CZ608" s="2"/>
      <c r="DA608" s="2"/>
      <c r="DB608" s="2"/>
      <c r="DC608" s="2"/>
      <c r="DD608" s="2"/>
      <c r="DE608" s="2"/>
      <c r="DF608" s="2"/>
      <c r="DG608" s="2"/>
      <c r="DH608" s="2"/>
      <c r="DI608" s="2"/>
      <c r="DJ608" s="2"/>
      <c r="DK608" s="2"/>
      <c r="DL608" s="2"/>
      <c r="DM608" s="2"/>
      <c r="DN608" s="2"/>
      <c r="DO608" s="2"/>
      <c r="DP608" s="2"/>
      <c r="DQ608" s="2"/>
      <c r="DR608" s="2"/>
      <c r="DS608" s="2"/>
      <c r="DT608" s="2"/>
      <c r="DU608" s="2"/>
      <c r="DV608" s="2"/>
      <c r="DW608" s="2"/>
      <c r="DX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  <c r="CK609" s="2"/>
      <c r="CL609" s="2"/>
      <c r="CM609" s="2"/>
      <c r="CN609" s="2"/>
      <c r="CO609" s="2"/>
      <c r="CP609" s="2"/>
      <c r="CQ609" s="2"/>
      <c r="CR609" s="2"/>
      <c r="CS609" s="2"/>
      <c r="CT609" s="2"/>
      <c r="CU609" s="2"/>
      <c r="CV609" s="2"/>
      <c r="CW609" s="2"/>
      <c r="CX609" s="2"/>
      <c r="CY609" s="2"/>
      <c r="CZ609" s="2"/>
      <c r="DA609" s="2"/>
      <c r="DB609" s="2"/>
      <c r="DC609" s="2"/>
      <c r="DD609" s="2"/>
      <c r="DE609" s="2"/>
      <c r="DF609" s="2"/>
      <c r="DG609" s="2"/>
      <c r="DH609" s="2"/>
      <c r="DI609" s="2"/>
      <c r="DJ609" s="2"/>
      <c r="DK609" s="2"/>
      <c r="DL609" s="2"/>
      <c r="DM609" s="2"/>
      <c r="DN609" s="2"/>
      <c r="DO609" s="2"/>
      <c r="DP609" s="2"/>
      <c r="DQ609" s="2"/>
      <c r="DR609" s="2"/>
      <c r="DS609" s="2"/>
      <c r="DT609" s="2"/>
      <c r="DU609" s="2"/>
      <c r="DV609" s="2"/>
      <c r="DW609" s="2"/>
      <c r="DX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  <c r="CK610" s="2"/>
      <c r="CL610" s="2"/>
      <c r="CM610" s="2"/>
      <c r="CN610" s="2"/>
      <c r="CO610" s="2"/>
      <c r="CP610" s="2"/>
      <c r="CQ610" s="2"/>
      <c r="CR610" s="2"/>
      <c r="CS610" s="2"/>
      <c r="CT610" s="2"/>
      <c r="CU610" s="2"/>
      <c r="CV610" s="2"/>
      <c r="CW610" s="2"/>
      <c r="CX610" s="2"/>
      <c r="CY610" s="2"/>
      <c r="CZ610" s="2"/>
      <c r="DA610" s="2"/>
      <c r="DB610" s="2"/>
      <c r="DC610" s="2"/>
      <c r="DD610" s="2"/>
      <c r="DE610" s="2"/>
      <c r="DF610" s="2"/>
      <c r="DG610" s="2"/>
      <c r="DH610" s="2"/>
      <c r="DI610" s="2"/>
      <c r="DJ610" s="2"/>
      <c r="DK610" s="2"/>
      <c r="DL610" s="2"/>
      <c r="DM610" s="2"/>
      <c r="DN610" s="2"/>
      <c r="DO610" s="2"/>
      <c r="DP610" s="2"/>
      <c r="DQ610" s="2"/>
      <c r="DR610" s="2"/>
      <c r="DS610" s="2"/>
      <c r="DT610" s="2"/>
      <c r="DU610" s="2"/>
      <c r="DV610" s="2"/>
      <c r="DW610" s="2"/>
      <c r="DX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  <c r="CK611" s="2"/>
      <c r="CL611" s="2"/>
      <c r="CM611" s="2"/>
      <c r="CN611" s="2"/>
      <c r="CO611" s="2"/>
      <c r="CP611" s="2"/>
      <c r="CQ611" s="2"/>
      <c r="CR611" s="2"/>
      <c r="CS611" s="2"/>
      <c r="CT611" s="2"/>
      <c r="CU611" s="2"/>
      <c r="CV611" s="2"/>
      <c r="CW611" s="2"/>
      <c r="CX611" s="2"/>
      <c r="CY611" s="2"/>
      <c r="CZ611" s="2"/>
      <c r="DA611" s="2"/>
      <c r="DB611" s="2"/>
      <c r="DC611" s="2"/>
      <c r="DD611" s="2"/>
      <c r="DE611" s="2"/>
      <c r="DF611" s="2"/>
      <c r="DG611" s="2"/>
      <c r="DH611" s="2"/>
      <c r="DI611" s="2"/>
      <c r="DJ611" s="2"/>
      <c r="DK611" s="2"/>
      <c r="DL611" s="2"/>
      <c r="DM611" s="2"/>
      <c r="DN611" s="2"/>
      <c r="DO611" s="2"/>
      <c r="DP611" s="2"/>
      <c r="DQ611" s="2"/>
      <c r="DR611" s="2"/>
      <c r="DS611" s="2"/>
      <c r="DT611" s="2"/>
      <c r="DU611" s="2"/>
      <c r="DV611" s="2"/>
      <c r="DW611" s="2"/>
      <c r="DX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  <c r="CK612" s="2"/>
      <c r="CL612" s="2"/>
      <c r="CM612" s="2"/>
      <c r="CN612" s="2"/>
      <c r="CO612" s="2"/>
      <c r="CP612" s="2"/>
      <c r="CQ612" s="2"/>
      <c r="CR612" s="2"/>
      <c r="CS612" s="2"/>
      <c r="CT612" s="2"/>
      <c r="CU612" s="2"/>
      <c r="CV612" s="2"/>
      <c r="CW612" s="2"/>
      <c r="CX612" s="2"/>
      <c r="CY612" s="2"/>
      <c r="CZ612" s="2"/>
      <c r="DA612" s="2"/>
      <c r="DB612" s="2"/>
      <c r="DC612" s="2"/>
      <c r="DD612" s="2"/>
      <c r="DE612" s="2"/>
      <c r="DF612" s="2"/>
      <c r="DG612" s="2"/>
      <c r="DH612" s="2"/>
      <c r="DI612" s="2"/>
      <c r="DJ612" s="2"/>
      <c r="DK612" s="2"/>
      <c r="DL612" s="2"/>
      <c r="DM612" s="2"/>
      <c r="DN612" s="2"/>
      <c r="DO612" s="2"/>
      <c r="DP612" s="2"/>
      <c r="DQ612" s="2"/>
      <c r="DR612" s="2"/>
      <c r="DS612" s="2"/>
      <c r="DT612" s="2"/>
      <c r="DU612" s="2"/>
      <c r="DV612" s="2"/>
      <c r="DW612" s="2"/>
      <c r="DX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  <c r="CK613" s="2"/>
      <c r="CL613" s="2"/>
      <c r="CM613" s="2"/>
      <c r="CN613" s="2"/>
      <c r="CO613" s="2"/>
      <c r="CP613" s="2"/>
      <c r="CQ613" s="2"/>
      <c r="CR613" s="2"/>
      <c r="CS613" s="2"/>
      <c r="CT613" s="2"/>
      <c r="CU613" s="2"/>
      <c r="CV613" s="2"/>
      <c r="CW613" s="2"/>
      <c r="CX613" s="2"/>
      <c r="CY613" s="2"/>
      <c r="CZ613" s="2"/>
      <c r="DA613" s="2"/>
      <c r="DB613" s="2"/>
      <c r="DC613" s="2"/>
      <c r="DD613" s="2"/>
      <c r="DE613" s="2"/>
      <c r="DF613" s="2"/>
      <c r="DG613" s="2"/>
      <c r="DH613" s="2"/>
      <c r="DI613" s="2"/>
      <c r="DJ613" s="2"/>
      <c r="DK613" s="2"/>
      <c r="DL613" s="2"/>
      <c r="DM613" s="2"/>
      <c r="DN613" s="2"/>
      <c r="DO613" s="2"/>
      <c r="DP613" s="2"/>
      <c r="DQ613" s="2"/>
      <c r="DR613" s="2"/>
      <c r="DS613" s="2"/>
      <c r="DT613" s="2"/>
      <c r="DU613" s="2"/>
      <c r="DV613" s="2"/>
      <c r="DW613" s="2"/>
      <c r="DX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  <c r="CK614" s="2"/>
      <c r="CL614" s="2"/>
      <c r="CM614" s="2"/>
      <c r="CN614" s="2"/>
      <c r="CO614" s="2"/>
      <c r="CP614" s="2"/>
      <c r="CQ614" s="2"/>
      <c r="CR614" s="2"/>
      <c r="CS614" s="2"/>
      <c r="CT614" s="2"/>
      <c r="CU614" s="2"/>
      <c r="CV614" s="2"/>
      <c r="CW614" s="2"/>
      <c r="CX614" s="2"/>
      <c r="CY614" s="2"/>
      <c r="CZ614" s="2"/>
      <c r="DA614" s="2"/>
      <c r="DB614" s="2"/>
      <c r="DC614" s="2"/>
      <c r="DD614" s="2"/>
      <c r="DE614" s="2"/>
      <c r="DF614" s="2"/>
      <c r="DG614" s="2"/>
      <c r="DH614" s="2"/>
      <c r="DI614" s="2"/>
      <c r="DJ614" s="2"/>
      <c r="DK614" s="2"/>
      <c r="DL614" s="2"/>
      <c r="DM614" s="2"/>
      <c r="DN614" s="2"/>
      <c r="DO614" s="2"/>
      <c r="DP614" s="2"/>
      <c r="DQ614" s="2"/>
      <c r="DR614" s="2"/>
      <c r="DS614" s="2"/>
      <c r="DT614" s="2"/>
      <c r="DU614" s="2"/>
      <c r="DV614" s="2"/>
      <c r="DW614" s="2"/>
      <c r="DX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  <c r="CK615" s="2"/>
      <c r="CL615" s="2"/>
      <c r="CM615" s="2"/>
      <c r="CN615" s="2"/>
      <c r="CO615" s="2"/>
      <c r="CP615" s="2"/>
      <c r="CQ615" s="2"/>
      <c r="CR615" s="2"/>
      <c r="CS615" s="2"/>
      <c r="CT615" s="2"/>
      <c r="CU615" s="2"/>
      <c r="CV615" s="2"/>
      <c r="CW615" s="2"/>
      <c r="CX615" s="2"/>
      <c r="CY615" s="2"/>
      <c r="CZ615" s="2"/>
      <c r="DA615" s="2"/>
      <c r="DB615" s="2"/>
      <c r="DC615" s="2"/>
      <c r="DD615" s="2"/>
      <c r="DE615" s="2"/>
      <c r="DF615" s="2"/>
      <c r="DG615" s="2"/>
      <c r="DH615" s="2"/>
      <c r="DI615" s="2"/>
      <c r="DJ615" s="2"/>
      <c r="DK615" s="2"/>
      <c r="DL615" s="2"/>
      <c r="DM615" s="2"/>
      <c r="DN615" s="2"/>
      <c r="DO615" s="2"/>
      <c r="DP615" s="2"/>
      <c r="DQ615" s="2"/>
      <c r="DR615" s="2"/>
      <c r="DS615" s="2"/>
      <c r="DT615" s="2"/>
      <c r="DU615" s="2"/>
      <c r="DV615" s="2"/>
      <c r="DW615" s="2"/>
      <c r="DX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  <c r="CK616" s="2"/>
      <c r="CL616" s="2"/>
      <c r="CM616" s="2"/>
      <c r="CN616" s="2"/>
      <c r="CO616" s="2"/>
      <c r="CP616" s="2"/>
      <c r="CQ616" s="2"/>
      <c r="CR616" s="2"/>
      <c r="CS616" s="2"/>
      <c r="CT616" s="2"/>
      <c r="CU616" s="2"/>
      <c r="CV616" s="2"/>
      <c r="CW616" s="2"/>
      <c r="CX616" s="2"/>
      <c r="CY616" s="2"/>
      <c r="CZ616" s="2"/>
      <c r="DA616" s="2"/>
      <c r="DB616" s="2"/>
      <c r="DC616" s="2"/>
      <c r="DD616" s="2"/>
      <c r="DE616" s="2"/>
      <c r="DF616" s="2"/>
      <c r="DG616" s="2"/>
      <c r="DH616" s="2"/>
      <c r="DI616" s="2"/>
      <c r="DJ616" s="2"/>
      <c r="DK616" s="2"/>
      <c r="DL616" s="2"/>
      <c r="DM616" s="2"/>
      <c r="DN616" s="2"/>
      <c r="DO616" s="2"/>
      <c r="DP616" s="2"/>
      <c r="DQ616" s="2"/>
      <c r="DR616" s="2"/>
      <c r="DS616" s="2"/>
      <c r="DT616" s="2"/>
      <c r="DU616" s="2"/>
      <c r="DV616" s="2"/>
      <c r="DW616" s="2"/>
      <c r="DX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  <c r="CK617" s="2"/>
      <c r="CL617" s="2"/>
      <c r="CM617" s="2"/>
      <c r="CN617" s="2"/>
      <c r="CO617" s="2"/>
      <c r="CP617" s="2"/>
      <c r="CQ617" s="2"/>
      <c r="CR617" s="2"/>
      <c r="CS617" s="2"/>
      <c r="CT617" s="2"/>
      <c r="CU617" s="2"/>
      <c r="CV617" s="2"/>
      <c r="CW617" s="2"/>
      <c r="CX617" s="2"/>
      <c r="CY617" s="2"/>
      <c r="CZ617" s="2"/>
      <c r="DA617" s="2"/>
      <c r="DB617" s="2"/>
      <c r="DC617" s="2"/>
      <c r="DD617" s="2"/>
      <c r="DE617" s="2"/>
      <c r="DF617" s="2"/>
      <c r="DG617" s="2"/>
      <c r="DH617" s="2"/>
      <c r="DI617" s="2"/>
      <c r="DJ617" s="2"/>
      <c r="DK617" s="2"/>
      <c r="DL617" s="2"/>
      <c r="DM617" s="2"/>
      <c r="DN617" s="2"/>
      <c r="DO617" s="2"/>
      <c r="DP617" s="2"/>
      <c r="DQ617" s="2"/>
      <c r="DR617" s="2"/>
      <c r="DS617" s="2"/>
      <c r="DT617" s="2"/>
      <c r="DU617" s="2"/>
      <c r="DV617" s="2"/>
      <c r="DW617" s="2"/>
      <c r="DX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  <c r="CK618" s="2"/>
      <c r="CL618" s="2"/>
      <c r="CM618" s="2"/>
      <c r="CN618" s="2"/>
      <c r="CO618" s="2"/>
      <c r="CP618" s="2"/>
      <c r="CQ618" s="2"/>
      <c r="CR618" s="2"/>
      <c r="CS618" s="2"/>
      <c r="CT618" s="2"/>
      <c r="CU618" s="2"/>
      <c r="CV618" s="2"/>
      <c r="CW618" s="2"/>
      <c r="CX618" s="2"/>
      <c r="CY618" s="2"/>
      <c r="CZ618" s="2"/>
      <c r="DA618" s="2"/>
      <c r="DB618" s="2"/>
      <c r="DC618" s="2"/>
      <c r="DD618" s="2"/>
      <c r="DE618" s="2"/>
      <c r="DF618" s="2"/>
      <c r="DG618" s="2"/>
      <c r="DH618" s="2"/>
      <c r="DI618" s="2"/>
      <c r="DJ618" s="2"/>
      <c r="DK618" s="2"/>
      <c r="DL618" s="2"/>
      <c r="DM618" s="2"/>
      <c r="DN618" s="2"/>
      <c r="DO618" s="2"/>
      <c r="DP618" s="2"/>
      <c r="DQ618" s="2"/>
      <c r="DR618" s="2"/>
      <c r="DS618" s="2"/>
      <c r="DT618" s="2"/>
      <c r="DU618" s="2"/>
      <c r="DV618" s="2"/>
      <c r="DW618" s="2"/>
      <c r="DX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  <c r="CK619" s="2"/>
      <c r="CL619" s="2"/>
      <c r="CM619" s="2"/>
      <c r="CN619" s="2"/>
      <c r="CO619" s="2"/>
      <c r="CP619" s="2"/>
      <c r="CQ619" s="2"/>
      <c r="CR619" s="2"/>
      <c r="CS619" s="2"/>
      <c r="CT619" s="2"/>
      <c r="CU619" s="2"/>
      <c r="CV619" s="2"/>
      <c r="CW619" s="2"/>
      <c r="CX619" s="2"/>
      <c r="CY619" s="2"/>
      <c r="CZ619" s="2"/>
      <c r="DA619" s="2"/>
      <c r="DB619" s="2"/>
      <c r="DC619" s="2"/>
      <c r="DD619" s="2"/>
      <c r="DE619" s="2"/>
      <c r="DF619" s="2"/>
      <c r="DG619" s="2"/>
      <c r="DH619" s="2"/>
      <c r="DI619" s="2"/>
      <c r="DJ619" s="2"/>
      <c r="DK619" s="2"/>
      <c r="DL619" s="2"/>
      <c r="DM619" s="2"/>
      <c r="DN619" s="2"/>
      <c r="DO619" s="2"/>
      <c r="DP619" s="2"/>
      <c r="DQ619" s="2"/>
      <c r="DR619" s="2"/>
      <c r="DS619" s="2"/>
      <c r="DT619" s="2"/>
      <c r="DU619" s="2"/>
      <c r="DV619" s="2"/>
      <c r="DW619" s="2"/>
      <c r="DX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  <c r="CK620" s="2"/>
      <c r="CL620" s="2"/>
      <c r="CM620" s="2"/>
      <c r="CN620" s="2"/>
      <c r="CO620" s="2"/>
      <c r="CP620" s="2"/>
      <c r="CQ620" s="2"/>
      <c r="CR620" s="2"/>
      <c r="CS620" s="2"/>
      <c r="CT620" s="2"/>
      <c r="CU620" s="2"/>
      <c r="CV620" s="2"/>
      <c r="CW620" s="2"/>
      <c r="CX620" s="2"/>
      <c r="CY620" s="2"/>
      <c r="CZ620" s="2"/>
      <c r="DA620" s="2"/>
      <c r="DB620" s="2"/>
      <c r="DC620" s="2"/>
      <c r="DD620" s="2"/>
      <c r="DE620" s="2"/>
      <c r="DF620" s="2"/>
      <c r="DG620" s="2"/>
      <c r="DH620" s="2"/>
      <c r="DI620" s="2"/>
      <c r="DJ620" s="2"/>
      <c r="DK620" s="2"/>
      <c r="DL620" s="2"/>
      <c r="DM620" s="2"/>
      <c r="DN620" s="2"/>
      <c r="DO620" s="2"/>
      <c r="DP620" s="2"/>
      <c r="DQ620" s="2"/>
      <c r="DR620" s="2"/>
      <c r="DS620" s="2"/>
      <c r="DT620" s="2"/>
      <c r="DU620" s="2"/>
      <c r="DV620" s="2"/>
      <c r="DW620" s="2"/>
      <c r="DX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  <c r="CK621" s="2"/>
      <c r="CL621" s="2"/>
      <c r="CM621" s="2"/>
      <c r="CN621" s="2"/>
      <c r="CO621" s="2"/>
      <c r="CP621" s="2"/>
      <c r="CQ621" s="2"/>
      <c r="CR621" s="2"/>
      <c r="CS621" s="2"/>
      <c r="CT621" s="2"/>
      <c r="CU621" s="2"/>
      <c r="CV621" s="2"/>
      <c r="CW621" s="2"/>
      <c r="CX621" s="2"/>
      <c r="CY621" s="2"/>
      <c r="CZ621" s="2"/>
      <c r="DA621" s="2"/>
      <c r="DB621" s="2"/>
      <c r="DC621" s="2"/>
      <c r="DD621" s="2"/>
      <c r="DE621" s="2"/>
      <c r="DF621" s="2"/>
      <c r="DG621" s="2"/>
      <c r="DH621" s="2"/>
      <c r="DI621" s="2"/>
      <c r="DJ621" s="2"/>
      <c r="DK621" s="2"/>
      <c r="DL621" s="2"/>
      <c r="DM621" s="2"/>
      <c r="DN621" s="2"/>
      <c r="DO621" s="2"/>
      <c r="DP621" s="2"/>
      <c r="DQ621" s="2"/>
      <c r="DR621" s="2"/>
      <c r="DS621" s="2"/>
      <c r="DT621" s="2"/>
      <c r="DU621" s="2"/>
      <c r="DV621" s="2"/>
      <c r="DW621" s="2"/>
      <c r="DX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  <c r="CK622" s="2"/>
      <c r="CL622" s="2"/>
      <c r="CM622" s="2"/>
      <c r="CN622" s="2"/>
      <c r="CO622" s="2"/>
      <c r="CP622" s="2"/>
      <c r="CQ622" s="2"/>
      <c r="CR622" s="2"/>
      <c r="CS622" s="2"/>
      <c r="CT622" s="2"/>
      <c r="CU622" s="2"/>
      <c r="CV622" s="2"/>
      <c r="CW622" s="2"/>
      <c r="CX622" s="2"/>
      <c r="CY622" s="2"/>
      <c r="CZ622" s="2"/>
      <c r="DA622" s="2"/>
      <c r="DB622" s="2"/>
      <c r="DC622" s="2"/>
      <c r="DD622" s="2"/>
      <c r="DE622" s="2"/>
      <c r="DF622" s="2"/>
      <c r="DG622" s="2"/>
      <c r="DH622" s="2"/>
      <c r="DI622" s="2"/>
      <c r="DJ622" s="2"/>
      <c r="DK622" s="2"/>
      <c r="DL622" s="2"/>
      <c r="DM622" s="2"/>
      <c r="DN622" s="2"/>
      <c r="DO622" s="2"/>
      <c r="DP622" s="2"/>
      <c r="DQ622" s="2"/>
      <c r="DR622" s="2"/>
      <c r="DS622" s="2"/>
      <c r="DT622" s="2"/>
      <c r="DU622" s="2"/>
      <c r="DV622" s="2"/>
      <c r="DW622" s="2"/>
      <c r="DX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  <c r="CK623" s="2"/>
      <c r="CL623" s="2"/>
      <c r="CM623" s="2"/>
      <c r="CN623" s="2"/>
      <c r="CO623" s="2"/>
      <c r="CP623" s="2"/>
      <c r="CQ623" s="2"/>
      <c r="CR623" s="2"/>
      <c r="CS623" s="2"/>
      <c r="CT623" s="2"/>
      <c r="CU623" s="2"/>
      <c r="CV623" s="2"/>
      <c r="CW623" s="2"/>
      <c r="CX623" s="2"/>
      <c r="CY623" s="2"/>
      <c r="CZ623" s="2"/>
      <c r="DA623" s="2"/>
      <c r="DB623" s="2"/>
      <c r="DC623" s="2"/>
      <c r="DD623" s="2"/>
      <c r="DE623" s="2"/>
      <c r="DF623" s="2"/>
      <c r="DG623" s="2"/>
      <c r="DH623" s="2"/>
      <c r="DI623" s="2"/>
      <c r="DJ623" s="2"/>
      <c r="DK623" s="2"/>
      <c r="DL623" s="2"/>
      <c r="DM623" s="2"/>
      <c r="DN623" s="2"/>
      <c r="DO623" s="2"/>
      <c r="DP623" s="2"/>
      <c r="DQ623" s="2"/>
      <c r="DR623" s="2"/>
      <c r="DS623" s="2"/>
      <c r="DT623" s="2"/>
      <c r="DU623" s="2"/>
      <c r="DV623" s="2"/>
      <c r="DW623" s="2"/>
      <c r="DX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  <c r="CK624" s="2"/>
      <c r="CL624" s="2"/>
      <c r="CM624" s="2"/>
      <c r="CN624" s="2"/>
      <c r="CO624" s="2"/>
      <c r="CP624" s="2"/>
      <c r="CQ624" s="2"/>
      <c r="CR624" s="2"/>
      <c r="CS624" s="2"/>
      <c r="CT624" s="2"/>
      <c r="CU624" s="2"/>
      <c r="CV624" s="2"/>
      <c r="CW624" s="2"/>
      <c r="CX624" s="2"/>
      <c r="CY624" s="2"/>
      <c r="CZ624" s="2"/>
      <c r="DA624" s="2"/>
      <c r="DB624" s="2"/>
      <c r="DC624" s="2"/>
      <c r="DD624" s="2"/>
      <c r="DE624" s="2"/>
      <c r="DF624" s="2"/>
      <c r="DG624" s="2"/>
      <c r="DH624" s="2"/>
      <c r="DI624" s="2"/>
      <c r="DJ624" s="2"/>
      <c r="DK624" s="2"/>
      <c r="DL624" s="2"/>
      <c r="DM624" s="2"/>
      <c r="DN624" s="2"/>
      <c r="DO624" s="2"/>
      <c r="DP624" s="2"/>
      <c r="DQ624" s="2"/>
      <c r="DR624" s="2"/>
      <c r="DS624" s="2"/>
      <c r="DT624" s="2"/>
      <c r="DU624" s="2"/>
      <c r="DV624" s="2"/>
      <c r="DW624" s="2"/>
      <c r="DX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  <c r="CK625" s="2"/>
      <c r="CL625" s="2"/>
      <c r="CM625" s="2"/>
      <c r="CN625" s="2"/>
      <c r="CO625" s="2"/>
      <c r="CP625" s="2"/>
      <c r="CQ625" s="2"/>
      <c r="CR625" s="2"/>
      <c r="CS625" s="2"/>
      <c r="CT625" s="2"/>
      <c r="CU625" s="2"/>
      <c r="CV625" s="2"/>
      <c r="CW625" s="2"/>
      <c r="CX625" s="2"/>
      <c r="CY625" s="2"/>
      <c r="CZ625" s="2"/>
      <c r="DA625" s="2"/>
      <c r="DB625" s="2"/>
      <c r="DC625" s="2"/>
      <c r="DD625" s="2"/>
      <c r="DE625" s="2"/>
      <c r="DF625" s="2"/>
      <c r="DG625" s="2"/>
      <c r="DH625" s="2"/>
      <c r="DI625" s="2"/>
      <c r="DJ625" s="2"/>
      <c r="DK625" s="2"/>
      <c r="DL625" s="2"/>
      <c r="DM625" s="2"/>
      <c r="DN625" s="2"/>
      <c r="DO625" s="2"/>
      <c r="DP625" s="2"/>
      <c r="DQ625" s="2"/>
      <c r="DR625" s="2"/>
      <c r="DS625" s="2"/>
      <c r="DT625" s="2"/>
      <c r="DU625" s="2"/>
      <c r="DV625" s="2"/>
      <c r="DW625" s="2"/>
      <c r="DX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  <c r="CK626" s="2"/>
      <c r="CL626" s="2"/>
      <c r="CM626" s="2"/>
      <c r="CN626" s="2"/>
      <c r="CO626" s="2"/>
      <c r="CP626" s="2"/>
      <c r="CQ626" s="2"/>
      <c r="CR626" s="2"/>
      <c r="CS626" s="2"/>
      <c r="CT626" s="2"/>
      <c r="CU626" s="2"/>
      <c r="CV626" s="2"/>
      <c r="CW626" s="2"/>
      <c r="CX626" s="2"/>
      <c r="CY626" s="2"/>
      <c r="CZ626" s="2"/>
      <c r="DA626" s="2"/>
      <c r="DB626" s="2"/>
      <c r="DC626" s="2"/>
      <c r="DD626" s="2"/>
      <c r="DE626" s="2"/>
      <c r="DF626" s="2"/>
      <c r="DG626" s="2"/>
      <c r="DH626" s="2"/>
      <c r="DI626" s="2"/>
      <c r="DJ626" s="2"/>
      <c r="DK626" s="2"/>
      <c r="DL626" s="2"/>
      <c r="DM626" s="2"/>
      <c r="DN626" s="2"/>
      <c r="DO626" s="2"/>
      <c r="DP626" s="2"/>
      <c r="DQ626" s="2"/>
      <c r="DR626" s="2"/>
      <c r="DS626" s="2"/>
      <c r="DT626" s="2"/>
      <c r="DU626" s="2"/>
      <c r="DV626" s="2"/>
      <c r="DW626" s="2"/>
      <c r="DX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  <c r="CK627" s="2"/>
      <c r="CL627" s="2"/>
      <c r="CM627" s="2"/>
      <c r="CN627" s="2"/>
      <c r="CO627" s="2"/>
      <c r="CP627" s="2"/>
      <c r="CQ627" s="2"/>
      <c r="CR627" s="2"/>
      <c r="CS627" s="2"/>
      <c r="CT627" s="2"/>
      <c r="CU627" s="2"/>
      <c r="CV627" s="2"/>
      <c r="CW627" s="2"/>
      <c r="CX627" s="2"/>
      <c r="CY627" s="2"/>
      <c r="CZ627" s="2"/>
      <c r="DA627" s="2"/>
      <c r="DB627" s="2"/>
      <c r="DC627" s="2"/>
      <c r="DD627" s="2"/>
      <c r="DE627" s="2"/>
      <c r="DF627" s="2"/>
      <c r="DG627" s="2"/>
      <c r="DH627" s="2"/>
      <c r="DI627" s="2"/>
      <c r="DJ627" s="2"/>
      <c r="DK627" s="2"/>
      <c r="DL627" s="2"/>
      <c r="DM627" s="2"/>
      <c r="DN627" s="2"/>
      <c r="DO627" s="2"/>
      <c r="DP627" s="2"/>
      <c r="DQ627" s="2"/>
      <c r="DR627" s="2"/>
      <c r="DS627" s="2"/>
      <c r="DT627" s="2"/>
      <c r="DU627" s="2"/>
      <c r="DV627" s="2"/>
      <c r="DW627" s="2"/>
      <c r="DX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  <c r="CK628" s="2"/>
      <c r="CL628" s="2"/>
      <c r="CM628" s="2"/>
      <c r="CN628" s="2"/>
      <c r="CO628" s="2"/>
      <c r="CP628" s="2"/>
      <c r="CQ628" s="2"/>
      <c r="CR628" s="2"/>
      <c r="CS628" s="2"/>
      <c r="CT628" s="2"/>
      <c r="CU628" s="2"/>
      <c r="CV628" s="2"/>
      <c r="CW628" s="2"/>
      <c r="CX628" s="2"/>
      <c r="CY628" s="2"/>
      <c r="CZ628" s="2"/>
      <c r="DA628" s="2"/>
      <c r="DB628" s="2"/>
      <c r="DC628" s="2"/>
      <c r="DD628" s="2"/>
      <c r="DE628" s="2"/>
      <c r="DF628" s="2"/>
      <c r="DG628" s="2"/>
      <c r="DH628" s="2"/>
      <c r="DI628" s="2"/>
      <c r="DJ628" s="2"/>
      <c r="DK628" s="2"/>
      <c r="DL628" s="2"/>
      <c r="DM628" s="2"/>
      <c r="DN628" s="2"/>
      <c r="DO628" s="2"/>
      <c r="DP628" s="2"/>
      <c r="DQ628" s="2"/>
      <c r="DR628" s="2"/>
      <c r="DS628" s="2"/>
      <c r="DT628" s="2"/>
      <c r="DU628" s="2"/>
      <c r="DV628" s="2"/>
      <c r="DW628" s="2"/>
      <c r="DX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  <c r="CK629" s="2"/>
      <c r="CL629" s="2"/>
      <c r="CM629" s="2"/>
      <c r="CN629" s="2"/>
      <c r="CO629" s="2"/>
      <c r="CP629" s="2"/>
      <c r="CQ629" s="2"/>
      <c r="CR629" s="2"/>
      <c r="CS629" s="2"/>
      <c r="CT629" s="2"/>
      <c r="CU629" s="2"/>
      <c r="CV629" s="2"/>
      <c r="CW629" s="2"/>
      <c r="CX629" s="2"/>
      <c r="CY629" s="2"/>
      <c r="CZ629" s="2"/>
      <c r="DA629" s="2"/>
      <c r="DB629" s="2"/>
      <c r="DC629" s="2"/>
      <c r="DD629" s="2"/>
      <c r="DE629" s="2"/>
      <c r="DF629" s="2"/>
      <c r="DG629" s="2"/>
      <c r="DH629" s="2"/>
      <c r="DI629" s="2"/>
      <c r="DJ629" s="2"/>
      <c r="DK629" s="2"/>
      <c r="DL629" s="2"/>
      <c r="DM629" s="2"/>
      <c r="DN629" s="2"/>
      <c r="DO629" s="2"/>
      <c r="DP629" s="2"/>
      <c r="DQ629" s="2"/>
      <c r="DR629" s="2"/>
      <c r="DS629" s="2"/>
      <c r="DT629" s="2"/>
      <c r="DU629" s="2"/>
      <c r="DV629" s="2"/>
      <c r="DW629" s="2"/>
      <c r="DX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  <c r="CK630" s="2"/>
      <c r="CL630" s="2"/>
      <c r="CM630" s="2"/>
      <c r="CN630" s="2"/>
      <c r="CO630" s="2"/>
      <c r="CP630" s="2"/>
      <c r="CQ630" s="2"/>
      <c r="CR630" s="2"/>
      <c r="CS630" s="2"/>
      <c r="CT630" s="2"/>
      <c r="CU630" s="2"/>
      <c r="CV630" s="2"/>
      <c r="CW630" s="2"/>
      <c r="CX630" s="2"/>
      <c r="CY630" s="2"/>
      <c r="CZ630" s="2"/>
      <c r="DA630" s="2"/>
      <c r="DB630" s="2"/>
      <c r="DC630" s="2"/>
      <c r="DD630" s="2"/>
      <c r="DE630" s="2"/>
      <c r="DF630" s="2"/>
      <c r="DG630" s="2"/>
      <c r="DH630" s="2"/>
      <c r="DI630" s="2"/>
      <c r="DJ630" s="2"/>
      <c r="DK630" s="2"/>
      <c r="DL630" s="2"/>
      <c r="DM630" s="2"/>
      <c r="DN630" s="2"/>
      <c r="DO630" s="2"/>
      <c r="DP630" s="2"/>
      <c r="DQ630" s="2"/>
      <c r="DR630" s="2"/>
      <c r="DS630" s="2"/>
      <c r="DT630" s="2"/>
      <c r="DU630" s="2"/>
      <c r="DV630" s="2"/>
      <c r="DW630" s="2"/>
      <c r="DX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  <c r="CK631" s="2"/>
      <c r="CL631" s="2"/>
      <c r="CM631" s="2"/>
      <c r="CN631" s="2"/>
      <c r="CO631" s="2"/>
      <c r="CP631" s="2"/>
      <c r="CQ631" s="2"/>
      <c r="CR631" s="2"/>
      <c r="CS631" s="2"/>
      <c r="CT631" s="2"/>
      <c r="CU631" s="2"/>
      <c r="CV631" s="2"/>
      <c r="CW631" s="2"/>
      <c r="CX631" s="2"/>
      <c r="CY631" s="2"/>
      <c r="CZ631" s="2"/>
      <c r="DA631" s="2"/>
      <c r="DB631" s="2"/>
      <c r="DC631" s="2"/>
      <c r="DD631" s="2"/>
      <c r="DE631" s="2"/>
      <c r="DF631" s="2"/>
      <c r="DG631" s="2"/>
      <c r="DH631" s="2"/>
      <c r="DI631" s="2"/>
      <c r="DJ631" s="2"/>
      <c r="DK631" s="2"/>
      <c r="DL631" s="2"/>
      <c r="DM631" s="2"/>
      <c r="DN631" s="2"/>
      <c r="DO631" s="2"/>
      <c r="DP631" s="2"/>
      <c r="DQ631" s="2"/>
      <c r="DR631" s="2"/>
      <c r="DS631" s="2"/>
      <c r="DT631" s="2"/>
      <c r="DU631" s="2"/>
      <c r="DV631" s="2"/>
      <c r="DW631" s="2"/>
      <c r="DX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  <c r="CK632" s="2"/>
      <c r="CL632" s="2"/>
      <c r="CM632" s="2"/>
      <c r="CN632" s="2"/>
      <c r="CO632" s="2"/>
      <c r="CP632" s="2"/>
      <c r="CQ632" s="2"/>
      <c r="CR632" s="2"/>
      <c r="CS632" s="2"/>
      <c r="CT632" s="2"/>
      <c r="CU632" s="2"/>
      <c r="CV632" s="2"/>
      <c r="CW632" s="2"/>
      <c r="CX632" s="2"/>
      <c r="CY632" s="2"/>
      <c r="CZ632" s="2"/>
      <c r="DA632" s="2"/>
      <c r="DB632" s="2"/>
      <c r="DC632" s="2"/>
      <c r="DD632" s="2"/>
      <c r="DE632" s="2"/>
      <c r="DF632" s="2"/>
      <c r="DG632" s="2"/>
      <c r="DH632" s="2"/>
      <c r="DI632" s="2"/>
      <c r="DJ632" s="2"/>
      <c r="DK632" s="2"/>
      <c r="DL632" s="2"/>
      <c r="DM632" s="2"/>
      <c r="DN632" s="2"/>
      <c r="DO632" s="2"/>
      <c r="DP632" s="2"/>
      <c r="DQ632" s="2"/>
      <c r="DR632" s="2"/>
      <c r="DS632" s="2"/>
      <c r="DT632" s="2"/>
      <c r="DU632" s="2"/>
      <c r="DV632" s="2"/>
      <c r="DW632" s="2"/>
      <c r="DX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  <c r="CK633" s="2"/>
      <c r="CL633" s="2"/>
      <c r="CM633" s="2"/>
      <c r="CN633" s="2"/>
      <c r="CO633" s="2"/>
      <c r="CP633" s="2"/>
      <c r="CQ633" s="2"/>
      <c r="CR633" s="2"/>
      <c r="CS633" s="2"/>
      <c r="CT633" s="2"/>
      <c r="CU633" s="2"/>
      <c r="CV633" s="2"/>
      <c r="CW633" s="2"/>
      <c r="CX633" s="2"/>
      <c r="CY633" s="2"/>
      <c r="CZ633" s="2"/>
      <c r="DA633" s="2"/>
      <c r="DB633" s="2"/>
      <c r="DC633" s="2"/>
      <c r="DD633" s="2"/>
      <c r="DE633" s="2"/>
      <c r="DF633" s="2"/>
      <c r="DG633" s="2"/>
      <c r="DH633" s="2"/>
      <c r="DI633" s="2"/>
      <c r="DJ633" s="2"/>
      <c r="DK633" s="2"/>
      <c r="DL633" s="2"/>
      <c r="DM633" s="2"/>
      <c r="DN633" s="2"/>
      <c r="DO633" s="2"/>
      <c r="DP633" s="2"/>
      <c r="DQ633" s="2"/>
      <c r="DR633" s="2"/>
      <c r="DS633" s="2"/>
      <c r="DT633" s="2"/>
      <c r="DU633" s="2"/>
      <c r="DV633" s="2"/>
      <c r="DW633" s="2"/>
      <c r="DX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  <c r="CK634" s="2"/>
      <c r="CL634" s="2"/>
      <c r="CM634" s="2"/>
      <c r="CN634" s="2"/>
      <c r="CO634" s="2"/>
      <c r="CP634" s="2"/>
      <c r="CQ634" s="2"/>
      <c r="CR634" s="2"/>
      <c r="CS634" s="2"/>
      <c r="CT634" s="2"/>
      <c r="CU634" s="2"/>
      <c r="CV634" s="2"/>
      <c r="CW634" s="2"/>
      <c r="CX634" s="2"/>
      <c r="CY634" s="2"/>
      <c r="CZ634" s="2"/>
      <c r="DA634" s="2"/>
      <c r="DB634" s="2"/>
      <c r="DC634" s="2"/>
      <c r="DD634" s="2"/>
      <c r="DE634" s="2"/>
      <c r="DF634" s="2"/>
      <c r="DG634" s="2"/>
      <c r="DH634" s="2"/>
      <c r="DI634" s="2"/>
      <c r="DJ634" s="2"/>
      <c r="DK634" s="2"/>
      <c r="DL634" s="2"/>
      <c r="DM634" s="2"/>
      <c r="DN634" s="2"/>
      <c r="DO634" s="2"/>
      <c r="DP634" s="2"/>
      <c r="DQ634" s="2"/>
      <c r="DR634" s="2"/>
      <c r="DS634" s="2"/>
      <c r="DT634" s="2"/>
      <c r="DU634" s="2"/>
      <c r="DV634" s="2"/>
      <c r="DW634" s="2"/>
      <c r="DX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  <c r="CK635" s="2"/>
      <c r="CL635" s="2"/>
      <c r="CM635" s="2"/>
      <c r="CN635" s="2"/>
      <c r="CO635" s="2"/>
      <c r="CP635" s="2"/>
      <c r="CQ635" s="2"/>
      <c r="CR635" s="2"/>
      <c r="CS635" s="2"/>
      <c r="CT635" s="2"/>
      <c r="CU635" s="2"/>
      <c r="CV635" s="2"/>
      <c r="CW635" s="2"/>
      <c r="CX635" s="2"/>
      <c r="CY635" s="2"/>
      <c r="CZ635" s="2"/>
      <c r="DA635" s="2"/>
      <c r="DB635" s="2"/>
      <c r="DC635" s="2"/>
      <c r="DD635" s="2"/>
      <c r="DE635" s="2"/>
      <c r="DF635" s="2"/>
      <c r="DG635" s="2"/>
      <c r="DH635" s="2"/>
      <c r="DI635" s="2"/>
      <c r="DJ635" s="2"/>
      <c r="DK635" s="2"/>
      <c r="DL635" s="2"/>
      <c r="DM635" s="2"/>
      <c r="DN635" s="2"/>
      <c r="DO635" s="2"/>
      <c r="DP635" s="2"/>
      <c r="DQ635" s="2"/>
      <c r="DR635" s="2"/>
      <c r="DS635" s="2"/>
      <c r="DT635" s="2"/>
      <c r="DU635" s="2"/>
      <c r="DV635" s="2"/>
      <c r="DW635" s="2"/>
      <c r="DX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  <c r="CK636" s="2"/>
      <c r="CL636" s="2"/>
      <c r="CM636" s="2"/>
      <c r="CN636" s="2"/>
      <c r="CO636" s="2"/>
      <c r="CP636" s="2"/>
      <c r="CQ636" s="2"/>
      <c r="CR636" s="2"/>
      <c r="CS636" s="2"/>
      <c r="CT636" s="2"/>
      <c r="CU636" s="2"/>
      <c r="CV636" s="2"/>
      <c r="CW636" s="2"/>
      <c r="CX636" s="2"/>
      <c r="CY636" s="2"/>
      <c r="CZ636" s="2"/>
      <c r="DA636" s="2"/>
      <c r="DB636" s="2"/>
      <c r="DC636" s="2"/>
      <c r="DD636" s="2"/>
      <c r="DE636" s="2"/>
      <c r="DF636" s="2"/>
      <c r="DG636" s="2"/>
      <c r="DH636" s="2"/>
      <c r="DI636" s="2"/>
      <c r="DJ636" s="2"/>
      <c r="DK636" s="2"/>
      <c r="DL636" s="2"/>
      <c r="DM636" s="2"/>
      <c r="DN636" s="2"/>
      <c r="DO636" s="2"/>
      <c r="DP636" s="2"/>
      <c r="DQ636" s="2"/>
      <c r="DR636" s="2"/>
      <c r="DS636" s="2"/>
      <c r="DT636" s="2"/>
      <c r="DU636" s="2"/>
      <c r="DV636" s="2"/>
      <c r="DW636" s="2"/>
      <c r="DX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  <c r="CK637" s="2"/>
      <c r="CL637" s="2"/>
      <c r="CM637" s="2"/>
      <c r="CN637" s="2"/>
      <c r="CO637" s="2"/>
      <c r="CP637" s="2"/>
      <c r="CQ637" s="2"/>
      <c r="CR637" s="2"/>
      <c r="CS637" s="2"/>
      <c r="CT637" s="2"/>
      <c r="CU637" s="2"/>
      <c r="CV637" s="2"/>
      <c r="CW637" s="2"/>
      <c r="CX637" s="2"/>
      <c r="CY637" s="2"/>
      <c r="CZ637" s="2"/>
      <c r="DA637" s="2"/>
      <c r="DB637" s="2"/>
      <c r="DC637" s="2"/>
      <c r="DD637" s="2"/>
      <c r="DE637" s="2"/>
      <c r="DF637" s="2"/>
      <c r="DG637" s="2"/>
      <c r="DH637" s="2"/>
      <c r="DI637" s="2"/>
      <c r="DJ637" s="2"/>
      <c r="DK637" s="2"/>
      <c r="DL637" s="2"/>
      <c r="DM637" s="2"/>
      <c r="DN637" s="2"/>
      <c r="DO637" s="2"/>
      <c r="DP637" s="2"/>
      <c r="DQ637" s="2"/>
      <c r="DR637" s="2"/>
      <c r="DS637" s="2"/>
      <c r="DT637" s="2"/>
      <c r="DU637" s="2"/>
      <c r="DV637" s="2"/>
      <c r="DW637" s="2"/>
      <c r="DX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  <c r="CK638" s="2"/>
      <c r="CL638" s="2"/>
      <c r="CM638" s="2"/>
      <c r="CN638" s="2"/>
      <c r="CO638" s="2"/>
      <c r="CP638" s="2"/>
      <c r="CQ638" s="2"/>
      <c r="CR638" s="2"/>
      <c r="CS638" s="2"/>
      <c r="CT638" s="2"/>
      <c r="CU638" s="2"/>
      <c r="CV638" s="2"/>
      <c r="CW638" s="2"/>
      <c r="CX638" s="2"/>
      <c r="CY638" s="2"/>
      <c r="CZ638" s="2"/>
      <c r="DA638" s="2"/>
      <c r="DB638" s="2"/>
      <c r="DC638" s="2"/>
      <c r="DD638" s="2"/>
      <c r="DE638" s="2"/>
      <c r="DF638" s="2"/>
      <c r="DG638" s="2"/>
      <c r="DH638" s="2"/>
      <c r="DI638" s="2"/>
      <c r="DJ638" s="2"/>
      <c r="DK638" s="2"/>
      <c r="DL638" s="2"/>
      <c r="DM638" s="2"/>
      <c r="DN638" s="2"/>
      <c r="DO638" s="2"/>
      <c r="DP638" s="2"/>
      <c r="DQ638" s="2"/>
      <c r="DR638" s="2"/>
      <c r="DS638" s="2"/>
      <c r="DT638" s="2"/>
      <c r="DU638" s="2"/>
      <c r="DV638" s="2"/>
      <c r="DW638" s="2"/>
      <c r="DX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  <c r="CK639" s="2"/>
      <c r="CL639" s="2"/>
      <c r="CM639" s="2"/>
      <c r="CN639" s="2"/>
      <c r="CO639" s="2"/>
      <c r="CP639" s="2"/>
      <c r="CQ639" s="2"/>
      <c r="CR639" s="2"/>
      <c r="CS639" s="2"/>
      <c r="CT639" s="2"/>
      <c r="CU639" s="2"/>
      <c r="CV639" s="2"/>
      <c r="CW639" s="2"/>
      <c r="CX639" s="2"/>
      <c r="CY639" s="2"/>
      <c r="CZ639" s="2"/>
      <c r="DA639" s="2"/>
      <c r="DB639" s="2"/>
      <c r="DC639" s="2"/>
      <c r="DD639" s="2"/>
      <c r="DE639" s="2"/>
      <c r="DF639" s="2"/>
      <c r="DG639" s="2"/>
      <c r="DH639" s="2"/>
      <c r="DI639" s="2"/>
      <c r="DJ639" s="2"/>
      <c r="DK639" s="2"/>
      <c r="DL639" s="2"/>
      <c r="DM639" s="2"/>
      <c r="DN639" s="2"/>
      <c r="DO639" s="2"/>
      <c r="DP639" s="2"/>
      <c r="DQ639" s="2"/>
      <c r="DR639" s="2"/>
      <c r="DS639" s="2"/>
      <c r="DT639" s="2"/>
      <c r="DU639" s="2"/>
      <c r="DV639" s="2"/>
      <c r="DW639" s="2"/>
      <c r="DX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  <c r="CK640" s="2"/>
      <c r="CL640" s="2"/>
      <c r="CM640" s="2"/>
      <c r="CN640" s="2"/>
      <c r="CO640" s="2"/>
      <c r="CP640" s="2"/>
      <c r="CQ640" s="2"/>
      <c r="CR640" s="2"/>
      <c r="CS640" s="2"/>
      <c r="CT640" s="2"/>
      <c r="CU640" s="2"/>
      <c r="CV640" s="2"/>
      <c r="CW640" s="2"/>
      <c r="CX640" s="2"/>
      <c r="CY640" s="2"/>
      <c r="CZ640" s="2"/>
      <c r="DA640" s="2"/>
      <c r="DB640" s="2"/>
      <c r="DC640" s="2"/>
      <c r="DD640" s="2"/>
      <c r="DE640" s="2"/>
      <c r="DF640" s="2"/>
      <c r="DG640" s="2"/>
      <c r="DH640" s="2"/>
      <c r="DI640" s="2"/>
      <c r="DJ640" s="2"/>
      <c r="DK640" s="2"/>
      <c r="DL640" s="2"/>
      <c r="DM640" s="2"/>
      <c r="DN640" s="2"/>
      <c r="DO640" s="2"/>
      <c r="DP640" s="2"/>
      <c r="DQ640" s="2"/>
      <c r="DR640" s="2"/>
      <c r="DS640" s="2"/>
      <c r="DT640" s="2"/>
      <c r="DU640" s="2"/>
      <c r="DV640" s="2"/>
      <c r="DW640" s="2"/>
      <c r="DX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  <c r="CK641" s="2"/>
      <c r="CL641" s="2"/>
      <c r="CM641" s="2"/>
      <c r="CN641" s="2"/>
      <c r="CO641" s="2"/>
      <c r="CP641" s="2"/>
      <c r="CQ641" s="2"/>
      <c r="CR641" s="2"/>
      <c r="CS641" s="2"/>
      <c r="CT641" s="2"/>
      <c r="CU641" s="2"/>
      <c r="CV641" s="2"/>
      <c r="CW641" s="2"/>
      <c r="CX641" s="2"/>
      <c r="CY641" s="2"/>
      <c r="CZ641" s="2"/>
      <c r="DA641" s="2"/>
      <c r="DB641" s="2"/>
      <c r="DC641" s="2"/>
      <c r="DD641" s="2"/>
      <c r="DE641" s="2"/>
      <c r="DF641" s="2"/>
      <c r="DG641" s="2"/>
      <c r="DH641" s="2"/>
      <c r="DI641" s="2"/>
      <c r="DJ641" s="2"/>
      <c r="DK641" s="2"/>
      <c r="DL641" s="2"/>
      <c r="DM641" s="2"/>
      <c r="DN641" s="2"/>
      <c r="DO641" s="2"/>
      <c r="DP641" s="2"/>
      <c r="DQ641" s="2"/>
      <c r="DR641" s="2"/>
      <c r="DS641" s="2"/>
      <c r="DT641" s="2"/>
      <c r="DU641" s="2"/>
      <c r="DV641" s="2"/>
      <c r="DW641" s="2"/>
      <c r="DX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  <c r="DP642" s="2"/>
      <c r="DQ642" s="2"/>
      <c r="DR642" s="2"/>
      <c r="DS642" s="2"/>
      <c r="DT642" s="2"/>
      <c r="DU642" s="2"/>
      <c r="DV642" s="2"/>
      <c r="DW642" s="2"/>
      <c r="DX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  <c r="DP643" s="2"/>
      <c r="DQ643" s="2"/>
      <c r="DR643" s="2"/>
      <c r="DS643" s="2"/>
      <c r="DT643" s="2"/>
      <c r="DU643" s="2"/>
      <c r="DV643" s="2"/>
      <c r="DW643" s="2"/>
      <c r="DX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  <c r="DP644" s="2"/>
      <c r="DQ644" s="2"/>
      <c r="DR644" s="2"/>
      <c r="DS644" s="2"/>
      <c r="DT644" s="2"/>
      <c r="DU644" s="2"/>
      <c r="DV644" s="2"/>
      <c r="DW644" s="2"/>
      <c r="DX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  <c r="DP645" s="2"/>
      <c r="DQ645" s="2"/>
      <c r="DR645" s="2"/>
      <c r="DS645" s="2"/>
      <c r="DT645" s="2"/>
      <c r="DU645" s="2"/>
      <c r="DV645" s="2"/>
      <c r="DW645" s="2"/>
      <c r="DX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  <c r="DP646" s="2"/>
      <c r="DQ646" s="2"/>
      <c r="DR646" s="2"/>
      <c r="DS646" s="2"/>
      <c r="DT646" s="2"/>
      <c r="DU646" s="2"/>
      <c r="DV646" s="2"/>
      <c r="DW646" s="2"/>
      <c r="DX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  <c r="DP647" s="2"/>
      <c r="DQ647" s="2"/>
      <c r="DR647" s="2"/>
      <c r="DS647" s="2"/>
      <c r="DT647" s="2"/>
      <c r="DU647" s="2"/>
      <c r="DV647" s="2"/>
      <c r="DW647" s="2"/>
      <c r="DX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  <c r="DP648" s="2"/>
      <c r="DQ648" s="2"/>
      <c r="DR648" s="2"/>
      <c r="DS648" s="2"/>
      <c r="DT648" s="2"/>
      <c r="DU648" s="2"/>
      <c r="DV648" s="2"/>
      <c r="DW648" s="2"/>
      <c r="DX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  <c r="DP649" s="2"/>
      <c r="DQ649" s="2"/>
      <c r="DR649" s="2"/>
      <c r="DS649" s="2"/>
      <c r="DT649" s="2"/>
      <c r="DU649" s="2"/>
      <c r="DV649" s="2"/>
      <c r="DW649" s="2"/>
      <c r="DX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  <c r="DP650" s="2"/>
      <c r="DQ650" s="2"/>
      <c r="DR650" s="2"/>
      <c r="DS650" s="2"/>
      <c r="DT650" s="2"/>
      <c r="DU650" s="2"/>
      <c r="DV650" s="2"/>
      <c r="DW650" s="2"/>
      <c r="DX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  <c r="DP651" s="2"/>
      <c r="DQ651" s="2"/>
      <c r="DR651" s="2"/>
      <c r="DS651" s="2"/>
      <c r="DT651" s="2"/>
      <c r="DU651" s="2"/>
      <c r="DV651" s="2"/>
      <c r="DW651" s="2"/>
      <c r="DX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  <c r="DP652" s="2"/>
      <c r="DQ652" s="2"/>
      <c r="DR652" s="2"/>
      <c r="DS652" s="2"/>
      <c r="DT652" s="2"/>
      <c r="DU652" s="2"/>
      <c r="DV652" s="2"/>
      <c r="DW652" s="2"/>
      <c r="DX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  <c r="DP653" s="2"/>
      <c r="DQ653" s="2"/>
      <c r="DR653" s="2"/>
      <c r="DS653" s="2"/>
      <c r="DT653" s="2"/>
      <c r="DU653" s="2"/>
      <c r="DV653" s="2"/>
      <c r="DW653" s="2"/>
      <c r="DX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  <c r="DP654" s="2"/>
      <c r="DQ654" s="2"/>
      <c r="DR654" s="2"/>
      <c r="DS654" s="2"/>
      <c r="DT654" s="2"/>
      <c r="DU654" s="2"/>
      <c r="DV654" s="2"/>
      <c r="DW654" s="2"/>
      <c r="DX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  <c r="DP655" s="2"/>
      <c r="DQ655" s="2"/>
      <c r="DR655" s="2"/>
      <c r="DS655" s="2"/>
      <c r="DT655" s="2"/>
      <c r="DU655" s="2"/>
      <c r="DV655" s="2"/>
      <c r="DW655" s="2"/>
      <c r="DX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  <c r="DP656" s="2"/>
      <c r="DQ656" s="2"/>
      <c r="DR656" s="2"/>
      <c r="DS656" s="2"/>
      <c r="DT656" s="2"/>
      <c r="DU656" s="2"/>
      <c r="DV656" s="2"/>
      <c r="DW656" s="2"/>
      <c r="DX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  <c r="DP657" s="2"/>
      <c r="DQ657" s="2"/>
      <c r="DR657" s="2"/>
      <c r="DS657" s="2"/>
      <c r="DT657" s="2"/>
      <c r="DU657" s="2"/>
      <c r="DV657" s="2"/>
      <c r="DW657" s="2"/>
      <c r="DX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  <c r="DP658" s="2"/>
      <c r="DQ658" s="2"/>
      <c r="DR658" s="2"/>
      <c r="DS658" s="2"/>
      <c r="DT658" s="2"/>
      <c r="DU658" s="2"/>
      <c r="DV658" s="2"/>
      <c r="DW658" s="2"/>
      <c r="DX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  <c r="DP659" s="2"/>
      <c r="DQ659" s="2"/>
      <c r="DR659" s="2"/>
      <c r="DS659" s="2"/>
      <c r="DT659" s="2"/>
      <c r="DU659" s="2"/>
      <c r="DV659" s="2"/>
      <c r="DW659" s="2"/>
      <c r="DX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  <c r="DP660" s="2"/>
      <c r="DQ660" s="2"/>
      <c r="DR660" s="2"/>
      <c r="DS660" s="2"/>
      <c r="DT660" s="2"/>
      <c r="DU660" s="2"/>
      <c r="DV660" s="2"/>
      <c r="DW660" s="2"/>
      <c r="DX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  <c r="DP661" s="2"/>
      <c r="DQ661" s="2"/>
      <c r="DR661" s="2"/>
      <c r="DS661" s="2"/>
      <c r="DT661" s="2"/>
      <c r="DU661" s="2"/>
      <c r="DV661" s="2"/>
      <c r="DW661" s="2"/>
      <c r="DX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  <c r="CK662" s="2"/>
      <c r="CL662" s="2"/>
      <c r="CM662" s="2"/>
      <c r="CN662" s="2"/>
      <c r="CO662" s="2"/>
      <c r="CP662" s="2"/>
      <c r="CQ662" s="2"/>
      <c r="CR662" s="2"/>
      <c r="CS662" s="2"/>
      <c r="CT662" s="2"/>
      <c r="CU662" s="2"/>
      <c r="CV662" s="2"/>
      <c r="CW662" s="2"/>
      <c r="CX662" s="2"/>
      <c r="CY662" s="2"/>
      <c r="CZ662" s="2"/>
      <c r="DA662" s="2"/>
      <c r="DB662" s="2"/>
      <c r="DC662" s="2"/>
      <c r="DD662" s="2"/>
      <c r="DE662" s="2"/>
      <c r="DF662" s="2"/>
      <c r="DG662" s="2"/>
      <c r="DH662" s="2"/>
      <c r="DI662" s="2"/>
      <c r="DJ662" s="2"/>
      <c r="DK662" s="2"/>
      <c r="DL662" s="2"/>
      <c r="DM662" s="2"/>
      <c r="DN662" s="2"/>
      <c r="DO662" s="2"/>
      <c r="DP662" s="2"/>
      <c r="DQ662" s="2"/>
      <c r="DR662" s="2"/>
      <c r="DS662" s="2"/>
      <c r="DT662" s="2"/>
      <c r="DU662" s="2"/>
      <c r="DV662" s="2"/>
      <c r="DW662" s="2"/>
      <c r="DX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  <c r="CK663" s="2"/>
      <c r="CL663" s="2"/>
      <c r="CM663" s="2"/>
      <c r="CN663" s="2"/>
      <c r="CO663" s="2"/>
      <c r="CP663" s="2"/>
      <c r="CQ663" s="2"/>
      <c r="CR663" s="2"/>
      <c r="CS663" s="2"/>
      <c r="CT663" s="2"/>
      <c r="CU663" s="2"/>
      <c r="CV663" s="2"/>
      <c r="CW663" s="2"/>
      <c r="CX663" s="2"/>
      <c r="CY663" s="2"/>
      <c r="CZ663" s="2"/>
      <c r="DA663" s="2"/>
      <c r="DB663" s="2"/>
      <c r="DC663" s="2"/>
      <c r="DD663" s="2"/>
      <c r="DE663" s="2"/>
      <c r="DF663" s="2"/>
      <c r="DG663" s="2"/>
      <c r="DH663" s="2"/>
      <c r="DI663" s="2"/>
      <c r="DJ663" s="2"/>
      <c r="DK663" s="2"/>
      <c r="DL663" s="2"/>
      <c r="DM663" s="2"/>
      <c r="DN663" s="2"/>
      <c r="DO663" s="2"/>
      <c r="DP663" s="2"/>
      <c r="DQ663" s="2"/>
      <c r="DR663" s="2"/>
      <c r="DS663" s="2"/>
      <c r="DT663" s="2"/>
      <c r="DU663" s="2"/>
      <c r="DV663" s="2"/>
      <c r="DW663" s="2"/>
      <c r="DX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  <c r="CK664" s="2"/>
      <c r="CL664" s="2"/>
      <c r="CM664" s="2"/>
      <c r="CN664" s="2"/>
      <c r="CO664" s="2"/>
      <c r="CP664" s="2"/>
      <c r="CQ664" s="2"/>
      <c r="CR664" s="2"/>
      <c r="CS664" s="2"/>
      <c r="CT664" s="2"/>
      <c r="CU664" s="2"/>
      <c r="CV664" s="2"/>
      <c r="CW664" s="2"/>
      <c r="CX664" s="2"/>
      <c r="CY664" s="2"/>
      <c r="CZ664" s="2"/>
      <c r="DA664" s="2"/>
      <c r="DB664" s="2"/>
      <c r="DC664" s="2"/>
      <c r="DD664" s="2"/>
      <c r="DE664" s="2"/>
      <c r="DF664" s="2"/>
      <c r="DG664" s="2"/>
      <c r="DH664" s="2"/>
      <c r="DI664" s="2"/>
      <c r="DJ664" s="2"/>
      <c r="DK664" s="2"/>
      <c r="DL664" s="2"/>
      <c r="DM664" s="2"/>
      <c r="DN664" s="2"/>
      <c r="DO664" s="2"/>
      <c r="DP664" s="2"/>
      <c r="DQ664" s="2"/>
      <c r="DR664" s="2"/>
      <c r="DS664" s="2"/>
      <c r="DT664" s="2"/>
      <c r="DU664" s="2"/>
      <c r="DV664" s="2"/>
      <c r="DW664" s="2"/>
      <c r="DX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  <c r="CK665" s="2"/>
      <c r="CL665" s="2"/>
      <c r="CM665" s="2"/>
      <c r="CN665" s="2"/>
      <c r="CO665" s="2"/>
      <c r="CP665" s="2"/>
      <c r="CQ665" s="2"/>
      <c r="CR665" s="2"/>
      <c r="CS665" s="2"/>
      <c r="CT665" s="2"/>
      <c r="CU665" s="2"/>
      <c r="CV665" s="2"/>
      <c r="CW665" s="2"/>
      <c r="CX665" s="2"/>
      <c r="CY665" s="2"/>
      <c r="CZ665" s="2"/>
      <c r="DA665" s="2"/>
      <c r="DB665" s="2"/>
      <c r="DC665" s="2"/>
      <c r="DD665" s="2"/>
      <c r="DE665" s="2"/>
      <c r="DF665" s="2"/>
      <c r="DG665" s="2"/>
      <c r="DH665" s="2"/>
      <c r="DI665" s="2"/>
      <c r="DJ665" s="2"/>
      <c r="DK665" s="2"/>
      <c r="DL665" s="2"/>
      <c r="DM665" s="2"/>
      <c r="DN665" s="2"/>
      <c r="DO665" s="2"/>
      <c r="DP665" s="2"/>
      <c r="DQ665" s="2"/>
      <c r="DR665" s="2"/>
      <c r="DS665" s="2"/>
      <c r="DT665" s="2"/>
      <c r="DU665" s="2"/>
      <c r="DV665" s="2"/>
      <c r="DW665" s="2"/>
      <c r="DX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  <c r="DP666" s="2"/>
      <c r="DQ666" s="2"/>
      <c r="DR666" s="2"/>
      <c r="DS666" s="2"/>
      <c r="DT666" s="2"/>
      <c r="DU666" s="2"/>
      <c r="DV666" s="2"/>
      <c r="DW666" s="2"/>
      <c r="DX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  <c r="DP667" s="2"/>
      <c r="DQ667" s="2"/>
      <c r="DR667" s="2"/>
      <c r="DS667" s="2"/>
      <c r="DT667" s="2"/>
      <c r="DU667" s="2"/>
      <c r="DV667" s="2"/>
      <c r="DW667" s="2"/>
      <c r="DX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  <c r="DP668" s="2"/>
      <c r="DQ668" s="2"/>
      <c r="DR668" s="2"/>
      <c r="DS668" s="2"/>
      <c r="DT668" s="2"/>
      <c r="DU668" s="2"/>
      <c r="DV668" s="2"/>
      <c r="DW668" s="2"/>
      <c r="DX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  <c r="DP669" s="2"/>
      <c r="DQ669" s="2"/>
      <c r="DR669" s="2"/>
      <c r="DS669" s="2"/>
      <c r="DT669" s="2"/>
      <c r="DU669" s="2"/>
      <c r="DV669" s="2"/>
      <c r="DW669" s="2"/>
      <c r="DX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  <c r="DP670" s="2"/>
      <c r="DQ670" s="2"/>
      <c r="DR670" s="2"/>
      <c r="DS670" s="2"/>
      <c r="DT670" s="2"/>
      <c r="DU670" s="2"/>
      <c r="DV670" s="2"/>
      <c r="DW670" s="2"/>
      <c r="DX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  <c r="DP671" s="2"/>
      <c r="DQ671" s="2"/>
      <c r="DR671" s="2"/>
      <c r="DS671" s="2"/>
      <c r="DT671" s="2"/>
      <c r="DU671" s="2"/>
      <c r="DV671" s="2"/>
      <c r="DW671" s="2"/>
      <c r="DX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  <c r="DP672" s="2"/>
      <c r="DQ672" s="2"/>
      <c r="DR672" s="2"/>
      <c r="DS672" s="2"/>
      <c r="DT672" s="2"/>
      <c r="DU672" s="2"/>
      <c r="DV672" s="2"/>
      <c r="DW672" s="2"/>
      <c r="DX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  <c r="DP673" s="2"/>
      <c r="DQ673" s="2"/>
      <c r="DR673" s="2"/>
      <c r="DS673" s="2"/>
      <c r="DT673" s="2"/>
      <c r="DU673" s="2"/>
      <c r="DV673" s="2"/>
      <c r="DW673" s="2"/>
      <c r="DX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  <c r="DP674" s="2"/>
      <c r="DQ674" s="2"/>
      <c r="DR674" s="2"/>
      <c r="DS674" s="2"/>
      <c r="DT674" s="2"/>
      <c r="DU674" s="2"/>
      <c r="DV674" s="2"/>
      <c r="DW674" s="2"/>
      <c r="DX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  <c r="DP675" s="2"/>
      <c r="DQ675" s="2"/>
      <c r="DR675" s="2"/>
      <c r="DS675" s="2"/>
      <c r="DT675" s="2"/>
      <c r="DU675" s="2"/>
      <c r="DV675" s="2"/>
      <c r="DW675" s="2"/>
      <c r="DX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  <c r="DP676" s="2"/>
      <c r="DQ676" s="2"/>
      <c r="DR676" s="2"/>
      <c r="DS676" s="2"/>
      <c r="DT676" s="2"/>
      <c r="DU676" s="2"/>
      <c r="DV676" s="2"/>
      <c r="DW676" s="2"/>
      <c r="DX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  <c r="DP677" s="2"/>
      <c r="DQ677" s="2"/>
      <c r="DR677" s="2"/>
      <c r="DS677" s="2"/>
      <c r="DT677" s="2"/>
      <c r="DU677" s="2"/>
      <c r="DV677" s="2"/>
      <c r="DW677" s="2"/>
      <c r="DX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  <c r="DP678" s="2"/>
      <c r="DQ678" s="2"/>
      <c r="DR678" s="2"/>
      <c r="DS678" s="2"/>
      <c r="DT678" s="2"/>
      <c r="DU678" s="2"/>
      <c r="DV678" s="2"/>
      <c r="DW678" s="2"/>
      <c r="DX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  <c r="DP679" s="2"/>
      <c r="DQ679" s="2"/>
      <c r="DR679" s="2"/>
      <c r="DS679" s="2"/>
      <c r="DT679" s="2"/>
      <c r="DU679" s="2"/>
      <c r="DV679" s="2"/>
      <c r="DW679" s="2"/>
      <c r="DX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  <c r="DP680" s="2"/>
      <c r="DQ680" s="2"/>
      <c r="DR680" s="2"/>
      <c r="DS680" s="2"/>
      <c r="DT680" s="2"/>
      <c r="DU680" s="2"/>
      <c r="DV680" s="2"/>
      <c r="DW680" s="2"/>
      <c r="DX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  <c r="DP681" s="2"/>
      <c r="DQ681" s="2"/>
      <c r="DR681" s="2"/>
      <c r="DS681" s="2"/>
      <c r="DT681" s="2"/>
      <c r="DU681" s="2"/>
      <c r="DV681" s="2"/>
      <c r="DW681" s="2"/>
      <c r="DX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  <c r="DP682" s="2"/>
      <c r="DQ682" s="2"/>
      <c r="DR682" s="2"/>
      <c r="DS682" s="2"/>
      <c r="DT682" s="2"/>
      <c r="DU682" s="2"/>
      <c r="DV682" s="2"/>
      <c r="DW682" s="2"/>
      <c r="DX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  <c r="DP683" s="2"/>
      <c r="DQ683" s="2"/>
      <c r="DR683" s="2"/>
      <c r="DS683" s="2"/>
      <c r="DT683" s="2"/>
      <c r="DU683" s="2"/>
      <c r="DV683" s="2"/>
      <c r="DW683" s="2"/>
      <c r="DX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  <c r="DP684" s="2"/>
      <c r="DQ684" s="2"/>
      <c r="DR684" s="2"/>
      <c r="DS684" s="2"/>
      <c r="DT684" s="2"/>
      <c r="DU684" s="2"/>
      <c r="DV684" s="2"/>
      <c r="DW684" s="2"/>
      <c r="DX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  <c r="DP685" s="2"/>
      <c r="DQ685" s="2"/>
      <c r="DR685" s="2"/>
      <c r="DS685" s="2"/>
      <c r="DT685" s="2"/>
      <c r="DU685" s="2"/>
      <c r="DV685" s="2"/>
      <c r="DW685" s="2"/>
      <c r="DX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  <c r="CK686" s="2"/>
      <c r="CL686" s="2"/>
      <c r="CM686" s="2"/>
      <c r="CN686" s="2"/>
      <c r="CO686" s="2"/>
      <c r="CP686" s="2"/>
      <c r="CQ686" s="2"/>
      <c r="CR686" s="2"/>
      <c r="CS686" s="2"/>
      <c r="CT686" s="2"/>
      <c r="CU686" s="2"/>
      <c r="CV686" s="2"/>
      <c r="CW686" s="2"/>
      <c r="CX686" s="2"/>
      <c r="CY686" s="2"/>
      <c r="CZ686" s="2"/>
      <c r="DA686" s="2"/>
      <c r="DB686" s="2"/>
      <c r="DC686" s="2"/>
      <c r="DD686" s="2"/>
      <c r="DE686" s="2"/>
      <c r="DF686" s="2"/>
      <c r="DG686" s="2"/>
      <c r="DH686" s="2"/>
      <c r="DI686" s="2"/>
      <c r="DJ686" s="2"/>
      <c r="DK686" s="2"/>
      <c r="DL686" s="2"/>
      <c r="DM686" s="2"/>
      <c r="DN686" s="2"/>
      <c r="DO686" s="2"/>
      <c r="DP686" s="2"/>
      <c r="DQ686" s="2"/>
      <c r="DR686" s="2"/>
      <c r="DS686" s="2"/>
      <c r="DT686" s="2"/>
      <c r="DU686" s="2"/>
      <c r="DV686" s="2"/>
      <c r="DW686" s="2"/>
      <c r="DX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  <c r="CK687" s="2"/>
      <c r="CL687" s="2"/>
      <c r="CM687" s="2"/>
      <c r="CN687" s="2"/>
      <c r="CO687" s="2"/>
      <c r="CP687" s="2"/>
      <c r="CQ687" s="2"/>
      <c r="CR687" s="2"/>
      <c r="CS687" s="2"/>
      <c r="CT687" s="2"/>
      <c r="CU687" s="2"/>
      <c r="CV687" s="2"/>
      <c r="CW687" s="2"/>
      <c r="CX687" s="2"/>
      <c r="CY687" s="2"/>
      <c r="CZ687" s="2"/>
      <c r="DA687" s="2"/>
      <c r="DB687" s="2"/>
      <c r="DC687" s="2"/>
      <c r="DD687" s="2"/>
      <c r="DE687" s="2"/>
      <c r="DF687" s="2"/>
      <c r="DG687" s="2"/>
      <c r="DH687" s="2"/>
      <c r="DI687" s="2"/>
      <c r="DJ687" s="2"/>
      <c r="DK687" s="2"/>
      <c r="DL687" s="2"/>
      <c r="DM687" s="2"/>
      <c r="DN687" s="2"/>
      <c r="DO687" s="2"/>
      <c r="DP687" s="2"/>
      <c r="DQ687" s="2"/>
      <c r="DR687" s="2"/>
      <c r="DS687" s="2"/>
      <c r="DT687" s="2"/>
      <c r="DU687" s="2"/>
      <c r="DV687" s="2"/>
      <c r="DW687" s="2"/>
      <c r="DX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  <c r="CK688" s="2"/>
      <c r="CL688" s="2"/>
      <c r="CM688" s="2"/>
      <c r="CN688" s="2"/>
      <c r="CO688" s="2"/>
      <c r="CP688" s="2"/>
      <c r="CQ688" s="2"/>
      <c r="CR688" s="2"/>
      <c r="CS688" s="2"/>
      <c r="CT688" s="2"/>
      <c r="CU688" s="2"/>
      <c r="CV688" s="2"/>
      <c r="CW688" s="2"/>
      <c r="CX688" s="2"/>
      <c r="CY688" s="2"/>
      <c r="CZ688" s="2"/>
      <c r="DA688" s="2"/>
      <c r="DB688" s="2"/>
      <c r="DC688" s="2"/>
      <c r="DD688" s="2"/>
      <c r="DE688" s="2"/>
      <c r="DF688" s="2"/>
      <c r="DG688" s="2"/>
      <c r="DH688" s="2"/>
      <c r="DI688" s="2"/>
      <c r="DJ688" s="2"/>
      <c r="DK688" s="2"/>
      <c r="DL688" s="2"/>
      <c r="DM688" s="2"/>
      <c r="DN688" s="2"/>
      <c r="DO688" s="2"/>
      <c r="DP688" s="2"/>
      <c r="DQ688" s="2"/>
      <c r="DR688" s="2"/>
      <c r="DS688" s="2"/>
      <c r="DT688" s="2"/>
      <c r="DU688" s="2"/>
      <c r="DV688" s="2"/>
      <c r="DW688" s="2"/>
      <c r="DX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  <c r="CK689" s="2"/>
      <c r="CL689" s="2"/>
      <c r="CM689" s="2"/>
      <c r="CN689" s="2"/>
      <c r="CO689" s="2"/>
      <c r="CP689" s="2"/>
      <c r="CQ689" s="2"/>
      <c r="CR689" s="2"/>
      <c r="CS689" s="2"/>
      <c r="CT689" s="2"/>
      <c r="CU689" s="2"/>
      <c r="CV689" s="2"/>
      <c r="CW689" s="2"/>
      <c r="CX689" s="2"/>
      <c r="CY689" s="2"/>
      <c r="CZ689" s="2"/>
      <c r="DA689" s="2"/>
      <c r="DB689" s="2"/>
      <c r="DC689" s="2"/>
      <c r="DD689" s="2"/>
      <c r="DE689" s="2"/>
      <c r="DF689" s="2"/>
      <c r="DG689" s="2"/>
      <c r="DH689" s="2"/>
      <c r="DI689" s="2"/>
      <c r="DJ689" s="2"/>
      <c r="DK689" s="2"/>
      <c r="DL689" s="2"/>
      <c r="DM689" s="2"/>
      <c r="DN689" s="2"/>
      <c r="DO689" s="2"/>
      <c r="DP689" s="2"/>
      <c r="DQ689" s="2"/>
      <c r="DR689" s="2"/>
      <c r="DS689" s="2"/>
      <c r="DT689" s="2"/>
      <c r="DU689" s="2"/>
      <c r="DV689" s="2"/>
      <c r="DW689" s="2"/>
      <c r="DX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  <c r="DP690" s="2"/>
      <c r="DQ690" s="2"/>
      <c r="DR690" s="2"/>
      <c r="DS690" s="2"/>
      <c r="DT690" s="2"/>
      <c r="DU690" s="2"/>
      <c r="DV690" s="2"/>
      <c r="DW690" s="2"/>
      <c r="DX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  <c r="DP691" s="2"/>
      <c r="DQ691" s="2"/>
      <c r="DR691" s="2"/>
      <c r="DS691" s="2"/>
      <c r="DT691" s="2"/>
      <c r="DU691" s="2"/>
      <c r="DV691" s="2"/>
      <c r="DW691" s="2"/>
      <c r="DX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  <c r="DP692" s="2"/>
      <c r="DQ692" s="2"/>
      <c r="DR692" s="2"/>
      <c r="DS692" s="2"/>
      <c r="DT692" s="2"/>
      <c r="DU692" s="2"/>
      <c r="DV692" s="2"/>
      <c r="DW692" s="2"/>
      <c r="DX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  <c r="DP693" s="2"/>
      <c r="DQ693" s="2"/>
      <c r="DR693" s="2"/>
      <c r="DS693" s="2"/>
      <c r="DT693" s="2"/>
      <c r="DU693" s="2"/>
      <c r="DV693" s="2"/>
      <c r="DW693" s="2"/>
      <c r="DX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  <c r="DP694" s="2"/>
      <c r="DQ694" s="2"/>
      <c r="DR694" s="2"/>
      <c r="DS694" s="2"/>
      <c r="DT694" s="2"/>
      <c r="DU694" s="2"/>
      <c r="DV694" s="2"/>
      <c r="DW694" s="2"/>
      <c r="DX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  <c r="DP695" s="2"/>
      <c r="DQ695" s="2"/>
      <c r="DR695" s="2"/>
      <c r="DS695" s="2"/>
      <c r="DT695" s="2"/>
      <c r="DU695" s="2"/>
      <c r="DV695" s="2"/>
      <c r="DW695" s="2"/>
      <c r="DX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  <c r="DP696" s="2"/>
      <c r="DQ696" s="2"/>
      <c r="DR696" s="2"/>
      <c r="DS696" s="2"/>
      <c r="DT696" s="2"/>
      <c r="DU696" s="2"/>
      <c r="DV696" s="2"/>
      <c r="DW696" s="2"/>
      <c r="DX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  <c r="DP697" s="2"/>
      <c r="DQ697" s="2"/>
      <c r="DR697" s="2"/>
      <c r="DS697" s="2"/>
      <c r="DT697" s="2"/>
      <c r="DU697" s="2"/>
      <c r="DV697" s="2"/>
      <c r="DW697" s="2"/>
      <c r="DX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  <c r="DP698" s="2"/>
      <c r="DQ698" s="2"/>
      <c r="DR698" s="2"/>
      <c r="DS698" s="2"/>
      <c r="DT698" s="2"/>
      <c r="DU698" s="2"/>
      <c r="DV698" s="2"/>
      <c r="DW698" s="2"/>
      <c r="DX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  <c r="DP699" s="2"/>
      <c r="DQ699" s="2"/>
      <c r="DR699" s="2"/>
      <c r="DS699" s="2"/>
      <c r="DT699" s="2"/>
      <c r="DU699" s="2"/>
      <c r="DV699" s="2"/>
      <c r="DW699" s="2"/>
      <c r="DX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  <c r="DP700" s="2"/>
      <c r="DQ700" s="2"/>
      <c r="DR700" s="2"/>
      <c r="DS700" s="2"/>
      <c r="DT700" s="2"/>
      <c r="DU700" s="2"/>
      <c r="DV700" s="2"/>
      <c r="DW700" s="2"/>
      <c r="DX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  <c r="DP701" s="2"/>
      <c r="DQ701" s="2"/>
      <c r="DR701" s="2"/>
      <c r="DS701" s="2"/>
      <c r="DT701" s="2"/>
      <c r="DU701" s="2"/>
      <c r="DV701" s="2"/>
      <c r="DW701" s="2"/>
      <c r="DX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  <c r="DP702" s="2"/>
      <c r="DQ702" s="2"/>
      <c r="DR702" s="2"/>
      <c r="DS702" s="2"/>
      <c r="DT702" s="2"/>
      <c r="DU702" s="2"/>
      <c r="DV702" s="2"/>
      <c r="DW702" s="2"/>
      <c r="DX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  <c r="DP703" s="2"/>
      <c r="DQ703" s="2"/>
      <c r="DR703" s="2"/>
      <c r="DS703" s="2"/>
      <c r="DT703" s="2"/>
      <c r="DU703" s="2"/>
      <c r="DV703" s="2"/>
      <c r="DW703" s="2"/>
      <c r="DX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  <c r="DP704" s="2"/>
      <c r="DQ704" s="2"/>
      <c r="DR704" s="2"/>
      <c r="DS704" s="2"/>
      <c r="DT704" s="2"/>
      <c r="DU704" s="2"/>
      <c r="DV704" s="2"/>
      <c r="DW704" s="2"/>
      <c r="DX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  <c r="DP705" s="2"/>
      <c r="DQ705" s="2"/>
      <c r="DR705" s="2"/>
      <c r="DS705" s="2"/>
      <c r="DT705" s="2"/>
      <c r="DU705" s="2"/>
      <c r="DV705" s="2"/>
      <c r="DW705" s="2"/>
      <c r="DX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  <c r="DP706" s="2"/>
      <c r="DQ706" s="2"/>
      <c r="DR706" s="2"/>
      <c r="DS706" s="2"/>
      <c r="DT706" s="2"/>
      <c r="DU706" s="2"/>
      <c r="DV706" s="2"/>
      <c r="DW706" s="2"/>
      <c r="DX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  <c r="DP707" s="2"/>
      <c r="DQ707" s="2"/>
      <c r="DR707" s="2"/>
      <c r="DS707" s="2"/>
      <c r="DT707" s="2"/>
      <c r="DU707" s="2"/>
      <c r="DV707" s="2"/>
      <c r="DW707" s="2"/>
      <c r="DX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  <c r="DP708" s="2"/>
      <c r="DQ708" s="2"/>
      <c r="DR708" s="2"/>
      <c r="DS708" s="2"/>
      <c r="DT708" s="2"/>
      <c r="DU708" s="2"/>
      <c r="DV708" s="2"/>
      <c r="DW708" s="2"/>
      <c r="DX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  <c r="DP709" s="2"/>
      <c r="DQ709" s="2"/>
      <c r="DR709" s="2"/>
      <c r="DS709" s="2"/>
      <c r="DT709" s="2"/>
      <c r="DU709" s="2"/>
      <c r="DV709" s="2"/>
      <c r="DW709" s="2"/>
      <c r="DX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  <c r="CK710" s="2"/>
      <c r="CL710" s="2"/>
      <c r="CM710" s="2"/>
      <c r="CN710" s="2"/>
      <c r="CO710" s="2"/>
      <c r="CP710" s="2"/>
      <c r="CQ710" s="2"/>
      <c r="CR710" s="2"/>
      <c r="CS710" s="2"/>
      <c r="CT710" s="2"/>
      <c r="CU710" s="2"/>
      <c r="CV710" s="2"/>
      <c r="CW710" s="2"/>
      <c r="CX710" s="2"/>
      <c r="CY710" s="2"/>
      <c r="CZ710" s="2"/>
      <c r="DA710" s="2"/>
      <c r="DB710" s="2"/>
      <c r="DC710" s="2"/>
      <c r="DD710" s="2"/>
      <c r="DE710" s="2"/>
      <c r="DF710" s="2"/>
      <c r="DG710" s="2"/>
      <c r="DH710" s="2"/>
      <c r="DI710" s="2"/>
      <c r="DJ710" s="2"/>
      <c r="DK710" s="2"/>
      <c r="DL710" s="2"/>
      <c r="DM710" s="2"/>
      <c r="DN710" s="2"/>
      <c r="DO710" s="2"/>
      <c r="DP710" s="2"/>
      <c r="DQ710" s="2"/>
      <c r="DR710" s="2"/>
      <c r="DS710" s="2"/>
      <c r="DT710" s="2"/>
      <c r="DU710" s="2"/>
      <c r="DV710" s="2"/>
      <c r="DW710" s="2"/>
      <c r="DX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  <c r="CK711" s="2"/>
      <c r="CL711" s="2"/>
      <c r="CM711" s="2"/>
      <c r="CN711" s="2"/>
      <c r="CO711" s="2"/>
      <c r="CP711" s="2"/>
      <c r="CQ711" s="2"/>
      <c r="CR711" s="2"/>
      <c r="CS711" s="2"/>
      <c r="CT711" s="2"/>
      <c r="CU711" s="2"/>
      <c r="CV711" s="2"/>
      <c r="CW711" s="2"/>
      <c r="CX711" s="2"/>
      <c r="CY711" s="2"/>
      <c r="CZ711" s="2"/>
      <c r="DA711" s="2"/>
      <c r="DB711" s="2"/>
      <c r="DC711" s="2"/>
      <c r="DD711" s="2"/>
      <c r="DE711" s="2"/>
      <c r="DF711" s="2"/>
      <c r="DG711" s="2"/>
      <c r="DH711" s="2"/>
      <c r="DI711" s="2"/>
      <c r="DJ711" s="2"/>
      <c r="DK711" s="2"/>
      <c r="DL711" s="2"/>
      <c r="DM711" s="2"/>
      <c r="DN711" s="2"/>
      <c r="DO711" s="2"/>
      <c r="DP711" s="2"/>
      <c r="DQ711" s="2"/>
      <c r="DR711" s="2"/>
      <c r="DS711" s="2"/>
      <c r="DT711" s="2"/>
      <c r="DU711" s="2"/>
      <c r="DV711" s="2"/>
      <c r="DW711" s="2"/>
      <c r="DX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  <c r="CK712" s="2"/>
      <c r="CL712" s="2"/>
      <c r="CM712" s="2"/>
      <c r="CN712" s="2"/>
      <c r="CO712" s="2"/>
      <c r="CP712" s="2"/>
      <c r="CQ712" s="2"/>
      <c r="CR712" s="2"/>
      <c r="CS712" s="2"/>
      <c r="CT712" s="2"/>
      <c r="CU712" s="2"/>
      <c r="CV712" s="2"/>
      <c r="CW712" s="2"/>
      <c r="CX712" s="2"/>
      <c r="CY712" s="2"/>
      <c r="CZ712" s="2"/>
      <c r="DA712" s="2"/>
      <c r="DB712" s="2"/>
      <c r="DC712" s="2"/>
      <c r="DD712" s="2"/>
      <c r="DE712" s="2"/>
      <c r="DF712" s="2"/>
      <c r="DG712" s="2"/>
      <c r="DH712" s="2"/>
      <c r="DI712" s="2"/>
      <c r="DJ712" s="2"/>
      <c r="DK712" s="2"/>
      <c r="DL712" s="2"/>
      <c r="DM712" s="2"/>
      <c r="DN712" s="2"/>
      <c r="DO712" s="2"/>
      <c r="DP712" s="2"/>
      <c r="DQ712" s="2"/>
      <c r="DR712" s="2"/>
      <c r="DS712" s="2"/>
      <c r="DT712" s="2"/>
      <c r="DU712" s="2"/>
      <c r="DV712" s="2"/>
      <c r="DW712" s="2"/>
      <c r="DX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  <c r="CK713" s="2"/>
      <c r="CL713" s="2"/>
      <c r="CM713" s="2"/>
      <c r="CN713" s="2"/>
      <c r="CO713" s="2"/>
      <c r="CP713" s="2"/>
      <c r="CQ713" s="2"/>
      <c r="CR713" s="2"/>
      <c r="CS713" s="2"/>
      <c r="CT713" s="2"/>
      <c r="CU713" s="2"/>
      <c r="CV713" s="2"/>
      <c r="CW713" s="2"/>
      <c r="CX713" s="2"/>
      <c r="CY713" s="2"/>
      <c r="CZ713" s="2"/>
      <c r="DA713" s="2"/>
      <c r="DB713" s="2"/>
      <c r="DC713" s="2"/>
      <c r="DD713" s="2"/>
      <c r="DE713" s="2"/>
      <c r="DF713" s="2"/>
      <c r="DG713" s="2"/>
      <c r="DH713" s="2"/>
      <c r="DI713" s="2"/>
      <c r="DJ713" s="2"/>
      <c r="DK713" s="2"/>
      <c r="DL713" s="2"/>
      <c r="DM713" s="2"/>
      <c r="DN713" s="2"/>
      <c r="DO713" s="2"/>
      <c r="DP713" s="2"/>
      <c r="DQ713" s="2"/>
      <c r="DR713" s="2"/>
      <c r="DS713" s="2"/>
      <c r="DT713" s="2"/>
      <c r="DU713" s="2"/>
      <c r="DV713" s="2"/>
      <c r="DW713" s="2"/>
      <c r="DX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  <c r="DP714" s="2"/>
      <c r="DQ714" s="2"/>
      <c r="DR714" s="2"/>
      <c r="DS714" s="2"/>
      <c r="DT714" s="2"/>
      <c r="DU714" s="2"/>
      <c r="DV714" s="2"/>
      <c r="DW714" s="2"/>
      <c r="DX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  <c r="DP715" s="2"/>
      <c r="DQ715" s="2"/>
      <c r="DR715" s="2"/>
      <c r="DS715" s="2"/>
      <c r="DT715" s="2"/>
      <c r="DU715" s="2"/>
      <c r="DV715" s="2"/>
      <c r="DW715" s="2"/>
      <c r="DX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  <c r="DP716" s="2"/>
      <c r="DQ716" s="2"/>
      <c r="DR716" s="2"/>
      <c r="DS716" s="2"/>
      <c r="DT716" s="2"/>
      <c r="DU716" s="2"/>
      <c r="DV716" s="2"/>
      <c r="DW716" s="2"/>
      <c r="DX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  <c r="DP717" s="2"/>
      <c r="DQ717" s="2"/>
      <c r="DR717" s="2"/>
      <c r="DS717" s="2"/>
      <c r="DT717" s="2"/>
      <c r="DU717" s="2"/>
      <c r="DV717" s="2"/>
      <c r="DW717" s="2"/>
      <c r="DX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  <c r="DP718" s="2"/>
      <c r="DQ718" s="2"/>
      <c r="DR718" s="2"/>
      <c r="DS718" s="2"/>
      <c r="DT718" s="2"/>
      <c r="DU718" s="2"/>
      <c r="DV718" s="2"/>
      <c r="DW718" s="2"/>
      <c r="DX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  <c r="DP719" s="2"/>
      <c r="DQ719" s="2"/>
      <c r="DR719" s="2"/>
      <c r="DS719" s="2"/>
      <c r="DT719" s="2"/>
      <c r="DU719" s="2"/>
      <c r="DV719" s="2"/>
      <c r="DW719" s="2"/>
      <c r="DX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  <c r="DP720" s="2"/>
      <c r="DQ720" s="2"/>
      <c r="DR720" s="2"/>
      <c r="DS720" s="2"/>
      <c r="DT720" s="2"/>
      <c r="DU720" s="2"/>
      <c r="DV720" s="2"/>
      <c r="DW720" s="2"/>
      <c r="DX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  <c r="DP721" s="2"/>
      <c r="DQ721" s="2"/>
      <c r="DR721" s="2"/>
      <c r="DS721" s="2"/>
      <c r="DT721" s="2"/>
      <c r="DU721" s="2"/>
      <c r="DV721" s="2"/>
      <c r="DW721" s="2"/>
      <c r="DX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  <c r="DP722" s="2"/>
      <c r="DQ722" s="2"/>
      <c r="DR722" s="2"/>
      <c r="DS722" s="2"/>
      <c r="DT722" s="2"/>
      <c r="DU722" s="2"/>
      <c r="DV722" s="2"/>
      <c r="DW722" s="2"/>
      <c r="DX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  <c r="DP723" s="2"/>
      <c r="DQ723" s="2"/>
      <c r="DR723" s="2"/>
      <c r="DS723" s="2"/>
      <c r="DT723" s="2"/>
      <c r="DU723" s="2"/>
      <c r="DV723" s="2"/>
      <c r="DW723" s="2"/>
      <c r="DX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  <c r="DP724" s="2"/>
      <c r="DQ724" s="2"/>
      <c r="DR724" s="2"/>
      <c r="DS724" s="2"/>
      <c r="DT724" s="2"/>
      <c r="DU724" s="2"/>
      <c r="DV724" s="2"/>
      <c r="DW724" s="2"/>
      <c r="DX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  <c r="DP725" s="2"/>
      <c r="DQ725" s="2"/>
      <c r="DR725" s="2"/>
      <c r="DS725" s="2"/>
      <c r="DT725" s="2"/>
      <c r="DU725" s="2"/>
      <c r="DV725" s="2"/>
      <c r="DW725" s="2"/>
      <c r="DX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  <c r="DP726" s="2"/>
      <c r="DQ726" s="2"/>
      <c r="DR726" s="2"/>
      <c r="DS726" s="2"/>
      <c r="DT726" s="2"/>
      <c r="DU726" s="2"/>
      <c r="DV726" s="2"/>
      <c r="DW726" s="2"/>
      <c r="DX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  <c r="DP727" s="2"/>
      <c r="DQ727" s="2"/>
      <c r="DR727" s="2"/>
      <c r="DS727" s="2"/>
      <c r="DT727" s="2"/>
      <c r="DU727" s="2"/>
      <c r="DV727" s="2"/>
      <c r="DW727" s="2"/>
      <c r="DX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  <c r="DP728" s="2"/>
      <c r="DQ728" s="2"/>
      <c r="DR728" s="2"/>
      <c r="DS728" s="2"/>
      <c r="DT728" s="2"/>
      <c r="DU728" s="2"/>
      <c r="DV728" s="2"/>
      <c r="DW728" s="2"/>
      <c r="DX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  <c r="DP729" s="2"/>
      <c r="DQ729" s="2"/>
      <c r="DR729" s="2"/>
      <c r="DS729" s="2"/>
      <c r="DT729" s="2"/>
      <c r="DU729" s="2"/>
      <c r="DV729" s="2"/>
      <c r="DW729" s="2"/>
      <c r="DX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  <c r="DP730" s="2"/>
      <c r="DQ730" s="2"/>
      <c r="DR730" s="2"/>
      <c r="DS730" s="2"/>
      <c r="DT730" s="2"/>
      <c r="DU730" s="2"/>
      <c r="DV730" s="2"/>
      <c r="DW730" s="2"/>
      <c r="DX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  <c r="DP731" s="2"/>
      <c r="DQ731" s="2"/>
      <c r="DR731" s="2"/>
      <c r="DS731" s="2"/>
      <c r="DT731" s="2"/>
      <c r="DU731" s="2"/>
      <c r="DV731" s="2"/>
      <c r="DW731" s="2"/>
      <c r="DX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  <c r="DP732" s="2"/>
      <c r="DQ732" s="2"/>
      <c r="DR732" s="2"/>
      <c r="DS732" s="2"/>
      <c r="DT732" s="2"/>
      <c r="DU732" s="2"/>
      <c r="DV732" s="2"/>
      <c r="DW732" s="2"/>
      <c r="DX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  <c r="DP733" s="2"/>
      <c r="DQ733" s="2"/>
      <c r="DR733" s="2"/>
      <c r="DS733" s="2"/>
      <c r="DT733" s="2"/>
      <c r="DU733" s="2"/>
      <c r="DV733" s="2"/>
      <c r="DW733" s="2"/>
      <c r="DX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  <c r="DP734" s="2"/>
      <c r="DQ734" s="2"/>
      <c r="DR734" s="2"/>
      <c r="DS734" s="2"/>
      <c r="DT734" s="2"/>
      <c r="DU734" s="2"/>
      <c r="DV734" s="2"/>
      <c r="DW734" s="2"/>
      <c r="DX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  <c r="DP735" s="2"/>
      <c r="DQ735" s="2"/>
      <c r="DR735" s="2"/>
      <c r="DS735" s="2"/>
      <c r="DT735" s="2"/>
      <c r="DU735" s="2"/>
      <c r="DV735" s="2"/>
      <c r="DW735" s="2"/>
      <c r="DX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  <c r="DP736" s="2"/>
      <c r="DQ736" s="2"/>
      <c r="DR736" s="2"/>
      <c r="DS736" s="2"/>
      <c r="DT736" s="2"/>
      <c r="DU736" s="2"/>
      <c r="DV736" s="2"/>
      <c r="DW736" s="2"/>
      <c r="DX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  <c r="DP737" s="2"/>
      <c r="DQ737" s="2"/>
      <c r="DR737" s="2"/>
      <c r="DS737" s="2"/>
      <c r="DT737" s="2"/>
      <c r="DU737" s="2"/>
      <c r="DV737" s="2"/>
      <c r="DW737" s="2"/>
      <c r="DX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  <c r="DP738" s="2"/>
      <c r="DQ738" s="2"/>
      <c r="DR738" s="2"/>
      <c r="DS738" s="2"/>
      <c r="DT738" s="2"/>
      <c r="DU738" s="2"/>
      <c r="DV738" s="2"/>
      <c r="DW738" s="2"/>
      <c r="DX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  <c r="DP739" s="2"/>
      <c r="DQ739" s="2"/>
      <c r="DR739" s="2"/>
      <c r="DS739" s="2"/>
      <c r="DT739" s="2"/>
      <c r="DU739" s="2"/>
      <c r="DV739" s="2"/>
      <c r="DW739" s="2"/>
      <c r="DX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  <c r="DP740" s="2"/>
      <c r="DQ740" s="2"/>
      <c r="DR740" s="2"/>
      <c r="DS740" s="2"/>
      <c r="DT740" s="2"/>
      <c r="DU740" s="2"/>
      <c r="DV740" s="2"/>
      <c r="DW740" s="2"/>
      <c r="DX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  <c r="DP741" s="2"/>
      <c r="DQ741" s="2"/>
      <c r="DR741" s="2"/>
      <c r="DS741" s="2"/>
      <c r="DT741" s="2"/>
      <c r="DU741" s="2"/>
      <c r="DV741" s="2"/>
      <c r="DW741" s="2"/>
      <c r="DX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  <c r="DP742" s="2"/>
      <c r="DQ742" s="2"/>
      <c r="DR742" s="2"/>
      <c r="DS742" s="2"/>
      <c r="DT742" s="2"/>
      <c r="DU742" s="2"/>
      <c r="DV742" s="2"/>
      <c r="DW742" s="2"/>
      <c r="DX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  <c r="DP743" s="2"/>
      <c r="DQ743" s="2"/>
      <c r="DR743" s="2"/>
      <c r="DS743" s="2"/>
      <c r="DT743" s="2"/>
      <c r="DU743" s="2"/>
      <c r="DV743" s="2"/>
      <c r="DW743" s="2"/>
      <c r="DX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  <c r="DP744" s="2"/>
      <c r="DQ744" s="2"/>
      <c r="DR744" s="2"/>
      <c r="DS744" s="2"/>
      <c r="DT744" s="2"/>
      <c r="DU744" s="2"/>
      <c r="DV744" s="2"/>
      <c r="DW744" s="2"/>
      <c r="DX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  <c r="DP745" s="2"/>
      <c r="DQ745" s="2"/>
      <c r="DR745" s="2"/>
      <c r="DS745" s="2"/>
      <c r="DT745" s="2"/>
      <c r="DU745" s="2"/>
      <c r="DV745" s="2"/>
      <c r="DW745" s="2"/>
      <c r="DX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  <c r="DP746" s="2"/>
      <c r="DQ746" s="2"/>
      <c r="DR746" s="2"/>
      <c r="DS746" s="2"/>
      <c r="DT746" s="2"/>
      <c r="DU746" s="2"/>
      <c r="DV746" s="2"/>
      <c r="DW746" s="2"/>
      <c r="DX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  <c r="DP747" s="2"/>
      <c r="DQ747" s="2"/>
      <c r="DR747" s="2"/>
      <c r="DS747" s="2"/>
      <c r="DT747" s="2"/>
      <c r="DU747" s="2"/>
      <c r="DV747" s="2"/>
      <c r="DW747" s="2"/>
      <c r="DX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  <c r="DP748" s="2"/>
      <c r="DQ748" s="2"/>
      <c r="DR748" s="2"/>
      <c r="DS748" s="2"/>
      <c r="DT748" s="2"/>
      <c r="DU748" s="2"/>
      <c r="DV748" s="2"/>
      <c r="DW748" s="2"/>
      <c r="DX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  <c r="DP749" s="2"/>
      <c r="DQ749" s="2"/>
      <c r="DR749" s="2"/>
      <c r="DS749" s="2"/>
      <c r="DT749" s="2"/>
      <c r="DU749" s="2"/>
      <c r="DV749" s="2"/>
      <c r="DW749" s="2"/>
      <c r="DX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  <c r="DP750" s="2"/>
      <c r="DQ750" s="2"/>
      <c r="DR750" s="2"/>
      <c r="DS750" s="2"/>
      <c r="DT750" s="2"/>
      <c r="DU750" s="2"/>
      <c r="DV750" s="2"/>
      <c r="DW750" s="2"/>
      <c r="DX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  <c r="DP751" s="2"/>
      <c r="DQ751" s="2"/>
      <c r="DR751" s="2"/>
      <c r="DS751" s="2"/>
      <c r="DT751" s="2"/>
      <c r="DU751" s="2"/>
      <c r="DV751" s="2"/>
      <c r="DW751" s="2"/>
      <c r="DX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  <c r="DP752" s="2"/>
      <c r="DQ752" s="2"/>
      <c r="DR752" s="2"/>
      <c r="DS752" s="2"/>
      <c r="DT752" s="2"/>
      <c r="DU752" s="2"/>
      <c r="DV752" s="2"/>
      <c r="DW752" s="2"/>
      <c r="DX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  <c r="DP753" s="2"/>
      <c r="DQ753" s="2"/>
      <c r="DR753" s="2"/>
      <c r="DS753" s="2"/>
      <c r="DT753" s="2"/>
      <c r="DU753" s="2"/>
      <c r="DV753" s="2"/>
      <c r="DW753" s="2"/>
      <c r="DX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  <c r="DP754" s="2"/>
      <c r="DQ754" s="2"/>
      <c r="DR754" s="2"/>
      <c r="DS754" s="2"/>
      <c r="DT754" s="2"/>
      <c r="DU754" s="2"/>
      <c r="DV754" s="2"/>
      <c r="DW754" s="2"/>
      <c r="DX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  <c r="DP755" s="2"/>
      <c r="DQ755" s="2"/>
      <c r="DR755" s="2"/>
      <c r="DS755" s="2"/>
      <c r="DT755" s="2"/>
      <c r="DU755" s="2"/>
      <c r="DV755" s="2"/>
      <c r="DW755" s="2"/>
      <c r="DX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  <c r="DP756" s="2"/>
      <c r="DQ756" s="2"/>
      <c r="DR756" s="2"/>
      <c r="DS756" s="2"/>
      <c r="DT756" s="2"/>
      <c r="DU756" s="2"/>
      <c r="DV756" s="2"/>
      <c r="DW756" s="2"/>
      <c r="DX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  <c r="DP757" s="2"/>
      <c r="DQ757" s="2"/>
      <c r="DR757" s="2"/>
      <c r="DS757" s="2"/>
      <c r="DT757" s="2"/>
      <c r="DU757" s="2"/>
      <c r="DV757" s="2"/>
      <c r="DW757" s="2"/>
      <c r="DX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  <c r="DP758" s="2"/>
      <c r="DQ758" s="2"/>
      <c r="DR758" s="2"/>
      <c r="DS758" s="2"/>
      <c r="DT758" s="2"/>
      <c r="DU758" s="2"/>
      <c r="DV758" s="2"/>
      <c r="DW758" s="2"/>
      <c r="DX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  <c r="DP759" s="2"/>
      <c r="DQ759" s="2"/>
      <c r="DR759" s="2"/>
      <c r="DS759" s="2"/>
      <c r="DT759" s="2"/>
      <c r="DU759" s="2"/>
      <c r="DV759" s="2"/>
      <c r="DW759" s="2"/>
      <c r="DX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  <c r="DP760" s="2"/>
      <c r="DQ760" s="2"/>
      <c r="DR760" s="2"/>
      <c r="DS760" s="2"/>
      <c r="DT760" s="2"/>
      <c r="DU760" s="2"/>
      <c r="DV760" s="2"/>
      <c r="DW760" s="2"/>
      <c r="DX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  <c r="DP761" s="2"/>
      <c r="DQ761" s="2"/>
      <c r="DR761" s="2"/>
      <c r="DS761" s="2"/>
      <c r="DT761" s="2"/>
      <c r="DU761" s="2"/>
      <c r="DV761" s="2"/>
      <c r="DW761" s="2"/>
      <c r="DX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  <c r="DP762" s="2"/>
      <c r="DQ762" s="2"/>
      <c r="DR762" s="2"/>
      <c r="DS762" s="2"/>
      <c r="DT762" s="2"/>
      <c r="DU762" s="2"/>
      <c r="DV762" s="2"/>
      <c r="DW762" s="2"/>
      <c r="DX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  <c r="DP763" s="2"/>
      <c r="DQ763" s="2"/>
      <c r="DR763" s="2"/>
      <c r="DS763" s="2"/>
      <c r="DT763" s="2"/>
      <c r="DU763" s="2"/>
      <c r="DV763" s="2"/>
      <c r="DW763" s="2"/>
      <c r="DX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  <c r="DP764" s="2"/>
      <c r="DQ764" s="2"/>
      <c r="DR764" s="2"/>
      <c r="DS764" s="2"/>
      <c r="DT764" s="2"/>
      <c r="DU764" s="2"/>
      <c r="DV764" s="2"/>
      <c r="DW764" s="2"/>
      <c r="DX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  <c r="DP765" s="2"/>
      <c r="DQ765" s="2"/>
      <c r="DR765" s="2"/>
      <c r="DS765" s="2"/>
      <c r="DT765" s="2"/>
      <c r="DU765" s="2"/>
      <c r="DV765" s="2"/>
      <c r="DW765" s="2"/>
      <c r="DX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  <c r="DP766" s="2"/>
      <c r="DQ766" s="2"/>
      <c r="DR766" s="2"/>
      <c r="DS766" s="2"/>
      <c r="DT766" s="2"/>
      <c r="DU766" s="2"/>
      <c r="DV766" s="2"/>
      <c r="DW766" s="2"/>
      <c r="DX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  <c r="DP767" s="2"/>
      <c r="DQ767" s="2"/>
      <c r="DR767" s="2"/>
      <c r="DS767" s="2"/>
      <c r="DT767" s="2"/>
      <c r="DU767" s="2"/>
      <c r="DV767" s="2"/>
      <c r="DW767" s="2"/>
      <c r="DX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  <c r="DP768" s="2"/>
      <c r="DQ768" s="2"/>
      <c r="DR768" s="2"/>
      <c r="DS768" s="2"/>
      <c r="DT768" s="2"/>
      <c r="DU768" s="2"/>
      <c r="DV768" s="2"/>
      <c r="DW768" s="2"/>
      <c r="DX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  <c r="DP769" s="2"/>
      <c r="DQ769" s="2"/>
      <c r="DR769" s="2"/>
      <c r="DS769" s="2"/>
      <c r="DT769" s="2"/>
      <c r="DU769" s="2"/>
      <c r="DV769" s="2"/>
      <c r="DW769" s="2"/>
      <c r="DX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  <c r="DP770" s="2"/>
      <c r="DQ770" s="2"/>
      <c r="DR770" s="2"/>
      <c r="DS770" s="2"/>
      <c r="DT770" s="2"/>
      <c r="DU770" s="2"/>
      <c r="DV770" s="2"/>
      <c r="DW770" s="2"/>
      <c r="DX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  <c r="DP771" s="2"/>
      <c r="DQ771" s="2"/>
      <c r="DR771" s="2"/>
      <c r="DS771" s="2"/>
      <c r="DT771" s="2"/>
      <c r="DU771" s="2"/>
      <c r="DV771" s="2"/>
      <c r="DW771" s="2"/>
      <c r="DX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  <c r="DP772" s="2"/>
      <c r="DQ772" s="2"/>
      <c r="DR772" s="2"/>
      <c r="DS772" s="2"/>
      <c r="DT772" s="2"/>
      <c r="DU772" s="2"/>
      <c r="DV772" s="2"/>
      <c r="DW772" s="2"/>
      <c r="DX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  <c r="DP773" s="2"/>
      <c r="DQ773" s="2"/>
      <c r="DR773" s="2"/>
      <c r="DS773" s="2"/>
      <c r="DT773" s="2"/>
      <c r="DU773" s="2"/>
      <c r="DV773" s="2"/>
      <c r="DW773" s="2"/>
      <c r="DX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  <c r="DP774" s="2"/>
      <c r="DQ774" s="2"/>
      <c r="DR774" s="2"/>
      <c r="DS774" s="2"/>
      <c r="DT774" s="2"/>
      <c r="DU774" s="2"/>
      <c r="DV774" s="2"/>
      <c r="DW774" s="2"/>
      <c r="DX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  <c r="DP775" s="2"/>
      <c r="DQ775" s="2"/>
      <c r="DR775" s="2"/>
      <c r="DS775" s="2"/>
      <c r="DT775" s="2"/>
      <c r="DU775" s="2"/>
      <c r="DV775" s="2"/>
      <c r="DW775" s="2"/>
      <c r="DX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  <c r="DP776" s="2"/>
      <c r="DQ776" s="2"/>
      <c r="DR776" s="2"/>
      <c r="DS776" s="2"/>
      <c r="DT776" s="2"/>
      <c r="DU776" s="2"/>
      <c r="DV776" s="2"/>
      <c r="DW776" s="2"/>
      <c r="DX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  <c r="DP777" s="2"/>
      <c r="DQ777" s="2"/>
      <c r="DR777" s="2"/>
      <c r="DS777" s="2"/>
      <c r="DT777" s="2"/>
      <c r="DU777" s="2"/>
      <c r="DV777" s="2"/>
      <c r="DW777" s="2"/>
      <c r="DX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  <c r="DP778" s="2"/>
      <c r="DQ778" s="2"/>
      <c r="DR778" s="2"/>
      <c r="DS778" s="2"/>
      <c r="DT778" s="2"/>
      <c r="DU778" s="2"/>
      <c r="DV778" s="2"/>
      <c r="DW778" s="2"/>
      <c r="DX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  <c r="DP779" s="2"/>
      <c r="DQ779" s="2"/>
      <c r="DR779" s="2"/>
      <c r="DS779" s="2"/>
      <c r="DT779" s="2"/>
      <c r="DU779" s="2"/>
      <c r="DV779" s="2"/>
      <c r="DW779" s="2"/>
      <c r="DX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  <c r="DP780" s="2"/>
      <c r="DQ780" s="2"/>
      <c r="DR780" s="2"/>
      <c r="DS780" s="2"/>
      <c r="DT780" s="2"/>
      <c r="DU780" s="2"/>
      <c r="DV780" s="2"/>
      <c r="DW780" s="2"/>
      <c r="DX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  <c r="DP781" s="2"/>
      <c r="DQ781" s="2"/>
      <c r="DR781" s="2"/>
      <c r="DS781" s="2"/>
      <c r="DT781" s="2"/>
      <c r="DU781" s="2"/>
      <c r="DV781" s="2"/>
      <c r="DW781" s="2"/>
      <c r="DX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  <c r="DP782" s="2"/>
      <c r="DQ782" s="2"/>
      <c r="DR782" s="2"/>
      <c r="DS782" s="2"/>
      <c r="DT782" s="2"/>
      <c r="DU782" s="2"/>
      <c r="DV782" s="2"/>
      <c r="DW782" s="2"/>
      <c r="DX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  <c r="DP783" s="2"/>
      <c r="DQ783" s="2"/>
      <c r="DR783" s="2"/>
      <c r="DS783" s="2"/>
      <c r="DT783" s="2"/>
      <c r="DU783" s="2"/>
      <c r="DV783" s="2"/>
      <c r="DW783" s="2"/>
      <c r="DX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  <c r="DP784" s="2"/>
      <c r="DQ784" s="2"/>
      <c r="DR784" s="2"/>
      <c r="DS784" s="2"/>
      <c r="DT784" s="2"/>
      <c r="DU784" s="2"/>
      <c r="DV784" s="2"/>
      <c r="DW784" s="2"/>
      <c r="DX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  <c r="DP785" s="2"/>
      <c r="DQ785" s="2"/>
      <c r="DR785" s="2"/>
      <c r="DS785" s="2"/>
      <c r="DT785" s="2"/>
      <c r="DU785" s="2"/>
      <c r="DV785" s="2"/>
      <c r="DW785" s="2"/>
      <c r="DX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  <c r="DP786" s="2"/>
      <c r="DQ786" s="2"/>
      <c r="DR786" s="2"/>
      <c r="DS786" s="2"/>
      <c r="DT786" s="2"/>
      <c r="DU786" s="2"/>
      <c r="DV786" s="2"/>
      <c r="DW786" s="2"/>
      <c r="DX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  <c r="DP787" s="2"/>
      <c r="DQ787" s="2"/>
      <c r="DR787" s="2"/>
      <c r="DS787" s="2"/>
      <c r="DT787" s="2"/>
      <c r="DU787" s="2"/>
      <c r="DV787" s="2"/>
      <c r="DW787" s="2"/>
      <c r="DX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  <c r="DP788" s="2"/>
      <c r="DQ788" s="2"/>
      <c r="DR788" s="2"/>
      <c r="DS788" s="2"/>
      <c r="DT788" s="2"/>
      <c r="DU788" s="2"/>
      <c r="DV788" s="2"/>
      <c r="DW788" s="2"/>
      <c r="DX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  <c r="DP789" s="2"/>
      <c r="DQ789" s="2"/>
      <c r="DR789" s="2"/>
      <c r="DS789" s="2"/>
      <c r="DT789" s="2"/>
      <c r="DU789" s="2"/>
      <c r="DV789" s="2"/>
      <c r="DW789" s="2"/>
      <c r="DX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  <c r="DP790" s="2"/>
      <c r="DQ790" s="2"/>
      <c r="DR790" s="2"/>
      <c r="DS790" s="2"/>
      <c r="DT790" s="2"/>
      <c r="DU790" s="2"/>
      <c r="DV790" s="2"/>
      <c r="DW790" s="2"/>
      <c r="DX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  <c r="DP791" s="2"/>
      <c r="DQ791" s="2"/>
      <c r="DR791" s="2"/>
      <c r="DS791" s="2"/>
      <c r="DT791" s="2"/>
      <c r="DU791" s="2"/>
      <c r="DV791" s="2"/>
      <c r="DW791" s="2"/>
      <c r="DX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  <c r="DP792" s="2"/>
      <c r="DQ792" s="2"/>
      <c r="DR792" s="2"/>
      <c r="DS792" s="2"/>
      <c r="DT792" s="2"/>
      <c r="DU792" s="2"/>
      <c r="DV792" s="2"/>
      <c r="DW792" s="2"/>
      <c r="DX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  <c r="DP793" s="2"/>
      <c r="DQ793" s="2"/>
      <c r="DR793" s="2"/>
      <c r="DS793" s="2"/>
      <c r="DT793" s="2"/>
      <c r="DU793" s="2"/>
      <c r="DV793" s="2"/>
      <c r="DW793" s="2"/>
      <c r="DX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  <c r="DP794" s="2"/>
      <c r="DQ794" s="2"/>
      <c r="DR794" s="2"/>
      <c r="DS794" s="2"/>
      <c r="DT794" s="2"/>
      <c r="DU794" s="2"/>
      <c r="DV794" s="2"/>
      <c r="DW794" s="2"/>
      <c r="DX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  <c r="DP795" s="2"/>
      <c r="DQ795" s="2"/>
      <c r="DR795" s="2"/>
      <c r="DS795" s="2"/>
      <c r="DT795" s="2"/>
      <c r="DU795" s="2"/>
      <c r="DV795" s="2"/>
      <c r="DW795" s="2"/>
      <c r="DX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  <c r="DP796" s="2"/>
      <c r="DQ796" s="2"/>
      <c r="DR796" s="2"/>
      <c r="DS796" s="2"/>
      <c r="DT796" s="2"/>
      <c r="DU796" s="2"/>
      <c r="DV796" s="2"/>
      <c r="DW796" s="2"/>
      <c r="DX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  <c r="DP797" s="2"/>
      <c r="DQ797" s="2"/>
      <c r="DR797" s="2"/>
      <c r="DS797" s="2"/>
      <c r="DT797" s="2"/>
      <c r="DU797" s="2"/>
      <c r="DV797" s="2"/>
      <c r="DW797" s="2"/>
      <c r="DX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  <c r="DP798" s="2"/>
      <c r="DQ798" s="2"/>
      <c r="DR798" s="2"/>
      <c r="DS798" s="2"/>
      <c r="DT798" s="2"/>
      <c r="DU798" s="2"/>
      <c r="DV798" s="2"/>
      <c r="DW798" s="2"/>
      <c r="DX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  <c r="DP799" s="2"/>
      <c r="DQ799" s="2"/>
      <c r="DR799" s="2"/>
      <c r="DS799" s="2"/>
      <c r="DT799" s="2"/>
      <c r="DU799" s="2"/>
      <c r="DV799" s="2"/>
      <c r="DW799" s="2"/>
      <c r="DX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  <c r="DP800" s="2"/>
      <c r="DQ800" s="2"/>
      <c r="DR800" s="2"/>
      <c r="DS800" s="2"/>
      <c r="DT800" s="2"/>
      <c r="DU800" s="2"/>
      <c r="DV800" s="2"/>
      <c r="DW800" s="2"/>
      <c r="DX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  <c r="DP801" s="2"/>
      <c r="DQ801" s="2"/>
      <c r="DR801" s="2"/>
      <c r="DS801" s="2"/>
      <c r="DT801" s="2"/>
      <c r="DU801" s="2"/>
      <c r="DV801" s="2"/>
      <c r="DW801" s="2"/>
      <c r="DX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  <c r="DP802" s="2"/>
      <c r="DQ802" s="2"/>
      <c r="DR802" s="2"/>
      <c r="DS802" s="2"/>
      <c r="DT802" s="2"/>
      <c r="DU802" s="2"/>
      <c r="DV802" s="2"/>
      <c r="DW802" s="2"/>
      <c r="DX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  <c r="DP803" s="2"/>
      <c r="DQ803" s="2"/>
      <c r="DR803" s="2"/>
      <c r="DS803" s="2"/>
      <c r="DT803" s="2"/>
      <c r="DU803" s="2"/>
      <c r="DV803" s="2"/>
      <c r="DW803" s="2"/>
      <c r="DX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  <c r="DP804" s="2"/>
      <c r="DQ804" s="2"/>
      <c r="DR804" s="2"/>
      <c r="DS804" s="2"/>
      <c r="DT804" s="2"/>
      <c r="DU804" s="2"/>
      <c r="DV804" s="2"/>
      <c r="DW804" s="2"/>
      <c r="DX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  <c r="DP805" s="2"/>
      <c r="DQ805" s="2"/>
      <c r="DR805" s="2"/>
      <c r="DS805" s="2"/>
      <c r="DT805" s="2"/>
      <c r="DU805" s="2"/>
      <c r="DV805" s="2"/>
      <c r="DW805" s="2"/>
      <c r="DX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  <c r="DP806" s="2"/>
      <c r="DQ806" s="2"/>
      <c r="DR806" s="2"/>
      <c r="DS806" s="2"/>
      <c r="DT806" s="2"/>
      <c r="DU806" s="2"/>
      <c r="DV806" s="2"/>
      <c r="DW806" s="2"/>
      <c r="DX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  <c r="DP807" s="2"/>
      <c r="DQ807" s="2"/>
      <c r="DR807" s="2"/>
      <c r="DS807" s="2"/>
      <c r="DT807" s="2"/>
      <c r="DU807" s="2"/>
      <c r="DV807" s="2"/>
      <c r="DW807" s="2"/>
      <c r="DX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  <c r="DP808" s="2"/>
      <c r="DQ808" s="2"/>
      <c r="DR808" s="2"/>
      <c r="DS808" s="2"/>
      <c r="DT808" s="2"/>
      <c r="DU808" s="2"/>
      <c r="DV808" s="2"/>
      <c r="DW808" s="2"/>
      <c r="DX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  <c r="DP809" s="2"/>
      <c r="DQ809" s="2"/>
      <c r="DR809" s="2"/>
      <c r="DS809" s="2"/>
      <c r="DT809" s="2"/>
      <c r="DU809" s="2"/>
      <c r="DV809" s="2"/>
      <c r="DW809" s="2"/>
      <c r="DX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  <c r="DP810" s="2"/>
      <c r="DQ810" s="2"/>
      <c r="DR810" s="2"/>
      <c r="DS810" s="2"/>
      <c r="DT810" s="2"/>
      <c r="DU810" s="2"/>
      <c r="DV810" s="2"/>
      <c r="DW810" s="2"/>
      <c r="DX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  <c r="DP811" s="2"/>
      <c r="DQ811" s="2"/>
      <c r="DR811" s="2"/>
      <c r="DS811" s="2"/>
      <c r="DT811" s="2"/>
      <c r="DU811" s="2"/>
      <c r="DV811" s="2"/>
      <c r="DW811" s="2"/>
      <c r="DX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  <c r="DP812" s="2"/>
      <c r="DQ812" s="2"/>
      <c r="DR812" s="2"/>
      <c r="DS812" s="2"/>
      <c r="DT812" s="2"/>
      <c r="DU812" s="2"/>
      <c r="DV812" s="2"/>
      <c r="DW812" s="2"/>
      <c r="DX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  <c r="DP813" s="2"/>
      <c r="DQ813" s="2"/>
      <c r="DR813" s="2"/>
      <c r="DS813" s="2"/>
      <c r="DT813" s="2"/>
      <c r="DU813" s="2"/>
      <c r="DV813" s="2"/>
      <c r="DW813" s="2"/>
      <c r="DX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  <c r="DP814" s="2"/>
      <c r="DQ814" s="2"/>
      <c r="DR814" s="2"/>
      <c r="DS814" s="2"/>
      <c r="DT814" s="2"/>
      <c r="DU814" s="2"/>
      <c r="DV814" s="2"/>
      <c r="DW814" s="2"/>
      <c r="DX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  <c r="DP815" s="2"/>
      <c r="DQ815" s="2"/>
      <c r="DR815" s="2"/>
      <c r="DS815" s="2"/>
      <c r="DT815" s="2"/>
      <c r="DU815" s="2"/>
      <c r="DV815" s="2"/>
      <c r="DW815" s="2"/>
      <c r="DX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  <c r="DP816" s="2"/>
      <c r="DQ816" s="2"/>
      <c r="DR816" s="2"/>
      <c r="DS816" s="2"/>
      <c r="DT816" s="2"/>
      <c r="DU816" s="2"/>
      <c r="DV816" s="2"/>
      <c r="DW816" s="2"/>
      <c r="DX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  <c r="DP817" s="2"/>
      <c r="DQ817" s="2"/>
      <c r="DR817" s="2"/>
      <c r="DS817" s="2"/>
      <c r="DT817" s="2"/>
      <c r="DU817" s="2"/>
      <c r="DV817" s="2"/>
      <c r="DW817" s="2"/>
      <c r="DX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  <c r="DP818" s="2"/>
      <c r="DQ818" s="2"/>
      <c r="DR818" s="2"/>
      <c r="DS818" s="2"/>
      <c r="DT818" s="2"/>
      <c r="DU818" s="2"/>
      <c r="DV818" s="2"/>
      <c r="DW818" s="2"/>
      <c r="DX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  <c r="DP819" s="2"/>
      <c r="DQ819" s="2"/>
      <c r="DR819" s="2"/>
      <c r="DS819" s="2"/>
      <c r="DT819" s="2"/>
      <c r="DU819" s="2"/>
      <c r="DV819" s="2"/>
      <c r="DW819" s="2"/>
      <c r="DX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  <c r="DP820" s="2"/>
      <c r="DQ820" s="2"/>
      <c r="DR820" s="2"/>
      <c r="DS820" s="2"/>
      <c r="DT820" s="2"/>
      <c r="DU820" s="2"/>
      <c r="DV820" s="2"/>
      <c r="DW820" s="2"/>
      <c r="DX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  <c r="DP821" s="2"/>
      <c r="DQ821" s="2"/>
      <c r="DR821" s="2"/>
      <c r="DS821" s="2"/>
      <c r="DT821" s="2"/>
      <c r="DU821" s="2"/>
      <c r="DV821" s="2"/>
      <c r="DW821" s="2"/>
      <c r="DX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  <c r="DP822" s="2"/>
      <c r="DQ822" s="2"/>
      <c r="DR822" s="2"/>
      <c r="DS822" s="2"/>
      <c r="DT822" s="2"/>
      <c r="DU822" s="2"/>
      <c r="DV822" s="2"/>
      <c r="DW822" s="2"/>
      <c r="DX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  <c r="DP823" s="2"/>
      <c r="DQ823" s="2"/>
      <c r="DR823" s="2"/>
      <c r="DS823" s="2"/>
      <c r="DT823" s="2"/>
      <c r="DU823" s="2"/>
      <c r="DV823" s="2"/>
      <c r="DW823" s="2"/>
      <c r="DX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  <c r="DP824" s="2"/>
      <c r="DQ824" s="2"/>
      <c r="DR824" s="2"/>
      <c r="DS824" s="2"/>
      <c r="DT824" s="2"/>
      <c r="DU824" s="2"/>
      <c r="DV824" s="2"/>
      <c r="DW824" s="2"/>
      <c r="DX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  <c r="DP825" s="2"/>
      <c r="DQ825" s="2"/>
      <c r="DR825" s="2"/>
      <c r="DS825" s="2"/>
      <c r="DT825" s="2"/>
      <c r="DU825" s="2"/>
      <c r="DV825" s="2"/>
      <c r="DW825" s="2"/>
      <c r="DX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  <c r="DP826" s="2"/>
      <c r="DQ826" s="2"/>
      <c r="DR826" s="2"/>
      <c r="DS826" s="2"/>
      <c r="DT826" s="2"/>
      <c r="DU826" s="2"/>
      <c r="DV826" s="2"/>
      <c r="DW826" s="2"/>
      <c r="DX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  <c r="DP827" s="2"/>
      <c r="DQ827" s="2"/>
      <c r="DR827" s="2"/>
      <c r="DS827" s="2"/>
      <c r="DT827" s="2"/>
      <c r="DU827" s="2"/>
      <c r="DV827" s="2"/>
      <c r="DW827" s="2"/>
      <c r="DX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  <c r="DP828" s="2"/>
      <c r="DQ828" s="2"/>
      <c r="DR828" s="2"/>
      <c r="DS828" s="2"/>
      <c r="DT828" s="2"/>
      <c r="DU828" s="2"/>
      <c r="DV828" s="2"/>
      <c r="DW828" s="2"/>
      <c r="DX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  <c r="DP829" s="2"/>
      <c r="DQ829" s="2"/>
      <c r="DR829" s="2"/>
      <c r="DS829" s="2"/>
      <c r="DT829" s="2"/>
      <c r="DU829" s="2"/>
      <c r="DV829" s="2"/>
      <c r="DW829" s="2"/>
      <c r="DX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  <c r="DP830" s="2"/>
      <c r="DQ830" s="2"/>
      <c r="DR830" s="2"/>
      <c r="DS830" s="2"/>
      <c r="DT830" s="2"/>
      <c r="DU830" s="2"/>
      <c r="DV830" s="2"/>
      <c r="DW830" s="2"/>
      <c r="DX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  <c r="DP831" s="2"/>
      <c r="DQ831" s="2"/>
      <c r="DR831" s="2"/>
      <c r="DS831" s="2"/>
      <c r="DT831" s="2"/>
      <c r="DU831" s="2"/>
      <c r="DV831" s="2"/>
      <c r="DW831" s="2"/>
      <c r="DX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  <c r="DP832" s="2"/>
      <c r="DQ832" s="2"/>
      <c r="DR832" s="2"/>
      <c r="DS832" s="2"/>
      <c r="DT832" s="2"/>
      <c r="DU832" s="2"/>
      <c r="DV832" s="2"/>
      <c r="DW832" s="2"/>
      <c r="DX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  <c r="DP833" s="2"/>
      <c r="DQ833" s="2"/>
      <c r="DR833" s="2"/>
      <c r="DS833" s="2"/>
      <c r="DT833" s="2"/>
      <c r="DU833" s="2"/>
      <c r="DV833" s="2"/>
      <c r="DW833" s="2"/>
      <c r="DX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  <c r="DP834" s="2"/>
      <c r="DQ834" s="2"/>
      <c r="DR834" s="2"/>
      <c r="DS834" s="2"/>
      <c r="DT834" s="2"/>
      <c r="DU834" s="2"/>
      <c r="DV834" s="2"/>
      <c r="DW834" s="2"/>
      <c r="DX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  <c r="DP835" s="2"/>
      <c r="DQ835" s="2"/>
      <c r="DR835" s="2"/>
      <c r="DS835" s="2"/>
      <c r="DT835" s="2"/>
      <c r="DU835" s="2"/>
      <c r="DV835" s="2"/>
      <c r="DW835" s="2"/>
      <c r="DX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  <c r="DP836" s="2"/>
      <c r="DQ836" s="2"/>
      <c r="DR836" s="2"/>
      <c r="DS836" s="2"/>
      <c r="DT836" s="2"/>
      <c r="DU836" s="2"/>
      <c r="DV836" s="2"/>
      <c r="DW836" s="2"/>
      <c r="DX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  <c r="DP837" s="2"/>
      <c r="DQ837" s="2"/>
      <c r="DR837" s="2"/>
      <c r="DS837" s="2"/>
      <c r="DT837" s="2"/>
      <c r="DU837" s="2"/>
      <c r="DV837" s="2"/>
      <c r="DW837" s="2"/>
      <c r="DX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  <c r="DP838" s="2"/>
      <c r="DQ838" s="2"/>
      <c r="DR838" s="2"/>
      <c r="DS838" s="2"/>
      <c r="DT838" s="2"/>
      <c r="DU838" s="2"/>
      <c r="DV838" s="2"/>
      <c r="DW838" s="2"/>
      <c r="DX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  <c r="DP839" s="2"/>
      <c r="DQ839" s="2"/>
      <c r="DR839" s="2"/>
      <c r="DS839" s="2"/>
      <c r="DT839" s="2"/>
      <c r="DU839" s="2"/>
      <c r="DV839" s="2"/>
      <c r="DW839" s="2"/>
      <c r="DX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  <c r="DP840" s="2"/>
      <c r="DQ840" s="2"/>
      <c r="DR840" s="2"/>
      <c r="DS840" s="2"/>
      <c r="DT840" s="2"/>
      <c r="DU840" s="2"/>
      <c r="DV840" s="2"/>
      <c r="DW840" s="2"/>
      <c r="DX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  <c r="DP841" s="2"/>
      <c r="DQ841" s="2"/>
      <c r="DR841" s="2"/>
      <c r="DS841" s="2"/>
      <c r="DT841" s="2"/>
      <c r="DU841" s="2"/>
      <c r="DV841" s="2"/>
      <c r="DW841" s="2"/>
      <c r="DX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  <c r="DP842" s="2"/>
      <c r="DQ842" s="2"/>
      <c r="DR842" s="2"/>
      <c r="DS842" s="2"/>
      <c r="DT842" s="2"/>
      <c r="DU842" s="2"/>
      <c r="DV842" s="2"/>
      <c r="DW842" s="2"/>
      <c r="DX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  <c r="DP843" s="2"/>
      <c r="DQ843" s="2"/>
      <c r="DR843" s="2"/>
      <c r="DS843" s="2"/>
      <c r="DT843" s="2"/>
      <c r="DU843" s="2"/>
      <c r="DV843" s="2"/>
      <c r="DW843" s="2"/>
      <c r="DX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  <c r="DP844" s="2"/>
      <c r="DQ844" s="2"/>
      <c r="DR844" s="2"/>
      <c r="DS844" s="2"/>
      <c r="DT844" s="2"/>
      <c r="DU844" s="2"/>
      <c r="DV844" s="2"/>
      <c r="DW844" s="2"/>
      <c r="DX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  <c r="DP845" s="2"/>
      <c r="DQ845" s="2"/>
      <c r="DR845" s="2"/>
      <c r="DS845" s="2"/>
      <c r="DT845" s="2"/>
      <c r="DU845" s="2"/>
      <c r="DV845" s="2"/>
      <c r="DW845" s="2"/>
      <c r="DX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  <c r="DP846" s="2"/>
      <c r="DQ846" s="2"/>
      <c r="DR846" s="2"/>
      <c r="DS846" s="2"/>
      <c r="DT846" s="2"/>
      <c r="DU846" s="2"/>
      <c r="DV846" s="2"/>
      <c r="DW846" s="2"/>
      <c r="DX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  <c r="DP847" s="2"/>
      <c r="DQ847" s="2"/>
      <c r="DR847" s="2"/>
      <c r="DS847" s="2"/>
      <c r="DT847" s="2"/>
      <c r="DU847" s="2"/>
      <c r="DV847" s="2"/>
      <c r="DW847" s="2"/>
      <c r="DX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  <c r="DP848" s="2"/>
      <c r="DQ848" s="2"/>
      <c r="DR848" s="2"/>
      <c r="DS848" s="2"/>
      <c r="DT848" s="2"/>
      <c r="DU848" s="2"/>
      <c r="DV848" s="2"/>
      <c r="DW848" s="2"/>
      <c r="DX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  <c r="DP849" s="2"/>
      <c r="DQ849" s="2"/>
      <c r="DR849" s="2"/>
      <c r="DS849" s="2"/>
      <c r="DT849" s="2"/>
      <c r="DU849" s="2"/>
      <c r="DV849" s="2"/>
      <c r="DW849" s="2"/>
      <c r="DX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  <c r="DP850" s="2"/>
      <c r="DQ850" s="2"/>
      <c r="DR850" s="2"/>
      <c r="DS850" s="2"/>
      <c r="DT850" s="2"/>
      <c r="DU850" s="2"/>
      <c r="DV850" s="2"/>
      <c r="DW850" s="2"/>
      <c r="DX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  <c r="DP851" s="2"/>
      <c r="DQ851" s="2"/>
      <c r="DR851" s="2"/>
      <c r="DS851" s="2"/>
      <c r="DT851" s="2"/>
      <c r="DU851" s="2"/>
      <c r="DV851" s="2"/>
      <c r="DW851" s="2"/>
      <c r="DX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  <c r="DP852" s="2"/>
      <c r="DQ852" s="2"/>
      <c r="DR852" s="2"/>
      <c r="DS852" s="2"/>
      <c r="DT852" s="2"/>
      <c r="DU852" s="2"/>
      <c r="DV852" s="2"/>
      <c r="DW852" s="2"/>
      <c r="DX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  <c r="DP853" s="2"/>
      <c r="DQ853" s="2"/>
      <c r="DR853" s="2"/>
      <c r="DS853" s="2"/>
      <c r="DT853" s="2"/>
      <c r="DU853" s="2"/>
      <c r="DV853" s="2"/>
      <c r="DW853" s="2"/>
      <c r="DX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  <c r="DP854" s="2"/>
      <c r="DQ854" s="2"/>
      <c r="DR854" s="2"/>
      <c r="DS854" s="2"/>
      <c r="DT854" s="2"/>
      <c r="DU854" s="2"/>
      <c r="DV854" s="2"/>
      <c r="DW854" s="2"/>
      <c r="DX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  <c r="DP855" s="2"/>
      <c r="DQ855" s="2"/>
      <c r="DR855" s="2"/>
      <c r="DS855" s="2"/>
      <c r="DT855" s="2"/>
      <c r="DU855" s="2"/>
      <c r="DV855" s="2"/>
      <c r="DW855" s="2"/>
      <c r="DX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  <c r="DP856" s="2"/>
      <c r="DQ856" s="2"/>
      <c r="DR856" s="2"/>
      <c r="DS856" s="2"/>
      <c r="DT856" s="2"/>
      <c r="DU856" s="2"/>
      <c r="DV856" s="2"/>
      <c r="DW856" s="2"/>
      <c r="DX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  <c r="DP857" s="2"/>
      <c r="DQ857" s="2"/>
      <c r="DR857" s="2"/>
      <c r="DS857" s="2"/>
      <c r="DT857" s="2"/>
      <c r="DU857" s="2"/>
      <c r="DV857" s="2"/>
      <c r="DW857" s="2"/>
      <c r="DX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  <c r="DP858" s="2"/>
      <c r="DQ858" s="2"/>
      <c r="DR858" s="2"/>
      <c r="DS858" s="2"/>
      <c r="DT858" s="2"/>
      <c r="DU858" s="2"/>
      <c r="DV858" s="2"/>
      <c r="DW858" s="2"/>
      <c r="DX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  <c r="DP859" s="2"/>
      <c r="DQ859" s="2"/>
      <c r="DR859" s="2"/>
      <c r="DS859" s="2"/>
      <c r="DT859" s="2"/>
      <c r="DU859" s="2"/>
      <c r="DV859" s="2"/>
      <c r="DW859" s="2"/>
      <c r="DX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  <c r="DP860" s="2"/>
      <c r="DQ860" s="2"/>
      <c r="DR860" s="2"/>
      <c r="DS860" s="2"/>
      <c r="DT860" s="2"/>
      <c r="DU860" s="2"/>
      <c r="DV860" s="2"/>
      <c r="DW860" s="2"/>
      <c r="DX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  <c r="DP861" s="2"/>
      <c r="DQ861" s="2"/>
      <c r="DR861" s="2"/>
      <c r="DS861" s="2"/>
      <c r="DT861" s="2"/>
      <c r="DU861" s="2"/>
      <c r="DV861" s="2"/>
      <c r="DW861" s="2"/>
      <c r="DX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  <c r="DP862" s="2"/>
      <c r="DQ862" s="2"/>
      <c r="DR862" s="2"/>
      <c r="DS862" s="2"/>
      <c r="DT862" s="2"/>
      <c r="DU862" s="2"/>
      <c r="DV862" s="2"/>
      <c r="DW862" s="2"/>
      <c r="DX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  <c r="DP863" s="2"/>
      <c r="DQ863" s="2"/>
      <c r="DR863" s="2"/>
      <c r="DS863" s="2"/>
      <c r="DT863" s="2"/>
      <c r="DU863" s="2"/>
      <c r="DV863" s="2"/>
      <c r="DW863" s="2"/>
      <c r="DX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  <c r="DP864" s="2"/>
      <c r="DQ864" s="2"/>
      <c r="DR864" s="2"/>
      <c r="DS864" s="2"/>
      <c r="DT864" s="2"/>
      <c r="DU864" s="2"/>
      <c r="DV864" s="2"/>
      <c r="DW864" s="2"/>
      <c r="DX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  <c r="DP865" s="2"/>
      <c r="DQ865" s="2"/>
      <c r="DR865" s="2"/>
      <c r="DS865" s="2"/>
      <c r="DT865" s="2"/>
      <c r="DU865" s="2"/>
      <c r="DV865" s="2"/>
      <c r="DW865" s="2"/>
      <c r="DX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  <c r="DP866" s="2"/>
      <c r="DQ866" s="2"/>
      <c r="DR866" s="2"/>
      <c r="DS866" s="2"/>
      <c r="DT866" s="2"/>
      <c r="DU866" s="2"/>
      <c r="DV866" s="2"/>
      <c r="DW866" s="2"/>
      <c r="DX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  <c r="DP867" s="2"/>
      <c r="DQ867" s="2"/>
      <c r="DR867" s="2"/>
      <c r="DS867" s="2"/>
      <c r="DT867" s="2"/>
      <c r="DU867" s="2"/>
      <c r="DV867" s="2"/>
      <c r="DW867" s="2"/>
      <c r="DX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  <c r="DP868" s="2"/>
      <c r="DQ868" s="2"/>
      <c r="DR868" s="2"/>
      <c r="DS868" s="2"/>
      <c r="DT868" s="2"/>
      <c r="DU868" s="2"/>
      <c r="DV868" s="2"/>
      <c r="DW868" s="2"/>
      <c r="DX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  <c r="DP869" s="2"/>
      <c r="DQ869" s="2"/>
      <c r="DR869" s="2"/>
      <c r="DS869" s="2"/>
      <c r="DT869" s="2"/>
      <c r="DU869" s="2"/>
      <c r="DV869" s="2"/>
      <c r="DW869" s="2"/>
      <c r="DX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  <c r="DP870" s="2"/>
      <c r="DQ870" s="2"/>
      <c r="DR870" s="2"/>
      <c r="DS870" s="2"/>
      <c r="DT870" s="2"/>
      <c r="DU870" s="2"/>
      <c r="DV870" s="2"/>
      <c r="DW870" s="2"/>
      <c r="DX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  <c r="DP871" s="2"/>
      <c r="DQ871" s="2"/>
      <c r="DR871" s="2"/>
      <c r="DS871" s="2"/>
      <c r="DT871" s="2"/>
      <c r="DU871" s="2"/>
      <c r="DV871" s="2"/>
      <c r="DW871" s="2"/>
      <c r="DX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  <c r="DP872" s="2"/>
      <c r="DQ872" s="2"/>
      <c r="DR872" s="2"/>
      <c r="DS872" s="2"/>
      <c r="DT872" s="2"/>
      <c r="DU872" s="2"/>
      <c r="DV872" s="2"/>
      <c r="DW872" s="2"/>
      <c r="DX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  <c r="DP873" s="2"/>
      <c r="DQ873" s="2"/>
      <c r="DR873" s="2"/>
      <c r="DS873" s="2"/>
      <c r="DT873" s="2"/>
      <c r="DU873" s="2"/>
      <c r="DV873" s="2"/>
      <c r="DW873" s="2"/>
      <c r="DX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  <c r="DP874" s="2"/>
      <c r="DQ874" s="2"/>
      <c r="DR874" s="2"/>
      <c r="DS874" s="2"/>
      <c r="DT874" s="2"/>
      <c r="DU874" s="2"/>
      <c r="DV874" s="2"/>
      <c r="DW874" s="2"/>
      <c r="DX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  <c r="DP875" s="2"/>
      <c r="DQ875" s="2"/>
      <c r="DR875" s="2"/>
      <c r="DS875" s="2"/>
      <c r="DT875" s="2"/>
      <c r="DU875" s="2"/>
      <c r="DV875" s="2"/>
      <c r="DW875" s="2"/>
      <c r="DX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  <c r="DP876" s="2"/>
      <c r="DQ876" s="2"/>
      <c r="DR876" s="2"/>
      <c r="DS876" s="2"/>
      <c r="DT876" s="2"/>
      <c r="DU876" s="2"/>
      <c r="DV876" s="2"/>
      <c r="DW876" s="2"/>
      <c r="DX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  <c r="DP877" s="2"/>
      <c r="DQ877" s="2"/>
      <c r="DR877" s="2"/>
      <c r="DS877" s="2"/>
      <c r="DT877" s="2"/>
      <c r="DU877" s="2"/>
      <c r="DV877" s="2"/>
      <c r="DW877" s="2"/>
      <c r="DX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  <c r="DP878" s="2"/>
      <c r="DQ878" s="2"/>
      <c r="DR878" s="2"/>
      <c r="DS878" s="2"/>
      <c r="DT878" s="2"/>
      <c r="DU878" s="2"/>
      <c r="DV878" s="2"/>
      <c r="DW878" s="2"/>
      <c r="DX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  <c r="DP879" s="2"/>
      <c r="DQ879" s="2"/>
      <c r="DR879" s="2"/>
      <c r="DS879" s="2"/>
      <c r="DT879" s="2"/>
      <c r="DU879" s="2"/>
      <c r="DV879" s="2"/>
      <c r="DW879" s="2"/>
      <c r="DX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  <c r="DP880" s="2"/>
      <c r="DQ880" s="2"/>
      <c r="DR880" s="2"/>
      <c r="DS880" s="2"/>
      <c r="DT880" s="2"/>
      <c r="DU880" s="2"/>
      <c r="DV880" s="2"/>
      <c r="DW880" s="2"/>
      <c r="DX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  <c r="DP881" s="2"/>
      <c r="DQ881" s="2"/>
      <c r="DR881" s="2"/>
      <c r="DS881" s="2"/>
      <c r="DT881" s="2"/>
      <c r="DU881" s="2"/>
      <c r="DV881" s="2"/>
      <c r="DW881" s="2"/>
      <c r="DX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  <c r="DP882" s="2"/>
      <c r="DQ882" s="2"/>
      <c r="DR882" s="2"/>
      <c r="DS882" s="2"/>
      <c r="DT882" s="2"/>
      <c r="DU882" s="2"/>
      <c r="DV882" s="2"/>
      <c r="DW882" s="2"/>
      <c r="DX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  <c r="DP883" s="2"/>
      <c r="DQ883" s="2"/>
      <c r="DR883" s="2"/>
      <c r="DS883" s="2"/>
      <c r="DT883" s="2"/>
      <c r="DU883" s="2"/>
      <c r="DV883" s="2"/>
      <c r="DW883" s="2"/>
      <c r="DX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  <c r="DP884" s="2"/>
      <c r="DQ884" s="2"/>
      <c r="DR884" s="2"/>
      <c r="DS884" s="2"/>
      <c r="DT884" s="2"/>
      <c r="DU884" s="2"/>
      <c r="DV884" s="2"/>
      <c r="DW884" s="2"/>
      <c r="DX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  <c r="DP885" s="2"/>
      <c r="DQ885" s="2"/>
      <c r="DR885" s="2"/>
      <c r="DS885" s="2"/>
      <c r="DT885" s="2"/>
      <c r="DU885" s="2"/>
      <c r="DV885" s="2"/>
      <c r="DW885" s="2"/>
      <c r="DX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  <c r="DP886" s="2"/>
      <c r="DQ886" s="2"/>
      <c r="DR886" s="2"/>
      <c r="DS886" s="2"/>
      <c r="DT886" s="2"/>
      <c r="DU886" s="2"/>
      <c r="DV886" s="2"/>
      <c r="DW886" s="2"/>
      <c r="DX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  <c r="DP887" s="2"/>
      <c r="DQ887" s="2"/>
      <c r="DR887" s="2"/>
      <c r="DS887" s="2"/>
      <c r="DT887" s="2"/>
      <c r="DU887" s="2"/>
      <c r="DV887" s="2"/>
      <c r="DW887" s="2"/>
      <c r="DX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  <c r="DP888" s="2"/>
      <c r="DQ888" s="2"/>
      <c r="DR888" s="2"/>
      <c r="DS888" s="2"/>
      <c r="DT888" s="2"/>
      <c r="DU888" s="2"/>
      <c r="DV888" s="2"/>
      <c r="DW888" s="2"/>
      <c r="DX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  <c r="DP889" s="2"/>
      <c r="DQ889" s="2"/>
      <c r="DR889" s="2"/>
      <c r="DS889" s="2"/>
      <c r="DT889" s="2"/>
      <c r="DU889" s="2"/>
      <c r="DV889" s="2"/>
      <c r="DW889" s="2"/>
      <c r="DX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  <c r="DP890" s="2"/>
      <c r="DQ890" s="2"/>
      <c r="DR890" s="2"/>
      <c r="DS890" s="2"/>
      <c r="DT890" s="2"/>
      <c r="DU890" s="2"/>
      <c r="DV890" s="2"/>
      <c r="DW890" s="2"/>
      <c r="DX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  <c r="DP891" s="2"/>
      <c r="DQ891" s="2"/>
      <c r="DR891" s="2"/>
      <c r="DS891" s="2"/>
      <c r="DT891" s="2"/>
      <c r="DU891" s="2"/>
      <c r="DV891" s="2"/>
      <c r="DW891" s="2"/>
      <c r="DX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  <c r="DP892" s="2"/>
      <c r="DQ892" s="2"/>
      <c r="DR892" s="2"/>
      <c r="DS892" s="2"/>
      <c r="DT892" s="2"/>
      <c r="DU892" s="2"/>
      <c r="DV892" s="2"/>
      <c r="DW892" s="2"/>
      <c r="DX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  <c r="DP893" s="2"/>
      <c r="DQ893" s="2"/>
      <c r="DR893" s="2"/>
      <c r="DS893" s="2"/>
      <c r="DT893" s="2"/>
      <c r="DU893" s="2"/>
      <c r="DV893" s="2"/>
      <c r="DW893" s="2"/>
      <c r="DX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  <c r="DP894" s="2"/>
      <c r="DQ894" s="2"/>
      <c r="DR894" s="2"/>
      <c r="DS894" s="2"/>
      <c r="DT894" s="2"/>
      <c r="DU894" s="2"/>
      <c r="DV894" s="2"/>
      <c r="DW894" s="2"/>
      <c r="DX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  <c r="DP895" s="2"/>
      <c r="DQ895" s="2"/>
      <c r="DR895" s="2"/>
      <c r="DS895" s="2"/>
      <c r="DT895" s="2"/>
      <c r="DU895" s="2"/>
      <c r="DV895" s="2"/>
      <c r="DW895" s="2"/>
      <c r="DX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  <c r="DP896" s="2"/>
      <c r="DQ896" s="2"/>
      <c r="DR896" s="2"/>
      <c r="DS896" s="2"/>
      <c r="DT896" s="2"/>
      <c r="DU896" s="2"/>
      <c r="DV896" s="2"/>
      <c r="DW896" s="2"/>
      <c r="DX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  <c r="DP897" s="2"/>
      <c r="DQ897" s="2"/>
      <c r="DR897" s="2"/>
      <c r="DS897" s="2"/>
      <c r="DT897" s="2"/>
      <c r="DU897" s="2"/>
      <c r="DV897" s="2"/>
      <c r="DW897" s="2"/>
      <c r="DX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  <c r="DP898" s="2"/>
      <c r="DQ898" s="2"/>
      <c r="DR898" s="2"/>
      <c r="DS898" s="2"/>
      <c r="DT898" s="2"/>
      <c r="DU898" s="2"/>
      <c r="DV898" s="2"/>
      <c r="DW898" s="2"/>
      <c r="DX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  <c r="DP899" s="2"/>
      <c r="DQ899" s="2"/>
      <c r="DR899" s="2"/>
      <c r="DS899" s="2"/>
      <c r="DT899" s="2"/>
      <c r="DU899" s="2"/>
      <c r="DV899" s="2"/>
      <c r="DW899" s="2"/>
      <c r="DX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  <c r="DP900" s="2"/>
      <c r="DQ900" s="2"/>
      <c r="DR900" s="2"/>
      <c r="DS900" s="2"/>
      <c r="DT900" s="2"/>
      <c r="DU900" s="2"/>
      <c r="DV900" s="2"/>
      <c r="DW900" s="2"/>
      <c r="DX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  <c r="DP901" s="2"/>
      <c r="DQ901" s="2"/>
      <c r="DR901" s="2"/>
      <c r="DS901" s="2"/>
      <c r="DT901" s="2"/>
      <c r="DU901" s="2"/>
      <c r="DV901" s="2"/>
      <c r="DW901" s="2"/>
      <c r="DX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  <c r="DP902" s="2"/>
      <c r="DQ902" s="2"/>
      <c r="DR902" s="2"/>
      <c r="DS902" s="2"/>
      <c r="DT902" s="2"/>
      <c r="DU902" s="2"/>
      <c r="DV902" s="2"/>
      <c r="DW902" s="2"/>
      <c r="DX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  <c r="DP903" s="2"/>
      <c r="DQ903" s="2"/>
      <c r="DR903" s="2"/>
      <c r="DS903" s="2"/>
      <c r="DT903" s="2"/>
      <c r="DU903" s="2"/>
      <c r="DV903" s="2"/>
      <c r="DW903" s="2"/>
      <c r="DX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  <c r="DP904" s="2"/>
      <c r="DQ904" s="2"/>
      <c r="DR904" s="2"/>
      <c r="DS904" s="2"/>
      <c r="DT904" s="2"/>
      <c r="DU904" s="2"/>
      <c r="DV904" s="2"/>
      <c r="DW904" s="2"/>
      <c r="DX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  <c r="DP905" s="2"/>
      <c r="DQ905" s="2"/>
      <c r="DR905" s="2"/>
      <c r="DS905" s="2"/>
      <c r="DT905" s="2"/>
      <c r="DU905" s="2"/>
      <c r="DV905" s="2"/>
      <c r="DW905" s="2"/>
      <c r="DX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  <c r="DP906" s="2"/>
      <c r="DQ906" s="2"/>
      <c r="DR906" s="2"/>
      <c r="DS906" s="2"/>
      <c r="DT906" s="2"/>
      <c r="DU906" s="2"/>
      <c r="DV906" s="2"/>
      <c r="DW906" s="2"/>
      <c r="DX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  <c r="DP907" s="2"/>
      <c r="DQ907" s="2"/>
      <c r="DR907" s="2"/>
      <c r="DS907" s="2"/>
      <c r="DT907" s="2"/>
      <c r="DU907" s="2"/>
      <c r="DV907" s="2"/>
      <c r="DW907" s="2"/>
      <c r="DX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  <c r="DP908" s="2"/>
      <c r="DQ908" s="2"/>
      <c r="DR908" s="2"/>
      <c r="DS908" s="2"/>
      <c r="DT908" s="2"/>
      <c r="DU908" s="2"/>
      <c r="DV908" s="2"/>
      <c r="DW908" s="2"/>
      <c r="DX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  <c r="DP909" s="2"/>
      <c r="DQ909" s="2"/>
      <c r="DR909" s="2"/>
      <c r="DS909" s="2"/>
      <c r="DT909" s="2"/>
      <c r="DU909" s="2"/>
      <c r="DV909" s="2"/>
      <c r="DW909" s="2"/>
      <c r="DX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  <c r="DP910" s="2"/>
      <c r="DQ910" s="2"/>
      <c r="DR910" s="2"/>
      <c r="DS910" s="2"/>
      <c r="DT910" s="2"/>
      <c r="DU910" s="2"/>
      <c r="DV910" s="2"/>
      <c r="DW910" s="2"/>
      <c r="DX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  <c r="DP911" s="2"/>
      <c r="DQ911" s="2"/>
      <c r="DR911" s="2"/>
      <c r="DS911" s="2"/>
      <c r="DT911" s="2"/>
      <c r="DU911" s="2"/>
      <c r="DV911" s="2"/>
      <c r="DW911" s="2"/>
      <c r="DX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  <c r="DP912" s="2"/>
      <c r="DQ912" s="2"/>
      <c r="DR912" s="2"/>
      <c r="DS912" s="2"/>
      <c r="DT912" s="2"/>
      <c r="DU912" s="2"/>
      <c r="DV912" s="2"/>
      <c r="DW912" s="2"/>
      <c r="DX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  <c r="DP913" s="2"/>
      <c r="DQ913" s="2"/>
      <c r="DR913" s="2"/>
      <c r="DS913" s="2"/>
      <c r="DT913" s="2"/>
      <c r="DU913" s="2"/>
      <c r="DV913" s="2"/>
      <c r="DW913" s="2"/>
      <c r="DX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  <c r="DP914" s="2"/>
      <c r="DQ914" s="2"/>
      <c r="DR914" s="2"/>
      <c r="DS914" s="2"/>
      <c r="DT914" s="2"/>
      <c r="DU914" s="2"/>
      <c r="DV914" s="2"/>
      <c r="DW914" s="2"/>
      <c r="DX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  <c r="DP915" s="2"/>
      <c r="DQ915" s="2"/>
      <c r="DR915" s="2"/>
      <c r="DS915" s="2"/>
      <c r="DT915" s="2"/>
      <c r="DU915" s="2"/>
      <c r="DV915" s="2"/>
      <c r="DW915" s="2"/>
      <c r="DX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  <c r="DP916" s="2"/>
      <c r="DQ916" s="2"/>
      <c r="DR916" s="2"/>
      <c r="DS916" s="2"/>
      <c r="DT916" s="2"/>
      <c r="DU916" s="2"/>
      <c r="DV916" s="2"/>
      <c r="DW916" s="2"/>
      <c r="DX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  <c r="DP917" s="2"/>
      <c r="DQ917" s="2"/>
      <c r="DR917" s="2"/>
      <c r="DS917" s="2"/>
      <c r="DT917" s="2"/>
      <c r="DU917" s="2"/>
      <c r="DV917" s="2"/>
      <c r="DW917" s="2"/>
      <c r="DX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  <c r="DP918" s="2"/>
      <c r="DQ918" s="2"/>
      <c r="DR918" s="2"/>
      <c r="DS918" s="2"/>
      <c r="DT918" s="2"/>
      <c r="DU918" s="2"/>
      <c r="DV918" s="2"/>
      <c r="DW918" s="2"/>
      <c r="DX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  <c r="DP919" s="2"/>
      <c r="DQ919" s="2"/>
      <c r="DR919" s="2"/>
      <c r="DS919" s="2"/>
      <c r="DT919" s="2"/>
      <c r="DU919" s="2"/>
      <c r="DV919" s="2"/>
      <c r="DW919" s="2"/>
      <c r="DX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  <c r="DP920" s="2"/>
      <c r="DQ920" s="2"/>
      <c r="DR920" s="2"/>
      <c r="DS920" s="2"/>
      <c r="DT920" s="2"/>
      <c r="DU920" s="2"/>
      <c r="DV920" s="2"/>
      <c r="DW920" s="2"/>
      <c r="DX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  <c r="DP921" s="2"/>
      <c r="DQ921" s="2"/>
      <c r="DR921" s="2"/>
      <c r="DS921" s="2"/>
      <c r="DT921" s="2"/>
      <c r="DU921" s="2"/>
      <c r="DV921" s="2"/>
      <c r="DW921" s="2"/>
      <c r="DX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  <c r="DP922" s="2"/>
      <c r="DQ922" s="2"/>
      <c r="DR922" s="2"/>
      <c r="DS922" s="2"/>
      <c r="DT922" s="2"/>
      <c r="DU922" s="2"/>
      <c r="DV922" s="2"/>
      <c r="DW922" s="2"/>
      <c r="DX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  <c r="DP923" s="2"/>
      <c r="DQ923" s="2"/>
      <c r="DR923" s="2"/>
      <c r="DS923" s="2"/>
      <c r="DT923" s="2"/>
      <c r="DU923" s="2"/>
      <c r="DV923" s="2"/>
      <c r="DW923" s="2"/>
      <c r="DX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  <c r="DP924" s="2"/>
      <c r="DQ924" s="2"/>
      <c r="DR924" s="2"/>
      <c r="DS924" s="2"/>
      <c r="DT924" s="2"/>
      <c r="DU924" s="2"/>
      <c r="DV924" s="2"/>
      <c r="DW924" s="2"/>
      <c r="DX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  <c r="DP925" s="2"/>
      <c r="DQ925" s="2"/>
      <c r="DR925" s="2"/>
      <c r="DS925" s="2"/>
      <c r="DT925" s="2"/>
      <c r="DU925" s="2"/>
      <c r="DV925" s="2"/>
      <c r="DW925" s="2"/>
      <c r="DX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  <c r="DP926" s="2"/>
      <c r="DQ926" s="2"/>
      <c r="DR926" s="2"/>
      <c r="DS926" s="2"/>
      <c r="DT926" s="2"/>
      <c r="DU926" s="2"/>
      <c r="DV926" s="2"/>
      <c r="DW926" s="2"/>
      <c r="DX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  <c r="DP927" s="2"/>
      <c r="DQ927" s="2"/>
      <c r="DR927" s="2"/>
      <c r="DS927" s="2"/>
      <c r="DT927" s="2"/>
      <c r="DU927" s="2"/>
      <c r="DV927" s="2"/>
      <c r="DW927" s="2"/>
      <c r="DX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  <c r="DP928" s="2"/>
      <c r="DQ928" s="2"/>
      <c r="DR928" s="2"/>
      <c r="DS928" s="2"/>
      <c r="DT928" s="2"/>
      <c r="DU928" s="2"/>
      <c r="DV928" s="2"/>
      <c r="DW928" s="2"/>
      <c r="DX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  <c r="DP929" s="2"/>
      <c r="DQ929" s="2"/>
      <c r="DR929" s="2"/>
      <c r="DS929" s="2"/>
      <c r="DT929" s="2"/>
      <c r="DU929" s="2"/>
      <c r="DV929" s="2"/>
      <c r="DW929" s="2"/>
      <c r="DX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  <c r="DP930" s="2"/>
      <c r="DQ930" s="2"/>
      <c r="DR930" s="2"/>
      <c r="DS930" s="2"/>
      <c r="DT930" s="2"/>
      <c r="DU930" s="2"/>
      <c r="DV930" s="2"/>
      <c r="DW930" s="2"/>
      <c r="DX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  <c r="DP931" s="2"/>
      <c r="DQ931" s="2"/>
      <c r="DR931" s="2"/>
      <c r="DS931" s="2"/>
      <c r="DT931" s="2"/>
      <c r="DU931" s="2"/>
      <c r="DV931" s="2"/>
      <c r="DW931" s="2"/>
      <c r="DX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  <c r="DP932" s="2"/>
      <c r="DQ932" s="2"/>
      <c r="DR932" s="2"/>
      <c r="DS932" s="2"/>
      <c r="DT932" s="2"/>
      <c r="DU932" s="2"/>
      <c r="DV932" s="2"/>
      <c r="DW932" s="2"/>
      <c r="DX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  <c r="DP933" s="2"/>
      <c r="DQ933" s="2"/>
      <c r="DR933" s="2"/>
      <c r="DS933" s="2"/>
      <c r="DT933" s="2"/>
      <c r="DU933" s="2"/>
      <c r="DV933" s="2"/>
      <c r="DW933" s="2"/>
      <c r="DX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  <c r="DP934" s="2"/>
      <c r="DQ934" s="2"/>
      <c r="DR934" s="2"/>
      <c r="DS934" s="2"/>
      <c r="DT934" s="2"/>
      <c r="DU934" s="2"/>
      <c r="DV934" s="2"/>
      <c r="DW934" s="2"/>
      <c r="DX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  <c r="DP935" s="2"/>
      <c r="DQ935" s="2"/>
      <c r="DR935" s="2"/>
      <c r="DS935" s="2"/>
      <c r="DT935" s="2"/>
      <c r="DU935" s="2"/>
      <c r="DV935" s="2"/>
      <c r="DW935" s="2"/>
      <c r="DX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  <c r="DP936" s="2"/>
      <c r="DQ936" s="2"/>
      <c r="DR936" s="2"/>
      <c r="DS936" s="2"/>
      <c r="DT936" s="2"/>
      <c r="DU936" s="2"/>
      <c r="DV936" s="2"/>
      <c r="DW936" s="2"/>
      <c r="DX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  <c r="DP937" s="2"/>
      <c r="DQ937" s="2"/>
      <c r="DR937" s="2"/>
      <c r="DS937" s="2"/>
      <c r="DT937" s="2"/>
      <c r="DU937" s="2"/>
      <c r="DV937" s="2"/>
      <c r="DW937" s="2"/>
      <c r="DX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  <c r="DP938" s="2"/>
      <c r="DQ938" s="2"/>
      <c r="DR938" s="2"/>
      <c r="DS938" s="2"/>
      <c r="DT938" s="2"/>
      <c r="DU938" s="2"/>
      <c r="DV938" s="2"/>
      <c r="DW938" s="2"/>
      <c r="DX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  <c r="DP939" s="2"/>
      <c r="DQ939" s="2"/>
      <c r="DR939" s="2"/>
      <c r="DS939" s="2"/>
      <c r="DT939" s="2"/>
      <c r="DU939" s="2"/>
      <c r="DV939" s="2"/>
      <c r="DW939" s="2"/>
      <c r="DX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  <c r="DP940" s="2"/>
      <c r="DQ940" s="2"/>
      <c r="DR940" s="2"/>
      <c r="DS940" s="2"/>
      <c r="DT940" s="2"/>
      <c r="DU940" s="2"/>
      <c r="DV940" s="2"/>
      <c r="DW940" s="2"/>
      <c r="DX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  <c r="DP941" s="2"/>
      <c r="DQ941" s="2"/>
      <c r="DR941" s="2"/>
      <c r="DS941" s="2"/>
      <c r="DT941" s="2"/>
      <c r="DU941" s="2"/>
      <c r="DV941" s="2"/>
      <c r="DW941" s="2"/>
      <c r="DX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  <c r="DP942" s="2"/>
      <c r="DQ942" s="2"/>
      <c r="DR942" s="2"/>
      <c r="DS942" s="2"/>
      <c r="DT942" s="2"/>
      <c r="DU942" s="2"/>
      <c r="DV942" s="2"/>
      <c r="DW942" s="2"/>
      <c r="DX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  <c r="DP943" s="2"/>
      <c r="DQ943" s="2"/>
      <c r="DR943" s="2"/>
      <c r="DS943" s="2"/>
      <c r="DT943" s="2"/>
      <c r="DU943" s="2"/>
      <c r="DV943" s="2"/>
      <c r="DW943" s="2"/>
      <c r="DX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  <c r="DP944" s="2"/>
      <c r="DQ944" s="2"/>
      <c r="DR944" s="2"/>
      <c r="DS944" s="2"/>
      <c r="DT944" s="2"/>
      <c r="DU944" s="2"/>
      <c r="DV944" s="2"/>
      <c r="DW944" s="2"/>
      <c r="DX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  <c r="DP945" s="2"/>
      <c r="DQ945" s="2"/>
      <c r="DR945" s="2"/>
      <c r="DS945" s="2"/>
      <c r="DT945" s="2"/>
      <c r="DU945" s="2"/>
      <c r="DV945" s="2"/>
      <c r="DW945" s="2"/>
      <c r="DX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  <c r="DP946" s="2"/>
      <c r="DQ946" s="2"/>
      <c r="DR946" s="2"/>
      <c r="DS946" s="2"/>
      <c r="DT946" s="2"/>
      <c r="DU946" s="2"/>
      <c r="DV946" s="2"/>
      <c r="DW946" s="2"/>
      <c r="DX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  <c r="DP947" s="2"/>
      <c r="DQ947" s="2"/>
      <c r="DR947" s="2"/>
      <c r="DS947" s="2"/>
      <c r="DT947" s="2"/>
      <c r="DU947" s="2"/>
      <c r="DV947" s="2"/>
      <c r="DW947" s="2"/>
      <c r="DX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  <c r="DP948" s="2"/>
      <c r="DQ948" s="2"/>
      <c r="DR948" s="2"/>
      <c r="DS948" s="2"/>
      <c r="DT948" s="2"/>
      <c r="DU948" s="2"/>
      <c r="DV948" s="2"/>
      <c r="DW948" s="2"/>
      <c r="DX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  <c r="DP949" s="2"/>
      <c r="DQ949" s="2"/>
      <c r="DR949" s="2"/>
      <c r="DS949" s="2"/>
      <c r="DT949" s="2"/>
      <c r="DU949" s="2"/>
      <c r="DV949" s="2"/>
      <c r="DW949" s="2"/>
      <c r="DX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  <c r="DP950" s="2"/>
      <c r="DQ950" s="2"/>
      <c r="DR950" s="2"/>
      <c r="DS950" s="2"/>
      <c r="DT950" s="2"/>
      <c r="DU950" s="2"/>
      <c r="DV950" s="2"/>
      <c r="DW950" s="2"/>
      <c r="DX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  <c r="DP951" s="2"/>
      <c r="DQ951" s="2"/>
      <c r="DR951" s="2"/>
      <c r="DS951" s="2"/>
      <c r="DT951" s="2"/>
      <c r="DU951" s="2"/>
      <c r="DV951" s="2"/>
      <c r="DW951" s="2"/>
      <c r="DX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  <c r="DP952" s="2"/>
      <c r="DQ952" s="2"/>
      <c r="DR952" s="2"/>
      <c r="DS952" s="2"/>
      <c r="DT952" s="2"/>
      <c r="DU952" s="2"/>
      <c r="DV952" s="2"/>
      <c r="DW952" s="2"/>
      <c r="DX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  <c r="DP953" s="2"/>
      <c r="DQ953" s="2"/>
      <c r="DR953" s="2"/>
      <c r="DS953" s="2"/>
      <c r="DT953" s="2"/>
      <c r="DU953" s="2"/>
      <c r="DV953" s="2"/>
      <c r="DW953" s="2"/>
      <c r="DX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  <c r="DP954" s="2"/>
      <c r="DQ954" s="2"/>
      <c r="DR954" s="2"/>
      <c r="DS954" s="2"/>
      <c r="DT954" s="2"/>
      <c r="DU954" s="2"/>
      <c r="DV954" s="2"/>
      <c r="DW954" s="2"/>
      <c r="DX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  <c r="DP955" s="2"/>
      <c r="DQ955" s="2"/>
      <c r="DR955" s="2"/>
      <c r="DS955" s="2"/>
      <c r="DT955" s="2"/>
      <c r="DU955" s="2"/>
      <c r="DV955" s="2"/>
      <c r="DW955" s="2"/>
      <c r="DX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  <c r="DP956" s="2"/>
      <c r="DQ956" s="2"/>
      <c r="DR956" s="2"/>
      <c r="DS956" s="2"/>
      <c r="DT956" s="2"/>
      <c r="DU956" s="2"/>
      <c r="DV956" s="2"/>
      <c r="DW956" s="2"/>
      <c r="DX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  <c r="DP957" s="2"/>
      <c r="DQ957" s="2"/>
      <c r="DR957" s="2"/>
      <c r="DS957" s="2"/>
      <c r="DT957" s="2"/>
      <c r="DU957" s="2"/>
      <c r="DV957" s="2"/>
      <c r="DW957" s="2"/>
      <c r="DX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  <c r="DP958" s="2"/>
      <c r="DQ958" s="2"/>
      <c r="DR958" s="2"/>
      <c r="DS958" s="2"/>
      <c r="DT958" s="2"/>
      <c r="DU958" s="2"/>
      <c r="DV958" s="2"/>
      <c r="DW958" s="2"/>
      <c r="DX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  <c r="DP959" s="2"/>
      <c r="DQ959" s="2"/>
      <c r="DR959" s="2"/>
      <c r="DS959" s="2"/>
      <c r="DT959" s="2"/>
      <c r="DU959" s="2"/>
      <c r="DV959" s="2"/>
      <c r="DW959" s="2"/>
      <c r="DX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  <c r="DP960" s="2"/>
      <c r="DQ960" s="2"/>
      <c r="DR960" s="2"/>
      <c r="DS960" s="2"/>
      <c r="DT960" s="2"/>
      <c r="DU960" s="2"/>
      <c r="DV960" s="2"/>
      <c r="DW960" s="2"/>
      <c r="DX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  <c r="DP961" s="2"/>
      <c r="DQ961" s="2"/>
      <c r="DR961" s="2"/>
      <c r="DS961" s="2"/>
      <c r="DT961" s="2"/>
      <c r="DU961" s="2"/>
      <c r="DV961" s="2"/>
      <c r="DW961" s="2"/>
      <c r="DX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  <c r="DP962" s="2"/>
      <c r="DQ962" s="2"/>
      <c r="DR962" s="2"/>
      <c r="DS962" s="2"/>
      <c r="DT962" s="2"/>
      <c r="DU962" s="2"/>
      <c r="DV962" s="2"/>
      <c r="DW962" s="2"/>
      <c r="DX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  <c r="DP963" s="2"/>
      <c r="DQ963" s="2"/>
      <c r="DR963" s="2"/>
      <c r="DS963" s="2"/>
      <c r="DT963" s="2"/>
      <c r="DU963" s="2"/>
      <c r="DV963" s="2"/>
      <c r="DW963" s="2"/>
      <c r="DX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  <c r="DP964" s="2"/>
      <c r="DQ964" s="2"/>
      <c r="DR964" s="2"/>
      <c r="DS964" s="2"/>
      <c r="DT964" s="2"/>
      <c r="DU964" s="2"/>
      <c r="DV964" s="2"/>
      <c r="DW964" s="2"/>
      <c r="DX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  <c r="DP965" s="2"/>
      <c r="DQ965" s="2"/>
      <c r="DR965" s="2"/>
      <c r="DS965" s="2"/>
      <c r="DT965" s="2"/>
      <c r="DU965" s="2"/>
      <c r="DV965" s="2"/>
      <c r="DW965" s="2"/>
      <c r="DX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  <c r="DP966" s="2"/>
      <c r="DQ966" s="2"/>
      <c r="DR966" s="2"/>
      <c r="DS966" s="2"/>
      <c r="DT966" s="2"/>
      <c r="DU966" s="2"/>
      <c r="DV966" s="2"/>
      <c r="DW966" s="2"/>
      <c r="DX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  <c r="DP967" s="2"/>
      <c r="DQ967" s="2"/>
      <c r="DR967" s="2"/>
      <c r="DS967" s="2"/>
      <c r="DT967" s="2"/>
      <c r="DU967" s="2"/>
      <c r="DV967" s="2"/>
      <c r="DW967" s="2"/>
      <c r="DX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  <c r="DP968" s="2"/>
      <c r="DQ968" s="2"/>
      <c r="DR968" s="2"/>
      <c r="DS968" s="2"/>
      <c r="DT968" s="2"/>
      <c r="DU968" s="2"/>
      <c r="DV968" s="2"/>
      <c r="DW968" s="2"/>
      <c r="DX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  <c r="DP969" s="2"/>
      <c r="DQ969" s="2"/>
      <c r="DR969" s="2"/>
      <c r="DS969" s="2"/>
      <c r="DT969" s="2"/>
      <c r="DU969" s="2"/>
      <c r="DV969" s="2"/>
      <c r="DW969" s="2"/>
      <c r="DX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  <c r="DP970" s="2"/>
      <c r="DQ970" s="2"/>
      <c r="DR970" s="2"/>
      <c r="DS970" s="2"/>
      <c r="DT970" s="2"/>
      <c r="DU970" s="2"/>
      <c r="DV970" s="2"/>
      <c r="DW970" s="2"/>
      <c r="DX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  <c r="DP971" s="2"/>
      <c r="DQ971" s="2"/>
      <c r="DR971" s="2"/>
      <c r="DS971" s="2"/>
      <c r="DT971" s="2"/>
      <c r="DU971" s="2"/>
      <c r="DV971" s="2"/>
      <c r="DW971" s="2"/>
      <c r="DX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  <c r="DP972" s="2"/>
      <c r="DQ972" s="2"/>
      <c r="DR972" s="2"/>
      <c r="DS972" s="2"/>
      <c r="DT972" s="2"/>
      <c r="DU972" s="2"/>
      <c r="DV972" s="2"/>
      <c r="DW972" s="2"/>
      <c r="DX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  <c r="DP973" s="2"/>
      <c r="DQ973" s="2"/>
      <c r="DR973" s="2"/>
      <c r="DS973" s="2"/>
      <c r="DT973" s="2"/>
      <c r="DU973" s="2"/>
      <c r="DV973" s="2"/>
      <c r="DW973" s="2"/>
      <c r="DX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  <c r="DP974" s="2"/>
      <c r="DQ974" s="2"/>
      <c r="DR974" s="2"/>
      <c r="DS974" s="2"/>
      <c r="DT974" s="2"/>
      <c r="DU974" s="2"/>
      <c r="DV974" s="2"/>
      <c r="DW974" s="2"/>
      <c r="DX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  <c r="DP975" s="2"/>
      <c r="DQ975" s="2"/>
      <c r="DR975" s="2"/>
      <c r="DS975" s="2"/>
      <c r="DT975" s="2"/>
      <c r="DU975" s="2"/>
      <c r="DV975" s="2"/>
      <c r="DW975" s="2"/>
      <c r="DX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  <c r="DP976" s="2"/>
      <c r="DQ976" s="2"/>
      <c r="DR976" s="2"/>
      <c r="DS976" s="2"/>
      <c r="DT976" s="2"/>
      <c r="DU976" s="2"/>
      <c r="DV976" s="2"/>
      <c r="DW976" s="2"/>
      <c r="DX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  <c r="DP977" s="2"/>
      <c r="DQ977" s="2"/>
      <c r="DR977" s="2"/>
      <c r="DS977" s="2"/>
      <c r="DT977" s="2"/>
      <c r="DU977" s="2"/>
      <c r="DV977" s="2"/>
      <c r="DW977" s="2"/>
      <c r="DX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  <c r="DP978" s="2"/>
      <c r="DQ978" s="2"/>
      <c r="DR978" s="2"/>
      <c r="DS978" s="2"/>
      <c r="DT978" s="2"/>
      <c r="DU978" s="2"/>
      <c r="DV978" s="2"/>
      <c r="DW978" s="2"/>
      <c r="DX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  <c r="DP979" s="2"/>
      <c r="DQ979" s="2"/>
      <c r="DR979" s="2"/>
      <c r="DS979" s="2"/>
      <c r="DT979" s="2"/>
      <c r="DU979" s="2"/>
      <c r="DV979" s="2"/>
      <c r="DW979" s="2"/>
      <c r="DX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  <c r="DP980" s="2"/>
      <c r="DQ980" s="2"/>
      <c r="DR980" s="2"/>
      <c r="DS980" s="2"/>
      <c r="DT980" s="2"/>
      <c r="DU980" s="2"/>
      <c r="DV980" s="2"/>
      <c r="DW980" s="2"/>
      <c r="DX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  <c r="DP981" s="2"/>
      <c r="DQ981" s="2"/>
      <c r="DR981" s="2"/>
      <c r="DS981" s="2"/>
      <c r="DT981" s="2"/>
      <c r="DU981" s="2"/>
      <c r="DV981" s="2"/>
      <c r="DW981" s="2"/>
      <c r="DX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  <c r="DP982" s="2"/>
      <c r="DQ982" s="2"/>
      <c r="DR982" s="2"/>
      <c r="DS982" s="2"/>
      <c r="DT982" s="2"/>
      <c r="DU982" s="2"/>
      <c r="DV982" s="2"/>
      <c r="DW982" s="2"/>
      <c r="DX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  <c r="DP983" s="2"/>
      <c r="DQ983" s="2"/>
      <c r="DR983" s="2"/>
      <c r="DS983" s="2"/>
      <c r="DT983" s="2"/>
      <c r="DU983" s="2"/>
      <c r="DV983" s="2"/>
      <c r="DW983" s="2"/>
      <c r="DX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  <c r="DP984" s="2"/>
      <c r="DQ984" s="2"/>
      <c r="DR984" s="2"/>
      <c r="DS984" s="2"/>
      <c r="DT984" s="2"/>
      <c r="DU984" s="2"/>
      <c r="DV984" s="2"/>
      <c r="DW984" s="2"/>
      <c r="DX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  <c r="DP985" s="2"/>
      <c r="DQ985" s="2"/>
      <c r="DR985" s="2"/>
      <c r="DS985" s="2"/>
      <c r="DT985" s="2"/>
      <c r="DU985" s="2"/>
      <c r="DV985" s="2"/>
      <c r="DW985" s="2"/>
      <c r="DX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  <c r="DP986" s="2"/>
      <c r="DQ986" s="2"/>
      <c r="DR986" s="2"/>
      <c r="DS986" s="2"/>
      <c r="DT986" s="2"/>
      <c r="DU986" s="2"/>
      <c r="DV986" s="2"/>
      <c r="DW986" s="2"/>
      <c r="DX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  <c r="DP987" s="2"/>
      <c r="DQ987" s="2"/>
      <c r="DR987" s="2"/>
      <c r="DS987" s="2"/>
      <c r="DT987" s="2"/>
      <c r="DU987" s="2"/>
      <c r="DV987" s="2"/>
      <c r="DW987" s="2"/>
      <c r="DX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  <c r="DP988" s="2"/>
      <c r="DQ988" s="2"/>
      <c r="DR988" s="2"/>
      <c r="DS988" s="2"/>
      <c r="DT988" s="2"/>
      <c r="DU988" s="2"/>
      <c r="DV988" s="2"/>
      <c r="DW988" s="2"/>
      <c r="DX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  <c r="DP989" s="2"/>
      <c r="DQ989" s="2"/>
      <c r="DR989" s="2"/>
      <c r="DS989" s="2"/>
      <c r="DT989" s="2"/>
      <c r="DU989" s="2"/>
      <c r="DV989" s="2"/>
      <c r="DW989" s="2"/>
      <c r="DX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  <c r="DP990" s="2"/>
      <c r="DQ990" s="2"/>
      <c r="DR990" s="2"/>
      <c r="DS990" s="2"/>
      <c r="DT990" s="2"/>
      <c r="DU990" s="2"/>
      <c r="DV990" s="2"/>
      <c r="DW990" s="2"/>
      <c r="DX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  <c r="DP991" s="2"/>
      <c r="DQ991" s="2"/>
      <c r="DR991" s="2"/>
      <c r="DS991" s="2"/>
      <c r="DT991" s="2"/>
      <c r="DU991" s="2"/>
      <c r="DV991" s="2"/>
      <c r="DW991" s="2"/>
      <c r="DX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  <c r="DP992" s="2"/>
      <c r="DQ992" s="2"/>
      <c r="DR992" s="2"/>
      <c r="DS992" s="2"/>
      <c r="DT992" s="2"/>
      <c r="DU992" s="2"/>
      <c r="DV992" s="2"/>
      <c r="DW992" s="2"/>
      <c r="DX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  <c r="DP993" s="2"/>
      <c r="DQ993" s="2"/>
      <c r="DR993" s="2"/>
      <c r="DS993" s="2"/>
      <c r="DT993" s="2"/>
      <c r="DU993" s="2"/>
      <c r="DV993" s="2"/>
      <c r="DW993" s="2"/>
      <c r="DX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  <c r="DP994" s="2"/>
      <c r="DQ994" s="2"/>
      <c r="DR994" s="2"/>
      <c r="DS994" s="2"/>
      <c r="DT994" s="2"/>
      <c r="DU994" s="2"/>
      <c r="DV994" s="2"/>
      <c r="DW994" s="2"/>
      <c r="DX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  <c r="DP995" s="2"/>
      <c r="DQ995" s="2"/>
      <c r="DR995" s="2"/>
      <c r="DS995" s="2"/>
      <c r="DT995" s="2"/>
      <c r="DU995" s="2"/>
      <c r="DV995" s="2"/>
      <c r="DW995" s="2"/>
      <c r="DX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  <c r="DP996" s="2"/>
      <c r="DQ996" s="2"/>
      <c r="DR996" s="2"/>
      <c r="DS996" s="2"/>
      <c r="DT996" s="2"/>
      <c r="DU996" s="2"/>
      <c r="DV996" s="2"/>
      <c r="DW996" s="2"/>
      <c r="DX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  <c r="DP997" s="2"/>
      <c r="DQ997" s="2"/>
      <c r="DR997" s="2"/>
      <c r="DS997" s="2"/>
      <c r="DT997" s="2"/>
      <c r="DU997" s="2"/>
      <c r="DV997" s="2"/>
      <c r="DW997" s="2"/>
      <c r="DX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  <c r="DP998" s="2"/>
      <c r="DQ998" s="2"/>
      <c r="DR998" s="2"/>
      <c r="DS998" s="2"/>
      <c r="DT998" s="2"/>
      <c r="DU998" s="2"/>
      <c r="DV998" s="2"/>
      <c r="DW998" s="2"/>
      <c r="DX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  <c r="DP999" s="2"/>
      <c r="DQ999" s="2"/>
      <c r="DR999" s="2"/>
      <c r="DS999" s="2"/>
      <c r="DT999" s="2"/>
      <c r="DU999" s="2"/>
      <c r="DV999" s="2"/>
      <c r="DW999" s="2"/>
      <c r="DX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  <c r="DP1000" s="2"/>
      <c r="DQ1000" s="2"/>
      <c r="DR1000" s="2"/>
      <c r="DS1000" s="2"/>
      <c r="DT1000" s="2"/>
      <c r="DU1000" s="2"/>
      <c r="DV1000" s="2"/>
      <c r="DW1000" s="2"/>
      <c r="DX1000" s="2"/>
    </row>
  </sheetData>
  <drawing r:id="rId1"/>
</worksheet>
</file>